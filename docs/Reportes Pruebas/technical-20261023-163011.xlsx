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Seguridad"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sz val="16"/>
    </font>
    <font>
      <b val="1"/>
      <sz val="14"/>
    </font>
    <font>
      <b val="1"/>
      <color rgb="00FFFFFF"/>
    </font>
    <font>
      <b val="1"/>
    </font>
    <font>
      <i val="1"/>
      <sz val="10"/>
    </font>
    <font>
      <b val="1"/>
      <color rgb="00FFFFFF"/>
      <sz val="12"/>
    </font>
    <font>
      <color rgb="009C6500"/>
    </font>
    <font>
      <color rgb="009C0006"/>
    </font>
    <font>
      <color rgb="00006100"/>
    </font>
    <font>
      <b val="1"/>
      <color rgb="00FFFFFF"/>
      <sz val="14"/>
    </font>
    <font>
      <b val="1"/>
      <sz val="12"/>
    </font>
  </fonts>
  <fills count="7">
    <fill>
      <patternFill/>
    </fill>
    <fill>
      <patternFill patternType="gray125"/>
    </fill>
    <fill>
      <patternFill patternType="solid">
        <fgColor rgb="00366092"/>
        <bgColor rgb="00366092"/>
      </patternFill>
    </fill>
    <fill>
      <patternFill patternType="solid">
        <fgColor rgb="00203864"/>
        <bgColor rgb="00203864"/>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3" fillId="2" borderId="0" applyAlignment="1" pivotButton="0" quotePrefix="0" xfId="0">
      <alignment horizontal="center" vertical="center" wrapText="1"/>
    </xf>
    <xf numFmtId="0" fontId="4" fillId="0" borderId="0" pivotButton="0" quotePrefix="0" xfId="0"/>
    <xf numFmtId="0" fontId="5" fillId="0" borderId="0" applyAlignment="1" pivotButton="0" quotePrefix="0" xfId="0">
      <alignment horizontal="left"/>
    </xf>
    <xf numFmtId="0" fontId="6" fillId="3" borderId="0" applyAlignment="1" pivotButton="0" quotePrefix="0" xfId="0">
      <alignment horizontal="left" vertical="center"/>
    </xf>
    <xf numFmtId="0" fontId="0" fillId="0" borderId="1" pivotButton="0" quotePrefix="0" xfId="0"/>
    <xf numFmtId="0" fontId="7" fillId="4" borderId="1" pivotButton="0" quotePrefix="0" xfId="0"/>
    <xf numFmtId="0" fontId="8" fillId="5" borderId="1" pivotButton="0" quotePrefix="0" xfId="0"/>
    <xf numFmtId="0" fontId="9" fillId="6" borderId="1" pivotButton="0" quotePrefix="0" xfId="0"/>
    <xf numFmtId="0" fontId="10" fillId="3" borderId="0" applyAlignment="1" pivotButton="0" quotePrefix="0" xfId="0">
      <alignment horizontal="center" vertical="center"/>
    </xf>
    <xf numFmtId="0" fontId="11" fillId="0" borderId="0" pivotButton="0" quotePrefix="0" xfId="0"/>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Scores por Pilar (%)</a:t>
            </a:r>
          </a:p>
        </rich>
      </tx>
    </title>
    <plotArea>
      <barChart>
        <barDir val="col"/>
        <grouping val="clustered"/>
        <ser>
          <idx val="0"/>
          <order val="0"/>
          <tx>
            <strRef>
              <f>'Resumen'!B10</f>
            </strRef>
          </tx>
          <spPr>
            <a:ln xmlns:a="http://schemas.openxmlformats.org/drawingml/2006/main">
              <a:prstDash val="solid"/>
            </a:ln>
          </spPr>
          <cat>
            <numRef>
              <f>'Resumen'!$A$11</f>
            </numRef>
          </cat>
          <val>
            <numRef>
              <f>'Resumen'!$B$11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Pilar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 (%)</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1"/>
  <chart>
    <title>
      <tx>
        <rich>
          <a:bodyPr xmlns:a="http://schemas.openxmlformats.org/drawingml/2006/main"/>
          <a:p xmlns:a="http://schemas.openxmlformats.org/drawingml/2006/main">
            <a:pPr>
              <a:defRPr/>
            </a:pPr>
            <a:r>
              <a:t>Distribución de Estados por Pilar</a:t>
            </a:r>
          </a:p>
        </rich>
      </tx>
    </title>
    <plotArea>
      <barChart>
        <barDir val="col"/>
        <grouping val="stacked"/>
        <ser>
          <idx val="0"/>
          <order val="0"/>
          <tx>
            <strRef>
              <f>'Resumen'!C15</f>
            </strRef>
          </tx>
          <spPr>
            <a:ln xmlns:a="http://schemas.openxmlformats.org/drawingml/2006/main">
              <a:prstDash val="solid"/>
            </a:ln>
          </spPr>
          <cat>
            <numRef>
              <f>'Resumen'!$A$16</f>
            </numRef>
          </cat>
          <val>
            <numRef>
              <f>'Resumen'!$C$16</f>
            </numRef>
          </val>
        </ser>
        <ser>
          <idx val="1"/>
          <order val="1"/>
          <tx>
            <strRef>
              <f>'Resumen'!D15</f>
            </strRef>
          </tx>
          <spPr>
            <a:ln xmlns:a="http://schemas.openxmlformats.org/drawingml/2006/main">
              <a:prstDash val="solid"/>
            </a:ln>
          </spPr>
          <cat>
            <numRef>
              <f>'Resumen'!$A$16</f>
            </numRef>
          </cat>
          <val>
            <numRef>
              <f>'Resumen'!$D$16</f>
            </numRef>
          </val>
        </ser>
        <ser>
          <idx val="2"/>
          <order val="2"/>
          <tx>
            <strRef>
              <f>'Resumen'!E15</f>
            </strRef>
          </tx>
          <spPr>
            <a:ln xmlns:a="http://schemas.openxmlformats.org/drawingml/2006/main">
              <a:prstDash val="solid"/>
            </a:ln>
          </spPr>
          <cat>
            <numRef>
              <f>'Resumen'!$A$16</f>
            </numRef>
          </cat>
          <val>
            <numRef>
              <f>'Resumen'!$E$16</f>
            </numRef>
          </val>
        </ser>
        <gapWidth val="150"/>
        <overlap val="100"/>
        <axId val="10"/>
        <axId val="100"/>
      </barChart>
      <catAx>
        <axId val="10"/>
        <scaling>
          <orientation val="minMax"/>
        </scaling>
        <axPos val="l"/>
        <title>
          <tx>
            <rich>
              <a:bodyPr xmlns:a="http://schemas.openxmlformats.org/drawingml/2006/main"/>
              <a:p xmlns:a="http://schemas.openxmlformats.org/drawingml/2006/main">
                <a:pPr>
                  <a:defRPr/>
                </a:pPr>
                <a:r>
                  <a:t>Pilar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Cantidad de BPs</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Distribución Global de Estados</a:t>
            </a:r>
          </a:p>
        </rich>
      </tx>
    </title>
    <plotArea>
      <pieChart>
        <varyColors val="1"/>
        <ser>
          <idx val="0"/>
          <order val="0"/>
          <tx>
            <strRef>
              <f>'Resumen'!B37</f>
            </strRef>
          </tx>
          <spPr>
            <a:ln xmlns:a="http://schemas.openxmlformats.org/drawingml/2006/main">
              <a:prstDash val="solid"/>
            </a:ln>
          </spPr>
          <cat>
            <numRef>
              <f>'Resumen'!$A$38:$A$40</f>
            </numRef>
          </cat>
          <val>
            <numRef>
              <f>'Resumen'!$B$38:$B$40</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0</col>
      <colOff>0</colOff>
      <row>18</row>
      <rowOff>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11</col>
      <colOff>0</colOff>
      <row>18</row>
      <rowOff>0</rowOff>
    </from>
    <ext cx="720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36</row>
      <rowOff>0</rowOff>
    </from>
    <ext cx="432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Q40"/>
  <sheetViews>
    <sheetView workbookViewId="0">
      <selection activeCell="A1" sqref="A1"/>
    </sheetView>
  </sheetViews>
  <sheetFormatPr baseColWidth="8" defaultRowHeight="15"/>
  <cols>
    <col width="30" customWidth="1" min="1" max="1"/>
    <col width="15"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c r="A1" s="1" t="inlineStr">
        <is>
          <t>Reporte Técnico - AWS Well-Architected Review</t>
        </is>
      </c>
    </row>
    <row r="3">
      <c r="A3" t="inlineStr">
        <is>
          <t>Cuenta AWS:</t>
        </is>
      </c>
      <c r="B3" t="inlineStr">
        <is>
          <t>854397933378</t>
        </is>
      </c>
    </row>
    <row r="4">
      <c r="A4" t="inlineStr">
        <is>
          <t>Fecha de Evaluación:</t>
        </is>
      </c>
      <c r="B4" t="inlineStr">
        <is>
          <t>2026-10-23T16:27:04.810882Z</t>
        </is>
      </c>
    </row>
    <row r="5">
      <c r="A5" t="inlineStr">
        <is>
          <t>Fecha de Generación:</t>
        </is>
      </c>
      <c r="B5" t="inlineStr">
        <is>
          <t>2026-10-23T16:30:11.081751Z</t>
        </is>
      </c>
    </row>
    <row r="9">
      <c r="A9" s="2" t="inlineStr">
        <is>
          <t>Scores por Pilar</t>
        </is>
      </c>
    </row>
    <row r="10">
      <c r="A10" s="3" t="inlineStr">
        <is>
          <t>Pilar</t>
        </is>
      </c>
      <c r="B10" s="3" t="inlineStr">
        <is>
          <t>Score (%)</t>
        </is>
      </c>
    </row>
    <row r="11">
      <c r="A11" t="inlineStr">
        <is>
          <t>Seguridad</t>
        </is>
      </c>
      <c r="B11" t="n">
        <v>25.4</v>
      </c>
    </row>
    <row r="14">
      <c r="A14" s="2" t="inlineStr">
        <is>
          <t>Estadísticas Detalladas por Pilar</t>
        </is>
      </c>
    </row>
    <row r="15">
      <c r="A15" s="4" t="inlineStr">
        <is>
          <t>Pilar</t>
        </is>
      </c>
      <c r="B15" s="4" t="inlineStr">
        <is>
          <t>Total BPs</t>
        </is>
      </c>
      <c r="C15" s="4" t="inlineStr">
        <is>
          <t>Cumplen</t>
        </is>
      </c>
      <c r="D15" s="4" t="inlineStr">
        <is>
          <t>No Cumplen</t>
        </is>
      </c>
      <c r="E15" s="4" t="inlineStr">
        <is>
          <t>Pendientes</t>
        </is>
      </c>
      <c r="F15" s="4" t="inlineStr">
        <is>
          <t>Cumplen-Crítica</t>
        </is>
      </c>
      <c r="G15" s="4" t="inlineStr">
        <is>
          <t>Cumplen-Alta</t>
        </is>
      </c>
      <c r="H15" s="4" t="inlineStr">
        <is>
          <t>Cumplen-Media</t>
        </is>
      </c>
      <c r="I15" s="4" t="inlineStr">
        <is>
          <t>Cumplen-Baja</t>
        </is>
      </c>
      <c r="J15" s="4" t="inlineStr">
        <is>
          <t>No Cumplen-Crítica</t>
        </is>
      </c>
      <c r="K15" s="4" t="inlineStr">
        <is>
          <t>No Cumplen-Alta</t>
        </is>
      </c>
      <c r="L15" s="4" t="inlineStr">
        <is>
          <t>No Cumplen-Media</t>
        </is>
      </c>
      <c r="M15" s="4" t="inlineStr">
        <is>
          <t>No Cumplen-Baja</t>
        </is>
      </c>
      <c r="N15" s="4" t="inlineStr">
        <is>
          <t>Pendientes-Crítica</t>
        </is>
      </c>
      <c r="O15" s="4" t="inlineStr">
        <is>
          <t>Pendientes-Alta</t>
        </is>
      </c>
      <c r="P15" s="4" t="inlineStr">
        <is>
          <t>Pendientes-Media</t>
        </is>
      </c>
      <c r="Q15" s="4" t="inlineStr">
        <is>
          <t>Pendientes-Baja</t>
        </is>
      </c>
    </row>
    <row r="16">
      <c r="A16" t="inlineStr">
        <is>
          <t>Seguridad</t>
        </is>
      </c>
      <c r="B16" t="n">
        <v>63</v>
      </c>
      <c r="C16" t="n">
        <v>9</v>
      </c>
      <c r="D16" t="n">
        <v>40</v>
      </c>
      <c r="E16" t="n">
        <v>14</v>
      </c>
      <c r="F16" t="n">
        <v>0</v>
      </c>
      <c r="G16" t="n">
        <v>0</v>
      </c>
      <c r="H16" t="n">
        <v>0</v>
      </c>
      <c r="I16" t="n">
        <v>9</v>
      </c>
      <c r="J16" t="n">
        <v>3</v>
      </c>
      <c r="K16" t="n">
        <v>20</v>
      </c>
      <c r="L16" t="n">
        <v>17</v>
      </c>
      <c r="M16" t="n">
        <v>0</v>
      </c>
      <c r="N16" t="n">
        <v>0</v>
      </c>
      <c r="O16" t="n">
        <v>0</v>
      </c>
      <c r="P16" t="n">
        <v>14</v>
      </c>
      <c r="Q16" t="n">
        <v>0</v>
      </c>
    </row>
    <row r="37">
      <c r="A37" s="5" t="inlineStr">
        <is>
          <t>Estado</t>
        </is>
      </c>
      <c r="B37" s="5" t="inlineStr">
        <is>
          <t>Cantidad</t>
        </is>
      </c>
    </row>
    <row r="38">
      <c r="A38" t="inlineStr">
        <is>
          <t>Cumplen</t>
        </is>
      </c>
      <c r="B38">
        <f>SUM(C16:C16)</f>
        <v/>
      </c>
    </row>
    <row r="39">
      <c r="A39" t="inlineStr">
        <is>
          <t>No Cumplen</t>
        </is>
      </c>
      <c r="B39">
        <f>SUM(D16:D16)</f>
        <v/>
      </c>
    </row>
    <row r="40">
      <c r="A40" t="inlineStr">
        <is>
          <t>Pendientes</t>
        </is>
      </c>
      <c r="B40">
        <f>SUM(E16:E16)</f>
        <v/>
      </c>
    </row>
  </sheetData>
  <mergeCells count="1">
    <mergeCell ref="A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113"/>
  <sheetViews>
    <sheetView workbookViewId="0">
      <selection activeCell="A1" sqref="A1"/>
    </sheetView>
  </sheetViews>
  <sheetFormatPr baseColWidth="8" defaultRowHeight="15"/>
  <cols>
    <col width="15" customWidth="1" min="1" max="1"/>
    <col width="40" customWidth="1" min="2" max="2"/>
    <col width="15" customWidth="1" min="3" max="3"/>
    <col width="12" customWidth="1" min="4" max="4"/>
    <col width="50" customWidth="1" min="5" max="5"/>
    <col width="50" customWidth="1" min="6" max="6"/>
    <col width="50" customWidth="1" min="7" max="7"/>
    <col width="50" customWidth="1" min="8" max="8"/>
  </cols>
  <sheetData>
    <row r="1">
      <c r="A1" s="6" t="inlineStr">
        <is>
          <t>Cuenta: 854397933378</t>
        </is>
      </c>
    </row>
    <row r="3">
      <c r="A3" s="7" t="inlineStr">
        <is>
          <t>SEC01: Secure operation of workloads - 25.0%</t>
        </is>
      </c>
    </row>
    <row r="4">
      <c r="A4" s="3" t="inlineStr">
        <is>
          <t>BP ID</t>
        </is>
      </c>
      <c r="B4" s="3" t="inlineStr">
        <is>
          <t>Descripción</t>
        </is>
      </c>
      <c r="C4" s="3" t="inlineStr">
        <is>
          <t>Estado</t>
        </is>
      </c>
      <c r="D4" s="3" t="inlineStr">
        <is>
          <t>Severidad</t>
        </is>
      </c>
      <c r="E4" s="3" t="inlineStr">
        <is>
          <t>Hallazgo</t>
        </is>
      </c>
      <c r="F4" s="3" t="inlineStr">
        <is>
          <t>Evidencia</t>
        </is>
      </c>
      <c r="G4" s="3" t="inlineStr">
        <is>
          <t>Remediación</t>
        </is>
      </c>
      <c r="H4" s="3" t="inlineStr">
        <is>
          <t>Riesgo</t>
        </is>
      </c>
    </row>
    <row r="5">
      <c r="A5" s="8" t="inlineStr">
        <is>
          <t>SEC01-BP01</t>
        </is>
      </c>
      <c r="B5" s="8" t="inlineStr">
        <is>
          <t>Separate workloads using accounts</t>
        </is>
      </c>
      <c r="C5" s="9" t="inlineStr">
        <is>
          <t>PENDING_REVIEW</t>
        </is>
      </c>
      <c r="D5" s="8" t="inlineStr">
        <is>
          <t>MEDIUM</t>
        </is>
      </c>
      <c r="E5" s="8" t="inlineStr">
        <is>
          <t>Arquitectura multi-cuenta parcialmente implementada. Hallazgos: Sin OUs definidas para organizar cuentas</t>
        </is>
      </c>
      <c r="F5" s="8" t="inlineStr">
        <is>
          <t>Organización: o-jivhl9vcyz (FeatureSet: ALL) | Cuentas activas: 5 de 5 total | Cuentas: DiagnosBI (591015654081), Diagnos (854397933378), Circa (646245162027), Sandbox - Montaje Tecnico para Arquitectura (326541860164), Seguridad Diagnos (933211518880) | OUs de primer nivel: 0 | SCPs personalizadas: 3 (SCPPrivilegeProtection, DenyAWSMarketplaceConsumption, DenyNonApprovedRegions)</t>
        </is>
      </c>
      <c r="G5" s="8" t="inlineStr">
        <is>
          <t>Completar la implementación de arquitectura multi-cuenta: 1) Crear OUs para separar entornos (Producción, Desarrollo, Staging). 2) Aplicar SCPs para restringir acciones no autorizadas. 3) Verificar que cada carga de trabajo tenga su propia cuenta. 4) Implementar AWS Control Tower para gobernanza automatizada. 5) Configurar etiquetas de asignación de costos por cuenta.</t>
        </is>
      </c>
      <c r="H5" s="8" t="inlineStr">
        <is>
          <t>Riesgo medio. La separación parcial puede dejar cargas de trabajo sin aislamiento adecuado.</t>
        </is>
      </c>
    </row>
    <row r="6">
      <c r="A6" s="8" t="inlineStr">
        <is>
          <t>SEC01-BP02</t>
        </is>
      </c>
      <c r="B6" s="8" t="inlineStr">
        <is>
          <t>Secure account root user and properties</t>
        </is>
      </c>
      <c r="C6" s="10" t="inlineStr">
        <is>
          <t>NON_COMPLIANT</t>
        </is>
      </c>
      <c r="D6" s="8" t="inlineStr">
        <is>
          <t>CRITICAL</t>
        </is>
      </c>
      <c r="E6" s="8" t="inlineStr">
        <is>
          <t>Protección del usuario raíz insuficiente. Hallazgos críticos: 1 access key(s) activa(s) en usuario raíz</t>
        </is>
      </c>
      <c r="F6" s="8" t="inlineStr">
        <is>
          <t>MFA raíz: Habilitado | Access keys raíz: 1 | Actividad raíz (90 días): 0 eventos | Usuarios IAM: 14</t>
        </is>
      </c>
      <c r="G6" s="8" t="inlineStr">
        <is>
          <t>Proteger el usuario raíz de forma inmediata: 1) Habilitar MFA en el usuario raíz (preferiblemente dispositivo hardware FIDO2). 2) Eliminar TODAS las access keys del usuario raíz. 3) Configurar alarma de CloudWatch para detectar uso de API del usuario raíz. 4) Aplicar SCP para restringir acciones del usuario raíz en cuentas miembro. 5) Usar correo corporativo (no personal) para la cuenta raíz. 6) Almacenar credenciales raíz en bóveda segura con acceso controlado. 7) No usar el usuario raíz para tareas rutinarias.</t>
        </is>
      </c>
      <c r="H6" s="8" t="inlineStr">
        <is>
          <t>Riesgo CRÍTICO. El usuario raíz tiene acceso administrativo completo e irrestricto. Sin MFA o con access keys activas, las credenciales comprometidas otorgan control total de la cuenta.</t>
        </is>
      </c>
    </row>
    <row r="7">
      <c r="A7" s="8" t="inlineStr">
        <is>
          <t>SEC01-BP03</t>
        </is>
      </c>
      <c r="B7" s="8" t="inlineStr">
        <is>
          <t>Identify and validate control objectives</t>
        </is>
      </c>
      <c r="C7" s="9" t="inlineStr">
        <is>
          <t>PENDING_REVIEW</t>
        </is>
      </c>
      <c r="D7" s="8" t="inlineStr">
        <is>
          <t>MEDIUM</t>
        </is>
      </c>
      <c r="E7" s="8" t="inlineStr">
        <is>
          <t>Validación parcial de objetivos de control. Hallazgos: Security Hub no habilitado para validación de cumplimiento</t>
        </is>
      </c>
      <c r="F7" s="8" t="inlineStr">
        <is>
          <t>Config Rules activas: 1 | Security Hub: No habilitado | Conformance Packs: 0 | Config Recorders: 1</t>
        </is>
      </c>
      <c r="G7" s="8" t="inlineStr">
        <is>
          <t>Completar la validación de objetivos de control: 1) Habilitar AWS Config con recorder activo en todas las regiones. 2) Habilitar Security Hub con estándares AWS Foundational Security y CIS Benchmark. 3) Desplegar Conformance Packs alineados con frameworks de cumplimiento (NIST, ISO 27001, PCI-DSS). 4) Configurar reglas de Config para validar controles preventivos. 5) Revisar documentación de AWS Artifact para entender responsabilidad compartida.</t>
        </is>
      </c>
      <c r="H7" s="8" t="inlineStr">
        <is>
          <t>Riesgo medio. Sin validación continua de controles, las configuraciones no conformes pueden pasar desapercibidas.</t>
        </is>
      </c>
    </row>
    <row r="8">
      <c r="A8" s="8" t="inlineStr">
        <is>
          <t>SEC01-BP04</t>
        </is>
      </c>
      <c r="B8" s="8" t="inlineStr">
        <is>
          <t>Stay up to date with security threats and recommendations</t>
        </is>
      </c>
      <c r="C8" s="10" t="inlineStr">
        <is>
          <t>NON_COMPLIANT</t>
        </is>
      </c>
      <c r="D8" s="8" t="inlineStr">
        <is>
          <t>HIGH</t>
        </is>
      </c>
      <c r="E8" s="8" t="inlineStr">
        <is>
          <t>Detección de amenazas insuficiente. Hallazgos: GuardDuty no habilitado para detección de amenazas; Security Hub no habilitado para gestión centralizada de hallazgos</t>
        </is>
      </c>
      <c r="F8" s="8" t="inlineStr">
        <is>
          <t>GuardDuty: NO HABILITADO | Security Hub: NO HABILITADO | Inspector: Verificado | Patch baselines personalizadas: 0</t>
        </is>
      </c>
      <c r="G8" s="8" t="inlineStr">
        <is>
          <t>Implementar detección de amenazas integral: 1) Habilitar GuardDuty en todas las regiones con todas las protecciones (S3, EKS, malware). 2) Habilitar Security Hub y activar estándares AWS Foundational Security, CIS Benchmark. 3) Habilitar Inspector para escaneo automático de vulnerabilidades. 4) Configurar Systems Manager Patch Manager para parcheo automatizado. 5) Implementar proceso de gestión de vulnerabilidades con SLAs de remediación. 6) Suscribirse a feeds de inteligencia de amenazas y AWS Security Bulletins. 7) Configurar notificaciones SNS para hallazgos críticos y altos.</t>
        </is>
      </c>
      <c r="H8" s="8" t="inlineStr">
        <is>
          <t>Alto riesgo. Sin servicios de detección de amenazas, las vulnerabilidades y ataques pueden pasar desapercibidos.</t>
        </is>
      </c>
    </row>
    <row r="9">
      <c r="A9" s="8" t="inlineStr">
        <is>
          <t>SEC01-BP05</t>
        </is>
      </c>
      <c r="B9" s="8" t="inlineStr">
        <is>
          <t>Reduce security management scope</t>
        </is>
      </c>
      <c r="C9" s="9" t="inlineStr">
        <is>
          <t>PENDING_REVIEW</t>
        </is>
      </c>
      <c r="D9" s="8" t="inlineStr">
        <is>
          <t>MEDIUM</t>
        </is>
      </c>
      <c r="E9" s="8" t="inlineStr">
        <is>
          <t>Uso mixto de servicios administrados (3 tipos) e infraestructura auto-administrada (56 EC2).</t>
        </is>
      </c>
      <c r="F9" s="8" t="inlineStr">
        <is>
          <t>Lambda functions: 5 | RDS instances: 6 | DynamoDB tables: 0 | EC2 running: 56 | EC2 con IAM role: 56/56 | CloudFormation stacks: 1 | Servicios seguridad administrados: 0</t>
        </is>
      </c>
      <c r="G9" s="8" t="inlineStr">
        <is>
          <t>Reducir el alcance de gestión de seguridad: 1) Migrar cargas de trabajo EC2 a servicios administrados donde sea posible (Fargate, Lambda, RDS). 2) Para EC2 restantes, usar Systems Manager para gestión automatizada. 3) Implementar Session Manager en lugar de SSH/RDP directo. 4) Usar AWS Managed Services o servicios serverless para nuevas cargas de trabajo. 5) Consolidar herramientas de seguridad usando servicios administrados (GuardDuty, Security Hub).</t>
        </is>
      </c>
      <c r="H9" s="8" t="inlineStr">
        <is>
          <t>Riesgo medio. La infraestructura auto-administrada requiere gestión de seguridad adicional (parcheo, hardening, monitoreo).</t>
        </is>
      </c>
    </row>
    <row r="10">
      <c r="A10" s="8" t="inlineStr">
        <is>
          <t>SEC01-BP06</t>
        </is>
      </c>
      <c r="B10" s="8" t="inlineStr">
        <is>
          <t>Automate deployment of standard security controls</t>
        </is>
      </c>
      <c r="C10" s="9" t="inlineStr">
        <is>
          <t>PENDING_REVIEW</t>
        </is>
      </c>
      <c r="D10" s="8" t="inlineStr">
        <is>
          <t>MEDIUM</t>
        </is>
      </c>
      <c r="E10" s="8" t="inlineStr">
        <is>
          <t>Automatización parcial de controles de seguridad. Sin pipelines CI/CD para despliegue automatizado</t>
        </is>
      </c>
      <c r="F10" s="8" t="inlineStr">
        <is>
          <t>CloudFormation stacks: 1 total, 0 de seguridad | CodePipeline pipelines: 0 | Service Catalog portfolios: 0 | Config Rules: 1 | CodeBuild projects: 0</t>
        </is>
      </c>
      <c r="G10" s="8" t="inlineStr">
        <is>
          <t>Completar la automatización de controles de seguridad: 1) Definir todos los controles de seguridad como plantillas IaC (CloudFormation/CDK). 2) Implementar pipelines CI/CD con pruebas de seguridad automatizadas. 3) Usar Service Catalog para despliegue de autoservicio de controles pre-aprobados. 4) Implementar CloudFormation Guard para validar configuraciones antes del despliegue. 5) Configurar Config Rules para detectar desviaciones de configuración.</t>
        </is>
      </c>
      <c r="H10" s="8" t="inlineStr">
        <is>
          <t>Riesgo medio. Sin automatización completa, los controles de seguridad pueden ser inconsistentes entre entornos.</t>
        </is>
      </c>
    </row>
    <row r="11">
      <c r="A11" s="8" t="inlineStr">
        <is>
          <t>SEC01-BP07</t>
        </is>
      </c>
      <c r="B11" s="8" t="inlineStr">
        <is>
          <t>Identify threats and prioritize mitigations using a threat model</t>
        </is>
      </c>
      <c r="C11" s="10" t="inlineStr">
        <is>
          <t>NON_COMPLIANT</t>
        </is>
      </c>
      <c r="D11" s="8" t="inlineStr">
        <is>
          <t>HIGH</t>
        </is>
      </c>
      <c r="E11" s="8" t="inlineStr">
        <is>
          <t>Identificación de amenazas insuficiente. Hallazgos: Security Hub no habilitado para gestión centralizada de amenazas; GuardDuty no habilitado para detección de amenazas; Sin reglas de Config para validación de configuraciones de seguridad</t>
        </is>
      </c>
      <c r="F11" s="8" t="inlineStr">
        <is>
          <t>Security Hub: NO HABILITADO | GuardDuty: NO HABILITADO | Config Rules de seguridad: 0 | CloudTrail multi-región: 1 | WAF Web ACLs: 0</t>
        </is>
      </c>
      <c r="G11" s="8" t="inlineStr">
        <is>
          <t>Implementar identificación y priorización de amenazas: 1) Habilitar Security Hub con AWS Foundational Security Best Practices y CIS Benchmark. 2) Habilitar GuardDuty en todas las regiones con todas las protecciones. 3) Configurar Config Rules para monitorear configuraciones de seguridad. 4) Habilitar CloudTrail multi-región para registro completo de eventos. 5) Implementar WAF con reglas administradas para protección web. 6) Crear y mantener un modelo de amenazas documentado. 7) Priorizar mitigaciones basándose en severidad e impacto de negocio.</t>
        </is>
      </c>
      <c r="H11" s="8" t="inlineStr">
        <is>
          <t>Alto riesgo. Sin identificación de amenazas, no se pueden priorizar mitigaciones y los ataques pueden pasar desapercibidos.</t>
        </is>
      </c>
    </row>
    <row r="12">
      <c r="A12" s="8" t="inlineStr">
        <is>
          <t>SEC01-BP08</t>
        </is>
      </c>
      <c r="B12" s="8" t="inlineStr">
        <is>
          <t>Evaluate and implement new security services and features regularly</t>
        </is>
      </c>
      <c r="C12" s="10" t="inlineStr">
        <is>
          <t>NON_COMPLIANT</t>
        </is>
      </c>
      <c r="D12" s="8" t="inlineStr">
        <is>
          <t>HIGH</t>
        </is>
      </c>
      <c r="E12" s="8" t="inlineStr">
        <is>
          <t>Baja adopción de servicios de seguridad: solo 3/7 (43%). Servicios faltantes: GuardDuty, Security Hub, Macie, WAF.</t>
        </is>
      </c>
      <c r="F12" s="8" t="inlineStr">
        <is>
          <t>Servicios habilitados: 3/7 (43%) | Activos: Inspector, CloudTrail, Config | No habilitados: GuardDuty, Security Hub, Macie, WAF</t>
        </is>
      </c>
      <c r="G12" s="8" t="inlineStr">
        <is>
          <t>Implementar servicios de seguridad de AWS: 1) Habilitar GuardDuty para detección de amenazas en todas las regiones. 2) Habilitar Security Hub para gestión centralizada de hallazgos. 3) Habilitar Inspector para escaneo de vulnerabilidades. 4) Habilitar Macie para descubrimiento de datos sensibles en S3. 5) Configurar WAF para protección de aplicaciones web. 6) Habilitar CloudTrail para registro de eventos en todas las regiones. 7) Habilitar Config para monitoreo de configuraciones. 8) Evaluar Detective para investigación de incidentes. 9) Evaluar Shield Advanced para protección DDoS.</t>
        </is>
      </c>
      <c r="H12" s="8" t="inlineStr">
        <is>
          <t>Alto riesgo. Sin servicios de seguridad habilitados, la cuenta carece de capacidades fundamentales de detección, monitoreo y protección.</t>
        </is>
      </c>
    </row>
    <row r="14">
      <c r="A14" s="7" t="inlineStr">
        <is>
          <t>SEC02: Identity and access management - 16.7%</t>
        </is>
      </c>
    </row>
    <row r="15">
      <c r="A15" s="3" t="inlineStr">
        <is>
          <t>BP ID</t>
        </is>
      </c>
      <c r="B15" s="3" t="inlineStr">
        <is>
          <t>Descripción</t>
        </is>
      </c>
      <c r="C15" s="3" t="inlineStr">
        <is>
          <t>Estado</t>
        </is>
      </c>
      <c r="D15" s="3" t="inlineStr">
        <is>
          <t>Severidad</t>
        </is>
      </c>
      <c r="E15" s="3" t="inlineStr">
        <is>
          <t>Hallazgo</t>
        </is>
      </c>
      <c r="F15" s="3" t="inlineStr">
        <is>
          <t>Evidencia</t>
        </is>
      </c>
      <c r="G15" s="3" t="inlineStr">
        <is>
          <t>Remediación</t>
        </is>
      </c>
      <c r="H15" s="3" t="inlineStr">
        <is>
          <t>Riesgo</t>
        </is>
      </c>
    </row>
    <row r="16">
      <c r="A16" s="8" t="inlineStr">
        <is>
          <t>SEC02-BP01</t>
        </is>
      </c>
      <c r="B16" s="8" t="inlineStr">
        <is>
          <t>Use strong sign-in mechanisms</t>
        </is>
      </c>
      <c r="C16" s="10" t="inlineStr">
        <is>
          <t>NON_COMPLIANT</t>
        </is>
      </c>
      <c r="D16" s="8" t="inlineStr">
        <is>
          <t>CRITICAL</t>
        </is>
      </c>
      <c r="E16" s="8" t="inlineStr">
        <is>
          <t>Mecanismos de inicio de sesión débiles. Hallazgos: Longitud mínima de contraseña insuficiente (11, se requiere &gt;=14); Expiración de contraseña no configurada o muy larga (0 días); Prevención de reutilización insuficiente (5, se requiere &gt;=12); 5 usuario(s) con acceso a consola sin MFA</t>
        </is>
      </c>
      <c r="F16" s="8" t="inlineStr">
        <is>
          <t>Password Policy: min_length=11, upper=True, lower=True, numbers=True, symbols=True, max_age=0d, reuse_prevention=5 | Usuarios IAM: 14, Dispositivos MFA: 17 | Usuarios con consola sin MFA: 5 (alexander.amazo@gfourmis.co, fmedina@diagnos.co, jserrano@diagnos.co, juansebastian.tg@gmail.com, s3User) | IAM Identity Center: 0 instancia(s)</t>
        </is>
      </c>
      <c r="G16" s="8" t="inlineStr">
        <is>
          <t>Fortalecer mecanismos de inicio de sesión: 1) Configurar política de contraseñas: mínimo 14 caracteres, mayúsculas, minúsculas, números, símbolos. 2) Establecer expiración de contraseñas cada 90 días con prevención de reutilización de 12 contraseñas. 3) Habilitar MFA obligatorio para TODOS los usuarios con acceso a consola. 4) Preferir dispositivos MFA hardware (FIDO2) sobre MFA virtual. 5) Implementar IAM Identity Center para gestión centralizada de acceso. 6) Generar y revisar credential report periódicamente.</t>
        </is>
      </c>
      <c r="H16" s="8" t="inlineStr">
        <is>
          <t>Riesgo CRÍTICO. Sin política de contraseñas o MFA, las credenciales son vulnerables a ataques de fuerza bruta y phishing.</t>
        </is>
      </c>
    </row>
    <row r="17">
      <c r="A17" s="8" t="inlineStr">
        <is>
          <t>SEC02-BP02</t>
        </is>
      </c>
      <c r="B17" s="8" t="inlineStr">
        <is>
          <t>Use temporary credentials</t>
        </is>
      </c>
      <c r="C17" s="10" t="inlineStr">
        <is>
          <t>NON_COMPLIANT</t>
        </is>
      </c>
      <c r="D17" s="8" t="inlineStr">
        <is>
          <t>CRITICAL</t>
        </is>
      </c>
      <c r="E17" s="8" t="inlineStr">
        <is>
          <t>Uso de credenciales de larga duración detectado. Hallazgos: 5 usuario(s) con access keys de más de 90 días; Access keys activas en usuario raíz</t>
        </is>
      </c>
      <c r="F17" s="8" t="inlineStr">
        <is>
          <t>Usuarios con access keys activas: 6 | Keys &gt;90 días: 5 (bitbucket_bot (1557d), esalazar@diagnos.co (344d), juansebastian.tg@gmail.com (2008d), quepasa_bot (1471d), s3User (2219d)) | Roles IAM: 50 total, 44 de servicio | Root access keys: 1</t>
        </is>
      </c>
      <c r="G17" s="8" t="inlineStr">
        <is>
          <t>Migrar a credenciales temporales: 1) ELIMINAR INMEDIATAMENTE access keys del usuario raíz. 2) Rotar access keys de más de 90 días o reemplazar con roles IAM. 3) Usar IAM roles con STS AssumeRole para acceso programático. 4) Implementar IAM Identity Center para acceso federado. 5) Configurar duración máxima de sesión en roles (1-12 horas). 6) Generar credential report mensual para auditar credenciales.</t>
        </is>
      </c>
      <c r="H17" s="8" t="inlineStr">
        <is>
          <t>Riesgo CRÍTICO. Las access keys de larga duración, especialmente del usuario raíz, representan un vector de ataque permanente.</t>
        </is>
      </c>
    </row>
    <row r="18">
      <c r="A18" s="8" t="inlineStr">
        <is>
          <t>SEC02-BP03</t>
        </is>
      </c>
      <c r="B18" s="8" t="inlineStr">
        <is>
          <t>Store and use secrets securely</t>
        </is>
      </c>
      <c r="C18" s="10" t="inlineStr">
        <is>
          <t>NON_COMPLIANT</t>
        </is>
      </c>
      <c r="D18" s="8" t="inlineStr">
        <is>
          <t>MEDIUM</t>
        </is>
      </c>
      <c r="E18" s="8" t="inlineStr">
        <is>
          <t>Gestión de secretos insuficiente. Hallazgos: Solo 0/48 secretos tienen rotación automática; 1 función(es) Lambda con posibles secretos en variables de entorno</t>
        </is>
      </c>
      <c r="F18" s="8" t="inlineStr">
        <is>
          <t>Secrets Manager: 48 secretos, 0 con rotación | Parameter Store SecureString: 0 | Lambda con posibles secretos en env vars: 1</t>
        </is>
      </c>
      <c r="G18" s="8" t="inlineStr">
        <is>
          <t>Implementar gestión segura de secretos: 1) Migrar todos los secretos a AWS Secrets Manager. 2) Habilitar rotación automática para secretos de bases de datos y APIs. 3) Usar Parameter Store SecureString para configuraciones sensibles. 4) Eliminar secretos hardcodeados en código y variables de entorno. 5) Referenciar secretos por ARN en lugar de valores directos. 6) Configurar políticas de acceso granulares para cada secreto. 7) Auditar acceso a secretos mediante CloudTrail.</t>
        </is>
      </c>
      <c r="H18" s="8" t="inlineStr">
        <is>
          <t>Riesgo alto. Secretos no gestionados adecuadamente pueden ser expuestos en logs, repositorios o variables de entorno.</t>
        </is>
      </c>
    </row>
    <row r="19">
      <c r="A19" s="8" t="inlineStr">
        <is>
          <t>SEC02-BP04</t>
        </is>
      </c>
      <c r="B19" s="8" t="inlineStr">
        <is>
          <t>Rely on a centralized identity provider</t>
        </is>
      </c>
      <c r="C19" s="11" t="inlineStr">
        <is>
          <t>COMPLIANT</t>
        </is>
      </c>
      <c r="D19" s="8" t="inlineStr">
        <is>
          <t>LOW</t>
        </is>
      </c>
      <c r="E19" s="8" t="inlineStr">
        <is>
          <t>Proveedor de identidad centralizado configurado (1 SAML, 0 OIDC).</t>
        </is>
      </c>
      <c r="F19" s="8" t="inlineStr">
        <is>
          <t>SAML providers: 1 | OIDC providers: 0 | IAM Identity Center: 0 instancia(s) | Usuarios IAM locales: 14</t>
        </is>
      </c>
      <c r="G19" s="8" t="inlineStr">
        <is>
          <t>Estado actual cumple. Continuar usando federación para acceso centralizado y minimizar usuarios IAM locales.</t>
        </is>
      </c>
      <c r="H19" s="8" t="inlineStr">
        <is>
          <t>Bajo riesgo. La federación centraliza la gestión de identidades.</t>
        </is>
      </c>
    </row>
    <row r="20">
      <c r="A20" s="8" t="inlineStr">
        <is>
          <t>SEC02-BP05</t>
        </is>
      </c>
      <c r="B20" s="8" t="inlineStr">
        <is>
          <t>Audit and rotate credentials periodically</t>
        </is>
      </c>
      <c r="C20" s="10" t="inlineStr">
        <is>
          <t>NON_COMPLIANT</t>
        </is>
      </c>
      <c r="D20" s="8" t="inlineStr">
        <is>
          <t>HIGH</t>
        </is>
      </c>
      <c r="E20" s="8" t="inlineStr">
        <is>
          <t>Credenciales requieren auditoría y rotación. Hallazgos: 6 access key(s) sin rotar en más de 90 días; 4 usuario(s) inactivos por más de 90 días; 5 usuario(s) con consola sin MFA</t>
        </is>
      </c>
      <c r="F20" s="8" t="inlineStr">
        <is>
          <t>Credential Report: 15 usuarios | Keys &gt;90 días: 6 | Usuarios inactivos &gt;90d: 4 | Consola sin MFA: 5</t>
        </is>
      </c>
      <c r="G20" s="8" t="inlineStr">
        <is>
          <t>Auditar y rotar credenciales: 1) Rotar access keys de más de 90 días o reemplazar con roles IAM. 2) Deshabilitar o eliminar usuarios inactivos por más de 90 días. 3) Habilitar MFA para todos los usuarios con acceso a consola. 4) Generar y revisar credential report mensualmente. 5) Implementar política de rotación automática de credenciales. 6) Configurar alertas para credenciales próximas a expirar. 7) Usar IAM Access Analyzer para identificar accesos no utilizados.</t>
        </is>
      </c>
      <c r="H20" s="8" t="inlineStr">
        <is>
          <t>Riesgo alto. Credenciales antiguas o no rotadas aumentan la ventana de exposición en caso de compromiso.</t>
        </is>
      </c>
    </row>
    <row r="21">
      <c r="A21" s="8" t="inlineStr">
        <is>
          <t>SEC02-BP06</t>
        </is>
      </c>
      <c r="B21" s="8" t="inlineStr">
        <is>
          <t>Leverage user groups and attributes</t>
        </is>
      </c>
      <c r="C21" s="10" t="inlineStr">
        <is>
          <t>NON_COMPLIANT</t>
        </is>
      </c>
      <c r="D21" s="8" t="inlineStr">
        <is>
          <t>MEDIUM</t>
        </is>
      </c>
      <c r="E21" s="8" t="inlineStr">
        <is>
          <t>Gestión de grupos y atributos insuficiente. Hallazgos: 1 usuario(s) sin asignación a grupo; 1 usuario(s) con políticas inline (usar grupos en su lugar)</t>
        </is>
      </c>
      <c r="F21" s="8" t="inlineStr">
        <is>
          <t>Grupos IAM: 7 | Grupos con políticas: 7/7 | Usuarios sin grupo: 1/14 | Usuarios con políticas inline: 1</t>
        </is>
      </c>
      <c r="G21" s="8" t="inlineStr">
        <is>
          <t>Implementar gestión basada en grupos y atributos: 1) Crear grupos IAM por función de trabajo (Administradores, Desarrolladores, Auditores). 2) Asignar políticas a grupos, no a usuarios individuales. 3) Migrar políticas inline de usuarios a políticas de grupo. 4) Asignar todos los usuarios a al menos un grupo. 5) Implementar ABAC (Attribute-Based Access Control) con tags para control granular. 6) Usar condiciones de tag en políticas IAM para acceso basado en atributos.</t>
        </is>
      </c>
      <c r="H21" s="8" t="inlineStr">
        <is>
          <t>Riesgo medio. Sin grupos, los permisos se gestionan individualmente, dificultando la auditoría y el mantenimiento.</t>
        </is>
      </c>
    </row>
    <row r="23">
      <c r="A23" s="7" t="inlineStr">
        <is>
          <t>SEC03: Permission management - 22.2%</t>
        </is>
      </c>
    </row>
    <row r="24">
      <c r="A24" s="3" t="inlineStr">
        <is>
          <t>BP ID</t>
        </is>
      </c>
      <c r="B24" s="3" t="inlineStr">
        <is>
          <t>Descripción</t>
        </is>
      </c>
      <c r="C24" s="3" t="inlineStr">
        <is>
          <t>Estado</t>
        </is>
      </c>
      <c r="D24" s="3" t="inlineStr">
        <is>
          <t>Severidad</t>
        </is>
      </c>
      <c r="E24" s="3" t="inlineStr">
        <is>
          <t>Hallazgo</t>
        </is>
      </c>
      <c r="F24" s="3" t="inlineStr">
        <is>
          <t>Evidencia</t>
        </is>
      </c>
      <c r="G24" s="3" t="inlineStr">
        <is>
          <t>Remediación</t>
        </is>
      </c>
      <c r="H24" s="3" t="inlineStr">
        <is>
          <t>Riesgo</t>
        </is>
      </c>
    </row>
    <row r="25">
      <c r="A25" s="8" t="inlineStr">
        <is>
          <t>SEC03-BP01</t>
        </is>
      </c>
      <c r="B25" s="8" t="inlineStr">
        <is>
          <t>Define access requirements</t>
        </is>
      </c>
      <c r="C25" s="10" t="inlineStr">
        <is>
          <t>NON_COMPLIANT</t>
        </is>
      </c>
      <c r="D25" s="8" t="inlineStr">
        <is>
          <t>MEDIUM</t>
        </is>
      </c>
      <c r="E25" s="8" t="inlineStr">
        <is>
          <t>Requisitos de acceso insuficientemente definidos. Hallazgos: Solo 0/41 políticas tienen descripción</t>
        </is>
      </c>
      <c r="F25" s="8" t="inlineStr">
        <is>
          <t>Políticas locales: 41, documentadas: 0 | Usuarios con permission boundary: 0/14 | Roles con permission boundary: 0/20 | Políticas con tags: 0/10</t>
        </is>
      </c>
      <c r="G25" s="8" t="inlineStr">
        <is>
          <t>Definir requisitos de acceso: 1) Documentar todas las políticas IAM con descripciones claras de su propósito. 2) Implementar permission boundaries para limitar el alcance máximo de permisos. 3) Categorizar políticas con tags (equipo, entorno, aplicación). 4) Documentar matriz de acceso por rol/función de trabajo. 5) Revisar y actualizar requisitos de acceso trimestralmente. 6) Usar IAM Access Analyzer para validar que los permisos coinciden con los requisitos.</t>
        </is>
      </c>
      <c r="H25" s="8" t="inlineStr">
        <is>
          <t>Riesgo medio. Sin requisitos de acceso claros, los permisos pueden ser excesivos o insuficientes.</t>
        </is>
      </c>
    </row>
    <row r="26">
      <c r="A26" s="8" t="inlineStr">
        <is>
          <t>SEC03-BP02</t>
        </is>
      </c>
      <c r="B26" s="8" t="inlineStr">
        <is>
          <t>Grant least privilege access</t>
        </is>
      </c>
      <c r="C26" s="10" t="inlineStr">
        <is>
          <t>NON_COMPLIANT</t>
        </is>
      </c>
      <c r="D26" s="8" t="inlineStr">
        <is>
          <t>HIGH</t>
        </is>
      </c>
      <c r="E26" s="8" t="inlineStr">
        <is>
          <t>Privilegios excesivos detectados. Hallazgos: 7 usuarios con AdministratorAccess (máximo recomendado: 2); 4 política(s) con permisos wildcard (*)</t>
        </is>
      </c>
      <c r="F26" s="8" t="inlineStr">
        <is>
          <t>Usuarios con AdministratorAccess: 7 | IAM Access Analyzer: 1 | Políticas con wildcard: 4</t>
        </is>
      </c>
      <c r="G26" s="8" t="inlineStr">
        <is>
          <t>Implementar privilegios mínimos: 1) Reducir usuarios con AdministratorAccess a máximo 2 (break-glass). 2) Reemplazar políticas wildcard (*) con permisos específicos por servicio. 3) Habilitar IAM Access Analyzer para identificar permisos no utilizados. 4) Usar IAM Access Analyzer policy generation para crear políticas basadas en actividad. 5) Implementar permission boundaries para limitar el alcance máximo. 6) Revisar y reducir permisos trimestralmente.</t>
        </is>
      </c>
      <c r="H26" s="8" t="inlineStr">
        <is>
          <t>Riesgo alto. Permisos excesivos aumentan el impacto de credenciales comprometidas.</t>
        </is>
      </c>
    </row>
    <row r="27">
      <c r="A27" s="8" t="inlineStr">
        <is>
          <t>SEC03-BP03</t>
        </is>
      </c>
      <c r="B27" s="8" t="inlineStr">
        <is>
          <t>Establish emergency access process</t>
        </is>
      </c>
      <c r="C27" s="10" t="inlineStr">
        <is>
          <t>NON_COMPLIANT</t>
        </is>
      </c>
      <c r="D27" s="8" t="inlineStr">
        <is>
          <t>HIGH</t>
        </is>
      </c>
      <c r="E27" s="8" t="inlineStr">
        <is>
          <t>Proceso de acceso de emergencia no establecido. Hallazgos: Sin roles de acceso de emergencia (break-glass) definidos; Sin runbooks de emergencia en Systems Manager</t>
        </is>
      </c>
      <c r="F27" s="8" t="inlineStr">
        <is>
          <t>Roles de emergencia: 0 | Alarmas de seguridad: 0 | Runbooks de emergencia: 0</t>
        </is>
      </c>
      <c r="G27" s="8" t="inlineStr">
        <is>
          <t>Establecer proceso de acceso de emergencia: 1) Crear rol IAM "BreakGlass" con permisos administrativos y condiciones estrictas. 2) Configurar MFA obligatorio para asumir el rol de emergencia. 3) Crear alarma de CloudWatch para detectar uso del rol de emergencia. 4) Documentar procedimiento de acceso de emergencia en SSM Runbook. 5) Almacenar credenciales de emergencia en bóveda segura con acceso dual. 6) Probar el proceso de emergencia trimestralmente con simulaciones. 7) Configurar notificación SNS cuando se asuma el rol de emergencia.</t>
        </is>
      </c>
      <c r="H27" s="8" t="inlineStr">
        <is>
          <t>Alto riesgo. Sin proceso de acceso de emergencia, un incidente puede no ser contenido a tiempo por falta de acceso.</t>
        </is>
      </c>
    </row>
    <row r="28">
      <c r="A28" s="8" t="inlineStr">
        <is>
          <t>SEC03-BP04</t>
        </is>
      </c>
      <c r="B28" s="8" t="inlineStr">
        <is>
          <t>Reduce permissions continuously</t>
        </is>
      </c>
      <c r="C28" s="10" t="inlineStr">
        <is>
          <t>NON_COMPLIANT</t>
        </is>
      </c>
      <c r="D28" s="8" t="inlineStr">
        <is>
          <t>MEDIUM</t>
        </is>
      </c>
      <c r="E28" s="8" t="inlineStr">
        <is>
          <t>Reducción de permisos insuficiente. Hallazgos: 3 usuario(s) inactivos por más de 90 días</t>
        </is>
      </c>
      <c r="F28" s="8" t="inlineStr">
        <is>
          <t>Access Analyzer: 1 analizador(es) | Access Analyzer findings: 10 | Usuarios inactivos &gt;90d: 3</t>
        </is>
      </c>
      <c r="G28" s="8" t="inlineStr">
        <is>
          <t>Implementar reducción continua de permisos: 1) Habilitar IAM Access Analyzer en todas las regiones. 2) Revisar y remediar findings de Access Analyzer mensualmente. 3) Usar "last accessed" information para identificar permisos no utilizados. 4) Deshabilitar usuarios inactivos por más de 90 días. 5) Implementar revisiones trimestrales de permisos. 6) Usar Access Analyzer policy generation para crear políticas basadas en actividad real.</t>
        </is>
      </c>
      <c r="H28" s="8" t="inlineStr">
        <is>
          <t>Riesgo medio. Permisos no utilizados aumentan la superficie de ataque sin beneficio operacional.</t>
        </is>
      </c>
    </row>
    <row r="29">
      <c r="A29" s="8" t="inlineStr">
        <is>
          <t>SEC03-BP05</t>
        </is>
      </c>
      <c r="B29" s="8" t="inlineStr">
        <is>
          <t>Define permission guardrails for your organization</t>
        </is>
      </c>
      <c r="C29" s="11" t="inlineStr">
        <is>
          <t>COMPLIANT</t>
        </is>
      </c>
      <c r="D29" s="8" t="inlineStr">
        <is>
          <t>LOW</t>
        </is>
      </c>
      <c r="E29" s="8" t="inlineStr">
        <is>
          <t>Barreras de permisos organizacionales definidas con SCPs y permission boundaries.</t>
        </is>
      </c>
      <c r="F29" s="8" t="inlineStr">
        <is>
          <t>SCPs: 4 total, 3 personalizadas | Roles con permission boundary: 0/50</t>
        </is>
      </c>
      <c r="G29" s="8" t="inlineStr">
        <is>
          <t>Estado actual cumple. Revisar SCPs periódicamente y ajustar según nuevos requisitos.</t>
        </is>
      </c>
      <c r="H29" s="8" t="inlineStr">
        <is>
          <t>Bajo riesgo. Las barreras de permisos limitan el alcance máximo de acceso.</t>
        </is>
      </c>
    </row>
    <row r="30">
      <c r="A30" s="8" t="inlineStr">
        <is>
          <t>SEC03-BP06</t>
        </is>
      </c>
      <c r="B30" s="8" t="inlineStr">
        <is>
          <t>Manage access based on lifecycle</t>
        </is>
      </c>
      <c r="C30" s="10" t="inlineStr">
        <is>
          <t>NON_COMPLIANT</t>
        </is>
      </c>
      <c r="D30" s="8" t="inlineStr">
        <is>
          <t>MEDIUM</t>
        </is>
      </c>
      <c r="E30" s="8" t="inlineStr">
        <is>
          <t>Gestión de ciclo de vida de acceso deficiente. 3 usuario(s) inactivos por más de 180 días (posible offboarding incompleto)</t>
        </is>
      </c>
      <c r="F30" s="8" t="inlineStr">
        <is>
          <t>Total usuarios IAM: 14 | Inactivos &gt;90d: 0, &gt;180d: 3</t>
        </is>
      </c>
      <c r="G30" s="8" t="inlineStr">
        <is>
          <t>Implementar gestión de acceso por ciclo de vida: 1) Deshabilitar usuarios inactivos por más de 90 días. 2) Eliminar usuarios inactivos por más de 180 días. 3) Implementar proceso automatizado de onboarding/offboarding. 4) Integrar con sistema de RRHH para desactivación automática. 5) Revisar accesos mensualmente con credential report. 6) Configurar alertas para usuarios que no han iniciado sesión en 60+ días.</t>
        </is>
      </c>
      <c r="H30" s="8" t="inlineStr">
        <is>
          <t>Riesgo medio. Usuarios inactivos representan cuentas huérfanas que pueden ser comprometidas.</t>
        </is>
      </c>
    </row>
    <row r="31">
      <c r="A31" s="8" t="inlineStr">
        <is>
          <t>SEC03-BP07</t>
        </is>
      </c>
      <c r="B31" s="8" t="inlineStr">
        <is>
          <t>Analyze public and cross-account access</t>
        </is>
      </c>
      <c r="C31" s="10" t="inlineStr">
        <is>
          <t>NON_COMPLIANT</t>
        </is>
      </c>
      <c r="D31" s="8" t="inlineStr">
        <is>
          <t>HIGH</t>
        </is>
      </c>
      <c r="E31" s="8" t="inlineStr">
        <is>
          <t>Acceso público o entre cuentas no controlado. 11 recurso(s) con acceso externo detectado por Access Analyzer</t>
        </is>
      </c>
      <c r="F31" s="8" t="inlineStr">
        <is>
          <t>Access Analyzer (ACCOUNT): 1 | Findings de acceso externo activos: 11 | S3 buckets sin block public access: 0/153</t>
        </is>
      </c>
      <c r="G31" s="8" t="inlineStr">
        <is>
          <t>Analizar y controlar acceso público y entre cuentas: 1) Habilitar IAM Access Analyzer tipo ACCOUNT en todas las regiones. 2) Remediar todos los findings activos de acceso externo. 3) Habilitar S3 Block Public Access a nivel de cuenta. 4) Revisar trust policies de roles para acceso cross-account. 5) Implementar Config Rules para detectar recursos públicos. 6) Auditar bucket policies y resource policies para acceso externo.</t>
        </is>
      </c>
      <c r="H31" s="8" t="inlineStr">
        <is>
          <t>Riesgo alto. Recursos con acceso público o cross-account no controlado pueden ser explotados.</t>
        </is>
      </c>
    </row>
    <row r="32">
      <c r="A32" s="8" t="inlineStr">
        <is>
          <t>SEC03-BP08</t>
        </is>
      </c>
      <c r="B32" s="8" t="inlineStr">
        <is>
          <t>Share resources securely within your organization</t>
        </is>
      </c>
      <c r="C32" s="11" t="inlineStr">
        <is>
          <t>COMPLIANT</t>
        </is>
      </c>
      <c r="D32" s="8" t="inlineStr">
        <is>
          <t>LOW</t>
        </is>
      </c>
      <c r="E32" s="8" t="inlineStr">
        <is>
          <t>Recursos compartidos de forma segura dentro de la organización usando AWS RAM.</t>
        </is>
      </c>
      <c r="F32" s="8" t="inlineStr">
        <is>
          <t>RAM resource shares: 0</t>
        </is>
      </c>
      <c r="G32" s="8" t="inlineStr">
        <is>
          <t>Estado actual cumple. Revisar periódicamente los resource shares y sus permisos.</t>
        </is>
      </c>
      <c r="H32" s="8" t="inlineStr">
        <is>
          <t>Bajo riesgo.</t>
        </is>
      </c>
    </row>
    <row r="33">
      <c r="A33" s="8" t="inlineStr">
        <is>
          <t>SEC03-BP09</t>
        </is>
      </c>
      <c r="B33" s="8" t="inlineStr">
        <is>
          <t>Share resources securely with a third party</t>
        </is>
      </c>
      <c r="C33" s="10" t="inlineStr">
        <is>
          <t>NON_COMPLIANT</t>
        </is>
      </c>
      <c r="D33" s="8" t="inlineStr">
        <is>
          <t>HIGH</t>
        </is>
      </c>
      <c r="E33" s="8" t="inlineStr">
        <is>
          <t>Acceso de terceros sin condiciones de seguridad. 4 rol(es) cross-account sin condición ExternalId o MFA</t>
        </is>
      </c>
      <c r="F33" s="8" t="inlineStr">
        <is>
          <t>Roles con trust cross-account: 4 | Roles cross-account sin ExternalId/MFA: 4</t>
        </is>
      </c>
      <c r="G33" s="8" t="inlineStr">
        <is>
          <t>Asegurar acceso de terceros: 1) Agregar condición sts:ExternalId a todos los roles cross-account de terceros. 2) Requerir MFA para asumir roles de terceros cuando sea posible. 3) Limitar permisos de roles de terceros al mínimo necesario. 4) Configurar duración máxima de sesión corta (1 hora). 5) Monitorear uso de roles de terceros con CloudTrail. 6) Revisar y rotar ExternalIds periódicamente.</t>
        </is>
      </c>
      <c r="H33" s="8" t="inlineStr">
        <is>
          <t>Alto riesgo. Roles cross-account sin ExternalId son vulnerables a ataques de "confused deputy".</t>
        </is>
      </c>
    </row>
    <row r="35">
      <c r="A35" s="7" t="inlineStr">
        <is>
          <t>SEC04: Detection and investigation - 0.0%</t>
        </is>
      </c>
    </row>
    <row r="36">
      <c r="A36" s="3" t="inlineStr">
        <is>
          <t>BP ID</t>
        </is>
      </c>
      <c r="B36" s="3" t="inlineStr">
        <is>
          <t>Descripción</t>
        </is>
      </c>
      <c r="C36" s="3" t="inlineStr">
        <is>
          <t>Estado</t>
        </is>
      </c>
      <c r="D36" s="3" t="inlineStr">
        <is>
          <t>Severidad</t>
        </is>
      </c>
      <c r="E36" s="3" t="inlineStr">
        <is>
          <t>Hallazgo</t>
        </is>
      </c>
      <c r="F36" s="3" t="inlineStr">
        <is>
          <t>Evidencia</t>
        </is>
      </c>
      <c r="G36" s="3" t="inlineStr">
        <is>
          <t>Remediación</t>
        </is>
      </c>
      <c r="H36" s="3" t="inlineStr">
        <is>
          <t>Riesgo</t>
        </is>
      </c>
    </row>
    <row r="37">
      <c r="A37" s="8" t="inlineStr">
        <is>
          <t>SEC04-BP01</t>
        </is>
      </c>
      <c r="B37" s="8" t="inlineStr">
        <is>
          <t>Configure service and application logging</t>
        </is>
      </c>
      <c r="C37" s="10" t="inlineStr">
        <is>
          <t>NON_COMPLIANT</t>
        </is>
      </c>
      <c r="D37" s="8" t="inlineStr">
        <is>
          <t>MEDIUM</t>
        </is>
      </c>
      <c r="E37" s="8" t="inlineStr">
        <is>
          <t>Registro insuficiente. Hallazgos: 1 VPC(s) sin Flow Logs</t>
        </is>
      </c>
      <c r="F37" s="8" t="inlineStr">
        <is>
          <t>CloudTrail trails: 1 total, 1 multi-región | VPCs: 2 total, 1 sin Flow Logs | CloudWatch Log Groups: 50</t>
        </is>
      </c>
      <c r="G37" s="8" t="inlineStr">
        <is>
          <t>Configurar registro completo: 1) Habilitar CloudTrail multi-región con data events para S3 y Lambda. 2) Habilitar VPC Flow Logs en todas las VPCs. 3) Configurar retención de logs según requisitos de cumplimiento. 4) Enviar logs a CloudWatch Logs para análisis en tiempo real. 5) Habilitar log file validation en CloudTrail. 6) Configurar S3 bucket con MFA delete para proteger logs.</t>
        </is>
      </c>
      <c r="H37" s="8" t="inlineStr">
        <is>
          <t>Riesgo medio. Sin registro completo, los incidentes no pueden ser investigados adecuadamente.</t>
        </is>
      </c>
    </row>
    <row r="38">
      <c r="A38" s="8" t="inlineStr">
        <is>
          <t>SEC04-BP02</t>
        </is>
      </c>
      <c r="B38" s="8" t="inlineStr">
        <is>
          <t>Capture logs, findings, and metrics in standardized locations</t>
        </is>
      </c>
      <c r="C38" s="10" t="inlineStr">
        <is>
          <t>NON_COMPLIANT</t>
        </is>
      </c>
      <c r="D38" s="8" t="inlineStr">
        <is>
          <t>MEDIUM</t>
        </is>
      </c>
      <c r="E38" s="8" t="inlineStr">
        <is>
          <t>Centralización de registros insuficiente. 40 log groups sin política de retención; Security Hub no habilitado para centralización de hallazgos</t>
        </is>
      </c>
      <c r="F38" s="8" t="inlineStr">
        <is>
          <t>Log Groups: 50, sin retención: 40 | Security Hub: No habilitado | CloudWatch Alarms: 50</t>
        </is>
      </c>
      <c r="G38" s="8" t="inlineStr">
        <is>
          <t>Centralizar registros y hallazgos: 1) Configurar CloudWatch Logs como destino centralizado para todos los servicios. 2) Habilitar Security Hub para centralizar hallazgos de seguridad. 3) Configurar políticas de retención en todos los log groups. 4) Implementar S3 bucket centralizado para logs de largo plazo. 5) Configurar CloudWatch Alarms para métricas de seguridad críticas. 6) Considerar Amazon OpenSearch para análisis avanzado de logs.</t>
        </is>
      </c>
      <c r="H38" s="8" t="inlineStr">
        <is>
          <t>Riesgo medio. Sin centralización, la correlación de eventos y la investigación de incidentes es difícil.</t>
        </is>
      </c>
    </row>
    <row r="39">
      <c r="A39" s="8" t="inlineStr">
        <is>
          <t>SEC04-BP03</t>
        </is>
      </c>
      <c r="B39" s="8" t="inlineStr">
        <is>
          <t>Correlate and enrich security alerts</t>
        </is>
      </c>
      <c r="C39" s="10" t="inlineStr">
        <is>
          <t>NON_COMPLIANT</t>
        </is>
      </c>
      <c r="D39" s="8" t="inlineStr">
        <is>
          <t>MEDIUM</t>
        </is>
      </c>
      <c r="E39" s="8" t="inlineStr">
        <is>
          <t>Correlación de alertas insuficiente. Sin topics SNS dedicados para alertas de seguridad; Security Hub no habilitado para correlación de alertas</t>
        </is>
      </c>
      <c r="F39" s="8" t="inlineStr">
        <is>
          <t>EventBridge rules: 2 total, 0 de seguridad | SNS topics: 2 total, 0 de seguridad | Security Hub: No habilitado</t>
        </is>
      </c>
      <c r="G39" s="8" t="inlineStr">
        <is>
          <t>Implementar correlación de alertas: 1) Habilitar Security Hub para correlación centralizada de hallazgos. 2) Crear reglas de EventBridge para eventos de seguridad (GuardDuty, Config, IAM). 3) Configurar topics SNS para notificaciones de seguridad. 4) Integrar con herramientas de ticketing (Jira, ServiceNow) para gestión de incidentes. 5) Configurar Amazon Detective para investigación automatizada.</t>
        </is>
      </c>
      <c r="H39" s="8" t="inlineStr">
        <is>
          <t>Riesgo medio. Sin correlación, las alertas se procesan de forma aislada sin contexto.</t>
        </is>
      </c>
    </row>
    <row r="40">
      <c r="A40" s="8" t="inlineStr">
        <is>
          <t>SEC04-BP04</t>
        </is>
      </c>
      <c r="B40" s="8" t="inlineStr">
        <is>
          <t>Initiate remediation for non-compliant resources</t>
        </is>
      </c>
      <c r="C40" s="10" t="inlineStr">
        <is>
          <t>NON_COMPLIANT</t>
        </is>
      </c>
      <c r="D40" s="8" t="inlineStr">
        <is>
          <t>MEDIUM</t>
        </is>
      </c>
      <c r="E40" s="8" t="inlineStr">
        <is>
          <t>Remediación automática insuficiente. Config Rules sin remediación automática configurada</t>
        </is>
      </c>
      <c r="F40" s="8" t="inlineStr">
        <is>
          <t>Config Rules: 1, con remediación: 0 | SSM Automation documents: 0 | Lambda de remediación: 0</t>
        </is>
      </c>
      <c r="G40" s="8" t="inlineStr">
        <is>
          <t>Implementar remediación automática: 1) Configurar Config Rules para detectar recursos no conformes. 2) Agregar remediación automática a Config Rules (SSM Automation). 3) Crear SSM Automation documents para acciones de remediación comunes. 4) Implementar Lambda functions para remediación personalizada. 5) Configurar EventBridge para disparar remediación en eventos de seguridad. 6) Implementar aprobación manual para remediaciones de alto impacto.</t>
        </is>
      </c>
      <c r="H40" s="8" t="inlineStr">
        <is>
          <t>Riesgo medio. Sin remediación automática, los recursos no conformes permanecen en estado inseguro hasta intervención manual.</t>
        </is>
      </c>
    </row>
    <row r="42">
      <c r="A42" s="7" t="inlineStr">
        <is>
          <t>SEC05: Network protection - 0.0%</t>
        </is>
      </c>
    </row>
    <row r="43">
      <c r="A43" s="3" t="inlineStr">
        <is>
          <t>BP ID</t>
        </is>
      </c>
      <c r="B43" s="3" t="inlineStr">
        <is>
          <t>Descripción</t>
        </is>
      </c>
      <c r="C43" s="3" t="inlineStr">
        <is>
          <t>Estado</t>
        </is>
      </c>
      <c r="D43" s="3" t="inlineStr">
        <is>
          <t>Severidad</t>
        </is>
      </c>
      <c r="E43" s="3" t="inlineStr">
        <is>
          <t>Hallazgo</t>
        </is>
      </c>
      <c r="F43" s="3" t="inlineStr">
        <is>
          <t>Evidencia</t>
        </is>
      </c>
      <c r="G43" s="3" t="inlineStr">
        <is>
          <t>Remediación</t>
        </is>
      </c>
      <c r="H43" s="3" t="inlineStr">
        <is>
          <t>Riesgo</t>
        </is>
      </c>
    </row>
    <row r="44">
      <c r="A44" s="8" t="inlineStr">
        <is>
          <t>SEC05-BP01</t>
        </is>
      </c>
      <c r="B44" s="8" t="inlineStr">
        <is>
          <t>Create network layers</t>
        </is>
      </c>
      <c r="C44" s="10" t="inlineStr">
        <is>
          <t>NON_COMPLIANT</t>
        </is>
      </c>
      <c r="D44" s="8" t="inlineStr">
        <is>
          <t>HIGH</t>
        </is>
      </c>
      <c r="E44" s="8" t="inlineStr">
        <is>
          <t>Capas de red insuficientes. VPC vpc-96e233fd sin subnets privadas</t>
        </is>
      </c>
      <c r="F44" s="8" t="inlineStr">
        <is>
          <t>VPCs: 2 | VPC vpc-0a682386: 6 subnets (2 pub, 4 priv) | VPC vpc-96e233fd: 3 subnets (3 pub, 0 priv) | NAT Gateways: 1</t>
        </is>
      </c>
      <c r="G44" s="8" t="inlineStr">
        <is>
          <t>Crear capas de red: 1) Diseñar VPC con subnets públicas, privadas y aisladas. 2) Colocar recursos públicos (ALB, NAT) en subnets públicas. 3) Colocar aplicaciones en subnets privadas. 4) Colocar bases de datos en subnets aisladas (sin acceso a internet). 5) Configurar NAT Gateway para acceso saliente desde subnets privadas. 6) Usar route tables separadas por capa de red.</t>
        </is>
      </c>
      <c r="H44" s="8" t="inlineStr">
        <is>
          <t>Alto riesgo. Sin capas de red, todos los recursos están en la misma zona de seguridad.</t>
        </is>
      </c>
    </row>
    <row r="45">
      <c r="A45" s="8" t="inlineStr">
        <is>
          <t>SEC05-BP02</t>
        </is>
      </c>
      <c r="B45" s="8" t="inlineStr">
        <is>
          <t>Control traffic at all layers</t>
        </is>
      </c>
      <c r="C45" s="10" t="inlineStr">
        <is>
          <t>NON_COMPLIANT</t>
        </is>
      </c>
      <c r="D45" s="8" t="inlineStr">
        <is>
          <t>HIGH</t>
        </is>
      </c>
      <c r="E45" s="8" t="inlineStr">
        <is>
          <t>Control de tráfico insuficiente. 1 regla(s) de security group permiten acceso desde 0.0.0.0/0 a puertos sensibles</t>
        </is>
      </c>
      <c r="F45" s="8" t="inlineStr">
        <is>
          <t>Security Groups: 21 | Reglas permisivas (0.0.0.0/0 en puertos sensibles): 1 | NACLs: 2</t>
        </is>
      </c>
      <c r="G45" s="8" t="inlineStr">
        <is>
          <t>Controlar flujo de tráfico: 1) Eliminar reglas 0.0.0.0/0 en puertos SSH (22), RDP (3389) y todos los puertos. 2) Restringir acceso a IPs o rangos CIDR específicos. 3) Usar security groups como referencia en lugar de CIDRs. 4) Implementar NACLs como capa adicional de defensa. 5) Usar VPC endpoints para acceso a servicios AWS sin internet. 6) Implementar AWS Network Firewall para inspección de tráfico.</t>
        </is>
      </c>
      <c r="H45" s="8" t="inlineStr">
        <is>
          <t>Alto riesgo. Reglas permisivas exponen recursos a acceso no autorizado desde internet.</t>
        </is>
      </c>
    </row>
    <row r="46">
      <c r="A46" s="8" t="inlineStr">
        <is>
          <t>SEC05-BP03</t>
        </is>
      </c>
      <c r="B46" s="8" t="inlineStr">
        <is>
          <t>Implement inspection and protection</t>
        </is>
      </c>
      <c r="C46" s="10" t="inlineStr">
        <is>
          <t>NON_COMPLIANT</t>
        </is>
      </c>
      <c r="D46" s="8" t="inlineStr">
        <is>
          <t>HIGH</t>
        </is>
      </c>
      <c r="E46" s="8" t="inlineStr">
        <is>
          <t>Sin protección basada en inspección. Sin WAF configurado para inspección de tráfico web</t>
        </is>
      </c>
      <c r="F46" s="8" t="inlineStr">
        <is>
          <t>WAF Web ACLs: 0 | Shield Advanced: No activo (Shield Standard por defecto) | Network Firewall: 0</t>
        </is>
      </c>
      <c r="G46" s="8" t="inlineStr">
        <is>
          <t>Implementar protección basada en inspección: 1) Configurar AWS WAF con reglas administradas (SQL injection, XSS, bot control). 2) Asociar WAF a ALB, API Gateway y CloudFront. 3) Evaluar AWS Network Firewall para inspección de tráfico de red. 4) Considerar Shield Advanced para protección DDoS avanzada. 5) Implementar reglas WAF personalizadas basadas en patrones de ataque. 6) Configurar logging de WAF para análisis de tráfico bloqueado.</t>
        </is>
      </c>
      <c r="H46" s="8" t="inlineStr">
        <is>
          <t>Alto riesgo. Sin inspección de tráfico, los ataques web y de red no son detectados ni bloqueados.</t>
        </is>
      </c>
    </row>
    <row r="47">
      <c r="A47" s="8" t="inlineStr">
        <is>
          <t>SEC05-BP04</t>
        </is>
      </c>
      <c r="B47" s="8" t="inlineStr">
        <is>
          <t>Automate network protection</t>
        </is>
      </c>
      <c r="C47" s="10" t="inlineStr">
        <is>
          <t>NON_COMPLIANT</t>
        </is>
      </c>
      <c r="D47" s="8" t="inlineStr">
        <is>
          <t>MEDIUM</t>
        </is>
      </c>
      <c r="E47" s="8" t="inlineStr">
        <is>
          <t>Protección de red no automatizada. GuardDuty no habilitado para detección de amenazas de red</t>
        </is>
      </c>
      <c r="F47" s="8" t="inlineStr">
        <is>
          <t>VPC Flow Logs: 1 | GuardDuty: No habilitado | Config Rules de red: 0</t>
        </is>
      </c>
      <c r="G47" s="8" t="inlineStr">
        <is>
          <t>Automatizar protección de red: 1) Habilitar VPC Flow Logs en todas las VPCs. 2) Habilitar GuardDuty para detección de amenazas de red. 3) Configurar Config Rules para monitorear security groups y NACLs. 4) Implementar remediación automática para reglas de red no conformes. 5) Configurar alarmas de CloudWatch para patrones de tráfico anómalos. 6) Usar Lambda para respuesta automática a eventos de seguridad de red.</t>
        </is>
      </c>
      <c r="H47" s="8" t="inlineStr">
        <is>
          <t>Riesgo medio. Sin automatización, las amenazas de red requieren detección e intervención manual.</t>
        </is>
      </c>
    </row>
    <row r="49">
      <c r="A49" s="7" t="inlineStr">
        <is>
          <t>SEC06: Compute protection - 70.0%</t>
        </is>
      </c>
    </row>
    <row r="50">
      <c r="A50" s="3" t="inlineStr">
        <is>
          <t>BP ID</t>
        </is>
      </c>
      <c r="B50" s="3" t="inlineStr">
        <is>
          <t>Descripción</t>
        </is>
      </c>
      <c r="C50" s="3" t="inlineStr">
        <is>
          <t>Estado</t>
        </is>
      </c>
      <c r="D50" s="3" t="inlineStr">
        <is>
          <t>Severidad</t>
        </is>
      </c>
      <c r="E50" s="3" t="inlineStr">
        <is>
          <t>Hallazgo</t>
        </is>
      </c>
      <c r="F50" s="3" t="inlineStr">
        <is>
          <t>Evidencia</t>
        </is>
      </c>
      <c r="G50" s="3" t="inlineStr">
        <is>
          <t>Remediación</t>
        </is>
      </c>
      <c r="H50" s="3" t="inlineStr">
        <is>
          <t>Riesgo</t>
        </is>
      </c>
    </row>
    <row r="51">
      <c r="A51" s="8" t="inlineStr">
        <is>
          <t>SEC06-BP01</t>
        </is>
      </c>
      <c r="B51" s="8" t="inlineStr">
        <is>
          <t>Perform vulnerability management</t>
        </is>
      </c>
      <c r="C51" s="11" t="inlineStr">
        <is>
          <t>COMPLIANT</t>
        </is>
      </c>
      <c r="D51" s="8" t="inlineStr">
        <is>
          <t>LOW</t>
        </is>
      </c>
      <c r="E51" s="8" t="inlineStr">
        <is>
          <t>Gestión de vulnerabilidades implementada con Inspector y SSM.</t>
        </is>
      </c>
      <c r="F51" s="8" t="inlineStr">
        <is>
          <t>Inspector: Habilitado | Patch baselines custom: 0 | Instancias SSM managed: 14</t>
        </is>
      </c>
      <c r="G51" s="8" t="inlineStr">
        <is>
          <t>Estado actual cumple. Revisar findings de Inspector y mantener parcheo actualizado.</t>
        </is>
      </c>
      <c r="H51" s="8" t="inlineStr">
        <is>
          <t>Bajo riesgo.</t>
        </is>
      </c>
    </row>
    <row r="52">
      <c r="A52" s="8" t="inlineStr">
        <is>
          <t>SEC06-BP02</t>
        </is>
      </c>
      <c r="B52" s="8" t="inlineStr">
        <is>
          <t>Provision compute from hardened images</t>
        </is>
      </c>
      <c r="C52" s="11" t="inlineStr">
        <is>
          <t>COMPLIANT</t>
        </is>
      </c>
      <c r="D52" s="8" t="inlineStr">
        <is>
          <t>LOW</t>
        </is>
      </c>
      <c r="E52" s="8" t="inlineStr">
        <is>
          <t>Imágenes endurecidas disponibles (16 AMIs propias).</t>
        </is>
      </c>
      <c r="F52" s="8" t="inlineStr">
        <is>
          <t>AMIs propias: 16 | Instancias running: 56 | Image Builder pipelines: 0</t>
        </is>
      </c>
      <c r="G52" s="8" t="inlineStr">
        <is>
          <t>Estado actual cumple. Mantener pipeline de actualización de AMIs con EC2 Image Builder.</t>
        </is>
      </c>
      <c r="H52" s="8" t="inlineStr">
        <is>
          <t>Bajo riesgo.</t>
        </is>
      </c>
    </row>
    <row r="53">
      <c r="A53" s="8" t="inlineStr">
        <is>
          <t>SEC06-BP03</t>
        </is>
      </c>
      <c r="B53" s="8" t="inlineStr">
        <is>
          <t>Reduce manual management and interactive access</t>
        </is>
      </c>
      <c r="C53" s="11" t="inlineStr">
        <is>
          <t>COMPLIANT</t>
        </is>
      </c>
      <c r="D53" s="8" t="inlineStr">
        <is>
          <t>LOW</t>
        </is>
      </c>
      <c r="E53" s="8" t="inlineStr">
        <is>
          <t>Acceso interactivo reducido. Sin SSH/RDP abierto desde internet.</t>
        </is>
      </c>
      <c r="F53" s="8" t="inlineStr">
        <is>
          <t>Instancias SSM managed: 14 | SGs con SSH abierto: 0, RDP abierto: 0 | Lambda functions: 5</t>
        </is>
      </c>
      <c r="G53" s="8" t="inlineStr">
        <is>
          <t>Estado actual cumple. Usar Session Manager para acceso a instancias en lugar de SSH/RDP.</t>
        </is>
      </c>
      <c r="H53" s="8" t="inlineStr">
        <is>
          <t>Bajo riesgo.</t>
        </is>
      </c>
    </row>
    <row r="54">
      <c r="A54" s="8" t="inlineStr">
        <is>
          <t>SEC06-BP04</t>
        </is>
      </c>
      <c r="B54" s="8" t="inlineStr">
        <is>
          <t>Validate software integrity</t>
        </is>
      </c>
      <c r="C54" s="10" t="inlineStr">
        <is>
          <t>NON_COMPLIANT</t>
        </is>
      </c>
      <c r="D54" s="8" t="inlineStr">
        <is>
          <t>MEDIUM</t>
        </is>
      </c>
      <c r="E54" s="8" t="inlineStr">
        <is>
          <t>Validación de integridad insuficiente. Sin SSM Associations para validación de integridad</t>
        </is>
      </c>
      <c r="F54" s="8" t="inlineStr">
        <is>
          <t>SSM Associations: 0 | CodeBuild projects: 0 | Code signing configs: 0</t>
        </is>
      </c>
      <c r="G54" s="8" t="inlineStr">
        <is>
          <t>Implementar validación de integridad: 1) Configurar SSM State Manager para validar configuraciones. 2) Implementar code signing para funciones Lambda. 3) Usar CodeBuild con verificación de dependencias. 4) Implementar checksums para artefactos de despliegue. 5) Configurar SSM Patch Manager para parcheo automatizado.</t>
        </is>
      </c>
      <c r="H54" s="8" t="inlineStr">
        <is>
          <t>Riesgo medio. Sin validación de integridad, software modificado maliciosamente puede ser desplegado.</t>
        </is>
      </c>
    </row>
    <row r="55">
      <c r="A55" s="8" t="inlineStr">
        <is>
          <t>SEC06-BP05</t>
        </is>
      </c>
      <c r="B55" s="8" t="inlineStr">
        <is>
          <t>Automate compute protection</t>
        </is>
      </c>
      <c r="C55" s="9" t="inlineStr">
        <is>
          <t>PENDING_REVIEW</t>
        </is>
      </c>
      <c r="D55" s="8" t="inlineStr">
        <is>
          <t>MEDIUM</t>
        </is>
      </c>
      <c r="E55" s="8" t="inlineStr">
        <is>
          <t>Protección de cómputo requiere revisión de automatización.</t>
        </is>
      </c>
      <c r="F55" s="8" t="inlineStr">
        <is>
          <t>SSM managed instances: 14 | Auto Scaling groups: 0 | Config Rules de compute: 0</t>
        </is>
      </c>
      <c r="G55" s="8" t="inlineStr">
        <is>
          <t>Automatizar protección de cómputo: 1) Configurar SSM para gestión automatizada de instancias. 2) Implementar Auto Scaling para reemplazo automático de instancias comprometidas. 3) Configurar Config Rules para detectar instancias no conformes. 4) Implementar parcheo automatizado con SSM Patch Manager. 5) Usar Lambda para respuesta automática a eventos de seguridad de compute.</t>
        </is>
      </c>
      <c r="H55" s="8" t="inlineStr">
        <is>
          <t>Por Determinar. Requiere revisión del nivel de automatización actual.</t>
        </is>
      </c>
    </row>
    <row r="57">
      <c r="A57" s="7" t="inlineStr">
        <is>
          <t>SEC07: Data classification - 25.0%</t>
        </is>
      </c>
    </row>
    <row r="58">
      <c r="A58" s="3" t="inlineStr">
        <is>
          <t>BP ID</t>
        </is>
      </c>
      <c r="B58" s="3" t="inlineStr">
        <is>
          <t>Descripción</t>
        </is>
      </c>
      <c r="C58" s="3" t="inlineStr">
        <is>
          <t>Estado</t>
        </is>
      </c>
      <c r="D58" s="3" t="inlineStr">
        <is>
          <t>Severidad</t>
        </is>
      </c>
      <c r="E58" s="3" t="inlineStr">
        <is>
          <t>Hallazgo</t>
        </is>
      </c>
      <c r="F58" s="3" t="inlineStr">
        <is>
          <t>Evidencia</t>
        </is>
      </c>
      <c r="G58" s="3" t="inlineStr">
        <is>
          <t>Remediación</t>
        </is>
      </c>
      <c r="H58" s="3" t="inlineStr">
        <is>
          <t>Riesgo</t>
        </is>
      </c>
    </row>
    <row r="59">
      <c r="A59" s="8" t="inlineStr">
        <is>
          <t>SEC07-BP01</t>
        </is>
      </c>
      <c r="B59" s="8" t="inlineStr">
        <is>
          <t>Identify the data within your workload</t>
        </is>
      </c>
      <c r="C59" s="10" t="inlineStr">
        <is>
          <t>NON_COMPLIANT</t>
        </is>
      </c>
      <c r="D59" s="8" t="inlineStr">
        <is>
          <t>MEDIUM</t>
        </is>
      </c>
      <c r="E59" s="8" t="inlineStr">
        <is>
          <t>Clasificación de datos insuficiente. Amazon Macie no habilitado para descubrimiento de datos sensibles</t>
        </is>
      </c>
      <c r="F59" s="8" t="inlineStr">
        <is>
          <t>Macie: No habilitado | S3 buckets con tags de clasificación: 0/10</t>
        </is>
      </c>
      <c r="G59" s="8" t="inlineStr">
        <is>
          <t>Implementar clasificación de datos: 1) Habilitar Amazon Macie para descubrimiento automático de datos sensibles en S3. 2) Definir esquema de clasificación (Público, Interno, Confidencial, Restringido). 3) Implementar tags de clasificación en buckets S3 y recursos. 4) Configurar Macie para escaneo periódico de datos sensibles. 5) Documentar política de clasificación de datos.</t>
        </is>
      </c>
      <c r="H59" s="8" t="inlineStr">
        <is>
          <t>Riesgo medio. Sin clasificación, los datos sensibles pueden no recibir la protección adecuada.</t>
        </is>
      </c>
    </row>
    <row r="60">
      <c r="A60" s="8" t="inlineStr">
        <is>
          <t>SEC07-BP02</t>
        </is>
      </c>
      <c r="B60" s="8" t="inlineStr">
        <is>
          <t>Define data protection controls</t>
        </is>
      </c>
      <c r="C60" s="11" t="inlineStr">
        <is>
          <t>COMPLIANT</t>
        </is>
      </c>
      <c r="D60" s="8" t="inlineStr">
        <is>
          <t>LOW</t>
        </is>
      </c>
      <c r="E60" s="8" t="inlineStr">
        <is>
          <t>Controles de protección de datos aplicados. Todos los buckets cifrados y con acceso público bloqueado.</t>
        </is>
      </c>
      <c r="F60" s="8" t="inlineStr">
        <is>
          <t>S3 buckets cifrados: 15/15 | S3 sin block public access: 0</t>
        </is>
      </c>
      <c r="G60" s="8" t="inlineStr">
        <is>
          <t>Estado actual cumple. Verificar que los controles se aplican según el nivel de sensibilidad de los datos.</t>
        </is>
      </c>
      <c r="H60" s="8" t="inlineStr">
        <is>
          <t>Bajo riesgo.</t>
        </is>
      </c>
    </row>
    <row r="61">
      <c r="A61" s="8" t="inlineStr">
        <is>
          <t>SEC07-BP03</t>
        </is>
      </c>
      <c r="B61" s="8" t="inlineStr">
        <is>
          <t>Automate identification and classification</t>
        </is>
      </c>
      <c r="C61" s="10" t="inlineStr">
        <is>
          <t>NON_COMPLIANT</t>
        </is>
      </c>
      <c r="D61" s="8" t="inlineStr">
        <is>
          <t>MEDIUM</t>
        </is>
      </c>
      <c r="E61" s="8" t="inlineStr">
        <is>
          <t>Clasificación automatizada no implementada. Macie no habilitado.</t>
        </is>
      </c>
      <c r="F61" s="8" t="inlineStr">
        <is>
          <t>Macie: No habilitado</t>
        </is>
      </c>
      <c r="G61" s="8" t="inlineStr">
        <is>
          <t>Automatizar clasificación de datos: 1) Habilitar Amazon Macie. 2) Configurar jobs de clasificación para buckets S3 críticos. 3) Definir custom data identifiers para datos específicos del negocio. 4) Configurar alertas para descubrimiento de datos sensibles. 5) Integrar findings de Macie con Security Hub.</t>
        </is>
      </c>
      <c r="H61" s="8" t="inlineStr">
        <is>
          <t>Riesgo medio. Sin clasificación automatizada, los datos sensibles pueden no ser identificados.</t>
        </is>
      </c>
    </row>
    <row r="62">
      <c r="A62" s="8" t="inlineStr">
        <is>
          <t>SEC07-BP04</t>
        </is>
      </c>
      <c r="B62" s="8" t="inlineStr">
        <is>
          <t>Define data lifecycle management</t>
        </is>
      </c>
      <c r="C62" s="10" t="inlineStr">
        <is>
          <t>NON_COMPLIANT</t>
        </is>
      </c>
      <c r="D62" s="8" t="inlineStr">
        <is>
          <t>MEDIUM</t>
        </is>
      </c>
      <c r="E62" s="8" t="inlineStr">
        <is>
          <t>Gestión de ciclo de vida insuficiente. Solo 33% de buckets tienen políticas de lifecycle</t>
        </is>
      </c>
      <c r="F62" s="8" t="inlineStr">
        <is>
          <t>S3 buckets con lifecycle: 5/15 (33%) | S3 buckets con versionado: 1/15</t>
        </is>
      </c>
      <c r="G62" s="8" t="inlineStr">
        <is>
          <t>Implementar gestión de ciclo de vida: 1) Configurar S3 Lifecycle policies en todos los buckets. 2) Definir transiciones a clases de almacenamiento más económicas (IA, Glacier). 3) Configurar expiración automática de objetos según política de retención. 4) Habilitar versionado en buckets críticos. 5) Implementar S3 Object Lock para datos regulados.</t>
        </is>
      </c>
      <c r="H62" s="8" t="inlineStr">
        <is>
          <t>Riesgo medio. Sin gestión de ciclo de vida, los datos se acumulan sin control, aumentando costos y riesgo de exposición.</t>
        </is>
      </c>
    </row>
    <row r="64">
      <c r="A64" s="7" t="inlineStr">
        <is>
          <t>SEC08: Data at rest protection - 25.0%</t>
        </is>
      </c>
    </row>
    <row r="65">
      <c r="A65" s="3" t="inlineStr">
        <is>
          <t>BP ID</t>
        </is>
      </c>
      <c r="B65" s="3" t="inlineStr">
        <is>
          <t>Descripción</t>
        </is>
      </c>
      <c r="C65" s="3" t="inlineStr">
        <is>
          <t>Estado</t>
        </is>
      </c>
      <c r="D65" s="3" t="inlineStr">
        <is>
          <t>Severidad</t>
        </is>
      </c>
      <c r="E65" s="3" t="inlineStr">
        <is>
          <t>Hallazgo</t>
        </is>
      </c>
      <c r="F65" s="3" t="inlineStr">
        <is>
          <t>Evidencia</t>
        </is>
      </c>
      <c r="G65" s="3" t="inlineStr">
        <is>
          <t>Remediación</t>
        </is>
      </c>
      <c r="H65" s="3" t="inlineStr">
        <is>
          <t>Riesgo</t>
        </is>
      </c>
    </row>
    <row r="66">
      <c r="A66" s="8" t="inlineStr">
        <is>
          <t>SEC08-BP01</t>
        </is>
      </c>
      <c r="B66" s="8" t="inlineStr">
        <is>
          <t>Implement secure key management</t>
        </is>
      </c>
      <c r="C66" s="10" t="inlineStr">
        <is>
          <t>NON_COMPLIANT</t>
        </is>
      </c>
      <c r="D66" s="8" t="inlineStr">
        <is>
          <t>HIGH</t>
        </is>
      </c>
      <c r="E66" s="8" t="inlineStr">
        <is>
          <t>Gestión de claves insuficiente. 1 CMK(s) sin rotación automática</t>
        </is>
      </c>
      <c r="F66" s="8" t="inlineStr">
        <is>
          <t>KMS keys: 11 total, 1 CMKs | CMKs con rotación: 0/1 | Aliases personalizados: 1</t>
        </is>
      </c>
      <c r="G66" s="8" t="inlineStr">
        <is>
          <t>Implementar gestión segura de claves: 1) Crear CMKs para cada carga de trabajo o nivel de clasificación. 2) Habilitar rotación automática anual en todas las CMKs. 3) Configurar key policies con principio de privilegio mínimo. 4) Usar aliases descriptivos para identificar el propósito de cada clave. 5) Implementar separación de deberes (key admin vs key user). 6) Monitorear uso de claves con CloudTrail.</t>
        </is>
      </c>
      <c r="H66" s="8" t="inlineStr">
        <is>
          <t>Alto riesgo. Sin gestión adecuada de claves, el cifrado puede ser inefectivo o las claves comprometidas.</t>
        </is>
      </c>
    </row>
    <row r="67">
      <c r="A67" s="8" t="inlineStr">
        <is>
          <t>SEC08-BP02</t>
        </is>
      </c>
      <c r="B67" s="8" t="inlineStr">
        <is>
          <t>Enforce encryption at rest</t>
        </is>
      </c>
      <c r="C67" s="10" t="inlineStr">
        <is>
          <t>NON_COMPLIANT</t>
        </is>
      </c>
      <c r="D67" s="8" t="inlineStr">
        <is>
          <t>HIGH</t>
        </is>
      </c>
      <c r="E67" s="8" t="inlineStr">
        <is>
          <t>Cifrado en reposo no aplicado completamente. EBS encryption by default no habilitado</t>
        </is>
      </c>
      <c r="F67" s="8" t="inlineStr">
        <is>
          <t>EBS encryption by default: NO | S3 sin cifrado: 0/15 | RDS sin cifrado: 0/6 | DynamoDB tables: 0 (cifrado por defecto)</t>
        </is>
      </c>
      <c r="G67" s="8" t="inlineStr">
        <is>
          <t>Hacer cumplir cifrado en reposo: 1) Habilitar EBS encryption by default en la cuenta. 2) Habilitar cifrado SSE-S3 o SSE-KMS en todos los buckets S3. 3) Cifrar instancias RDS (requiere recrear si no están cifradas). 4) Usar Config Rules para detectar recursos sin cifrado. 5) Implementar SCP para prevenir creación de recursos sin cifrado.</t>
        </is>
      </c>
      <c r="H67" s="8" t="inlineStr">
        <is>
          <t>Alto riesgo. Datos sin cifrar en reposo pueden ser accedidos si el almacenamiento físico es comprometido.</t>
        </is>
      </c>
    </row>
    <row r="68">
      <c r="A68" s="8" t="inlineStr">
        <is>
          <t>SEC08-BP03</t>
        </is>
      </c>
      <c r="B68" s="8" t="inlineStr">
        <is>
          <t>Automate data at rest protection</t>
        </is>
      </c>
      <c r="C68" s="10" t="inlineStr">
        <is>
          <t>NON_COMPLIANT</t>
        </is>
      </c>
      <c r="D68" s="8" t="inlineStr">
        <is>
          <t>HIGH</t>
        </is>
      </c>
      <c r="E68" s="8" t="inlineStr">
        <is>
          <t>Protección automatizada insuficiente. EBS encryption by default no habilitado; Sin Config Rules para validar cifrado automáticamente</t>
        </is>
      </c>
      <c r="F68" s="8" t="inlineStr">
        <is>
          <t>EBS encryption by default: NO | Config Rules de cifrado: 0</t>
        </is>
      </c>
      <c r="G68" s="8" t="inlineStr">
        <is>
          <t>Automatizar protección de datos en reposo: 1) Habilitar EBS encryption by default. 2) Configurar Config Rules: s3-bucket-server-side-encryption-enabled, encrypted-volumes, rds-storage-encrypted. 3) Implementar SCP para prevenir creación de recursos sin cifrado. 4) Configurar remediación automática para recursos no cifrados.</t>
        </is>
      </c>
      <c r="H68" s="8" t="inlineStr">
        <is>
          <t>Alto riesgo. Sin automatización, nuevos recursos pueden crearse sin cifrado.</t>
        </is>
      </c>
    </row>
    <row r="69">
      <c r="A69" s="8" t="inlineStr">
        <is>
          <t>SEC08-BP04</t>
        </is>
      </c>
      <c r="B69" s="8" t="inlineStr">
        <is>
          <t>Enforce access control</t>
        </is>
      </c>
      <c r="C69" s="11" t="inlineStr">
        <is>
          <t>COMPLIANT</t>
        </is>
      </c>
      <c r="D69" s="8" t="inlineStr">
        <is>
          <t>LOW</t>
        </is>
      </c>
      <c r="E69" s="8" t="inlineStr">
        <is>
          <t>Control de acceso aplicado. S3 Block Public Access habilitado a nivel de cuenta.</t>
        </is>
      </c>
      <c r="F69" s="8" t="inlineStr">
        <is>
          <t>S3 Block Public Access: No accesible | S3 buckets: 153</t>
        </is>
      </c>
      <c r="G69" s="8" t="inlineStr">
        <is>
          <t>Estado actual cumple. Verificar bucket policies periódicamente.</t>
        </is>
      </c>
      <c r="H69" s="8" t="inlineStr">
        <is>
          <t>Bajo riesgo.</t>
        </is>
      </c>
    </row>
    <row r="71">
      <c r="A71" s="7" t="inlineStr">
        <is>
          <t>SEC09: Data in transit protection - 16.7%</t>
        </is>
      </c>
    </row>
    <row r="72">
      <c r="A72" s="3" t="inlineStr">
        <is>
          <t>BP ID</t>
        </is>
      </c>
      <c r="B72" s="3" t="inlineStr">
        <is>
          <t>Descripción</t>
        </is>
      </c>
      <c r="C72" s="3" t="inlineStr">
        <is>
          <t>Estado</t>
        </is>
      </c>
      <c r="D72" s="3" t="inlineStr">
        <is>
          <t>Severidad</t>
        </is>
      </c>
      <c r="E72" s="3" t="inlineStr">
        <is>
          <t>Hallazgo</t>
        </is>
      </c>
      <c r="F72" s="3" t="inlineStr">
        <is>
          <t>Evidencia</t>
        </is>
      </c>
      <c r="G72" s="3" t="inlineStr">
        <is>
          <t>Remediación</t>
        </is>
      </c>
      <c r="H72" s="3" t="inlineStr">
        <is>
          <t>Riesgo</t>
        </is>
      </c>
    </row>
    <row r="73">
      <c r="A73" s="8" t="inlineStr">
        <is>
          <t>SEC09-BP01</t>
        </is>
      </c>
      <c r="B73" s="8" t="inlineStr">
        <is>
          <t>Implement secure key and certificate management</t>
        </is>
      </c>
      <c r="C73" s="10" t="inlineStr">
        <is>
          <t>NON_COMPLIANT</t>
        </is>
      </c>
      <c r="D73" s="8" t="inlineStr">
        <is>
          <t>HIGH</t>
        </is>
      </c>
      <c r="E73" s="8" t="inlineStr">
        <is>
          <t>Gestión de certificados requiere atención. 2 certificado(s) expirado(s)</t>
        </is>
      </c>
      <c r="F73" s="8" t="inlineStr">
        <is>
          <t>ACM certificados: 3 total, 2 expirados</t>
        </is>
      </c>
      <c r="G73" s="8" t="inlineStr">
        <is>
          <t>Implementar gestión de certificados: 1) Usar ACM para provisionar y gestionar certificados TLS. 2) Configurar renovación automática de certificados ACM. 3) Eliminar o renovar certificados expirados. 4) Usar ACM Private CA para certificados internos. 5) Monitorear expiración de certificados con Config Rules.</t>
        </is>
      </c>
      <c r="H73" s="8" t="inlineStr">
        <is>
          <t>Certificados expirados causan interrupciones de servicio y pérdida de cifrado en tránsito.</t>
        </is>
      </c>
    </row>
    <row r="74">
      <c r="A74" s="8" t="inlineStr">
        <is>
          <t>SEC09-BP02</t>
        </is>
      </c>
      <c r="B74" s="8" t="inlineStr">
        <is>
          <t>Enforce encryption in transit</t>
        </is>
      </c>
      <c r="C74" s="10" t="inlineStr">
        <is>
          <t>NON_COMPLIANT</t>
        </is>
      </c>
      <c r="D74" s="8" t="inlineStr">
        <is>
          <t>HIGH</t>
        </is>
      </c>
      <c r="E74" s="8" t="inlineStr">
        <is>
          <t>Cifrado en tránsito no aplicado completamente. ALB lba-quepasa-prod tiene listener HTTP sin redirección a HTTPS; ALB Prod-LoadBalancer-App-DcmRouter tiene listener HTTP sin redirección a HTTPS</t>
        </is>
      </c>
      <c r="F74" s="8" t="inlineStr">
        <is>
          <t>Load Balancers: 7 | CloudFront distributions: 0 | S3 con SSL enforced: 0/10</t>
        </is>
      </c>
      <c r="G74" s="8" t="inlineStr">
        <is>
          <t>Hacer cumplir cifrado en tránsito: 1) Configurar redirección HTTP→HTTPS en todos los load balancers. 2) Configurar CloudFront con ViewerProtocolPolicy: redirect-to-https. 3) Agregar condición aws:SecureTransport en bucket policies de S3. 4) Usar TLS 1.2 como versión mínima en todos los endpoints. 5) Configurar security policies en ALB para TLS 1.2+.</t>
        </is>
      </c>
      <c r="H74" s="8" t="inlineStr">
        <is>
          <t>Alto riesgo. Tráfico sin cifrar puede ser interceptado y los datos expuestos.</t>
        </is>
      </c>
    </row>
    <row r="75">
      <c r="A75" s="8" t="inlineStr">
        <is>
          <t>SEC09-BP03</t>
        </is>
      </c>
      <c r="B75" s="8" t="inlineStr">
        <is>
          <t>Authenticate network communications</t>
        </is>
      </c>
      <c r="C75" s="9" t="inlineStr">
        <is>
          <t>PENDING_REVIEW</t>
        </is>
      </c>
      <c r="D75" s="8" t="inlineStr">
        <is>
          <t>MEDIUM</t>
        </is>
      </c>
      <c r="E75" s="8" t="inlineStr">
        <is>
          <t>Autenticación de comunicaciones de red requiere revisión según requisitos de conectividad.</t>
        </is>
      </c>
      <c r="F75" s="8" t="inlineStr">
        <is>
          <t>VPN connections: 0 | VPC endpoints: 7 | Direct Connect: 0</t>
        </is>
      </c>
      <c r="G75" s="8" t="inlineStr">
        <is>
          <t>Autenticar comunicaciones de red: 1) Usar VPN con IPSec para conectividad on-premises. 2) Implementar VPC endpoints para acceso privado a servicios AWS. 3) Considerar Direct Connect para conectividad dedicada. 4) Implementar mTLS para comunicaciones entre servicios. 5) Usar PrivateLink para acceso privado a servicios de terceros.</t>
        </is>
      </c>
      <c r="H75" s="8" t="inlineStr">
        <is>
          <t>Por Determinar. Depende de los requisitos de conectividad de la organización.</t>
        </is>
      </c>
    </row>
    <row r="77">
      <c r="A77" s="7" t="inlineStr">
        <is>
          <t>SEC10: Incident response - 31.2%</t>
        </is>
      </c>
    </row>
    <row r="78">
      <c r="A78" s="3" t="inlineStr">
        <is>
          <t>BP ID</t>
        </is>
      </c>
      <c r="B78" s="3" t="inlineStr">
        <is>
          <t>Descripción</t>
        </is>
      </c>
      <c r="C78" s="3" t="inlineStr">
        <is>
          <t>Estado</t>
        </is>
      </c>
      <c r="D78" s="3" t="inlineStr">
        <is>
          <t>Severidad</t>
        </is>
      </c>
      <c r="E78" s="3" t="inlineStr">
        <is>
          <t>Hallazgo</t>
        </is>
      </c>
      <c r="F78" s="3" t="inlineStr">
        <is>
          <t>Evidencia</t>
        </is>
      </c>
      <c r="G78" s="3" t="inlineStr">
        <is>
          <t>Remediación</t>
        </is>
      </c>
      <c r="H78" s="3" t="inlineStr">
        <is>
          <t>Riesgo</t>
        </is>
      </c>
    </row>
    <row r="79">
      <c r="A79" s="8" t="inlineStr">
        <is>
          <t>SEC10-BP01</t>
        </is>
      </c>
      <c r="B79" s="8" t="inlineStr">
        <is>
          <t>Identify key personnel and external resources</t>
        </is>
      </c>
      <c r="C79" s="10" t="inlineStr">
        <is>
          <t>NON_COMPLIANT</t>
        </is>
      </c>
      <c r="D79" s="8" t="inlineStr">
        <is>
          <t>HIGH</t>
        </is>
      </c>
      <c r="E79" s="8" t="inlineStr">
        <is>
          <t>Personal clave no identificado. Sin topics SNS para notificaciones de incidentes de seguridad</t>
        </is>
      </c>
      <c r="F79" s="8" t="inlineStr">
        <is>
          <t>SNS topics de seguridad: 0 | Alarmas de seguridad: 0</t>
        </is>
      </c>
      <c r="G79" s="8" t="inlineStr">
        <is>
          <t>Identificar personal clave y recursos: 1) Crear topic SNS para notificaciones de incidentes de seguridad. 2) Suscribir al equipo de seguridad (email, SMS, PagerDuty). 3) Configurar alarmas de CloudWatch para eventos críticos (root login, unauthorized API). 4) Documentar lista de contactos de emergencia (internos y externos). 5) Registrar contacto de seguridad en AWS Account Settings. 6) Identificar recursos externos (AWS Support, consultores de IR).</t>
        </is>
      </c>
      <c r="H79" s="8" t="inlineStr">
        <is>
          <t>Alto riesgo. Sin personal identificado, los incidentes no pueden ser escalados ni respondidos a tiempo.</t>
        </is>
      </c>
    </row>
    <row r="80">
      <c r="A80" s="8" t="inlineStr">
        <is>
          <t>SEC10-BP02</t>
        </is>
      </c>
      <c r="B80" s="8" t="inlineStr">
        <is>
          <t>Develop incident management plans</t>
        </is>
      </c>
      <c r="C80" s="10" t="inlineStr">
        <is>
          <t>NON_COMPLIANT</t>
        </is>
      </c>
      <c r="D80" s="8" t="inlineStr">
        <is>
          <t>HIGH</t>
        </is>
      </c>
      <c r="E80" s="8" t="inlineStr">
        <is>
          <t>Planes de incidentes no desarrollados. Sin runbooks/playbooks de respuesta a incidentes en SSM</t>
        </is>
      </c>
      <c r="F80" s="8" t="inlineStr">
        <is>
          <t>SSM Documents propios: 1, de incidentes: 0 | EventBridge rules de incidentes: 0</t>
        </is>
      </c>
      <c r="G80" s="8" t="inlineStr">
        <is>
          <t>Desarrollar planes de gestión de incidentes: 1) Crear runbooks en SSM para escenarios comunes (credenciales comprometidas, acceso no autorizado, data breach). 2) Documentar procedimientos de escalación y comunicación. 3) Configurar EventBridge rules para respuesta automática a findings de GuardDuty. 4) Definir roles y responsabilidades del equipo de respuesta. 5) Integrar con AWS Incident Manager para gestión centralizada.</t>
        </is>
      </c>
      <c r="H80" s="8" t="inlineStr">
        <is>
          <t>Alto riesgo. Sin planes de incidentes, la respuesta será improvisada y lenta.</t>
        </is>
      </c>
    </row>
    <row r="81">
      <c r="A81" s="8" t="inlineStr">
        <is>
          <t>SEC10-BP03</t>
        </is>
      </c>
      <c r="B81" s="8" t="inlineStr">
        <is>
          <t>Prepare forensic capabilities</t>
        </is>
      </c>
      <c r="C81" s="9" t="inlineStr">
        <is>
          <t>PENDING_REVIEW</t>
        </is>
      </c>
      <c r="D81" s="8" t="inlineStr">
        <is>
          <t>MEDIUM</t>
        </is>
      </c>
      <c r="E81" s="8" t="inlineStr">
        <is>
          <t>Capacidades forenses requieren revisión. Verificar procedimientos de preservación de evidencia.</t>
        </is>
      </c>
      <c r="F81" s="8" t="inlineStr">
        <is>
          <t>EBS snapshots: 18 | CloudTrail trails: 1</t>
        </is>
      </c>
      <c r="G81" s="8" t="inlineStr">
        <is>
          <t>Preparar capacidades forenses: 1) Crear cuenta AWS dedicada para forense con acceso restringido. 2) Configurar snapshots automáticos de EBS para preservación de evidencia. 3) Habilitar CloudTrail con log file validation y S3 MFA delete. 4) Implementar VPC aislada para análisis forense. 5) Pre-instalar herramientas forenses (volatility, SIFT) en AMI dedicada. 6) Documentar procedimiento de cadena de custodia digital.</t>
        </is>
      </c>
      <c r="H81" s="8" t="inlineStr">
        <is>
          <t>Por Determinar. Requiere verificación de procedimientos forenses documentados.</t>
        </is>
      </c>
    </row>
    <row r="82">
      <c r="A82" s="8" t="inlineStr">
        <is>
          <t>SEC10-BP04</t>
        </is>
      </c>
      <c r="B82" s="8" t="inlineStr">
        <is>
          <t>Automate containment and recovery capability</t>
        </is>
      </c>
      <c r="C82" s="10" t="inlineStr">
        <is>
          <t>NON_COMPLIANT</t>
        </is>
      </c>
      <c r="D82" s="8" t="inlineStr">
        <is>
          <t>HIGH</t>
        </is>
      </c>
      <c r="E82" s="8" t="inlineStr">
        <is>
          <t>Playbooks de respuesta no implementados. Sin funciones Lambda de respuesta automática a incidentes</t>
        </is>
      </c>
      <c r="F82" s="8" t="inlineStr">
        <is>
          <t>Lambda de respuesta: 0 | Step Functions de incidentes: 0</t>
        </is>
      </c>
      <c r="G82" s="8" t="inlineStr">
        <is>
          <t>Desarrollar playbooks de respuesta: 1) Crear Lambda functions para contención automática (aislar instancia, revocar credenciales). 2) Implementar Step Functions para workflows de respuesta multi-paso. 3) Crear playbooks para: credenciales comprometidas, instancia comprometida, data breach, DDoS. 4) Integrar con EventBridge para disparo automático. 5) Probar playbooks trimestralmente con simulaciones.</t>
        </is>
      </c>
      <c r="H82" s="8" t="inlineStr">
        <is>
          <t>Alto riesgo. Sin playbooks automatizados, la contención de incidentes depende de intervención manual.</t>
        </is>
      </c>
    </row>
    <row r="83">
      <c r="A83" s="8" t="inlineStr">
        <is>
          <t>SEC10-BP05</t>
        </is>
      </c>
      <c r="B83" s="8" t="inlineStr">
        <is>
          <t>Pre-provision access</t>
        </is>
      </c>
      <c r="C83" s="10" t="inlineStr">
        <is>
          <t>NON_COMPLIANT</t>
        </is>
      </c>
      <c r="D83" s="8" t="inlineStr">
        <is>
          <t>HIGH</t>
        </is>
      </c>
      <c r="E83" s="8" t="inlineStr">
        <is>
          <t>Sin roles pre-provisionados para respuesta a incidentes.</t>
        </is>
      </c>
      <c r="F83" s="8" t="inlineStr">
        <is>
          <t>Roles de respuesta a incidentes: 0</t>
        </is>
      </c>
      <c r="G83" s="8" t="inlineStr">
        <is>
          <t>Pre-provisionar acceso para respuesta a incidentes: 1) Crear rol IAM "IncidentResponse" con permisos necesarios para investigación. 2) Crear rol "ForensicAnalyst" con acceso a logs y snapshots. 3) Requerir MFA para asumir roles de incidentes. 4) Configurar alarma cuando se asuman estos roles. 5) Documentar procedimiento de acceso de emergencia.</t>
        </is>
      </c>
      <c r="H83" s="8" t="inlineStr">
        <is>
          <t>Alto riesgo. Sin acceso pre-provisionado, la respuesta a incidentes se retrasa por falta de permisos.</t>
        </is>
      </c>
    </row>
    <row r="84">
      <c r="A84" s="8" t="inlineStr">
        <is>
          <t>SEC10-BP06</t>
        </is>
      </c>
      <c r="B84" s="8" t="inlineStr">
        <is>
          <t>Pre-deploy tools</t>
        </is>
      </c>
      <c r="C84" s="11" t="inlineStr">
        <is>
          <t>COMPLIANT</t>
        </is>
      </c>
      <c r="D84" s="8" t="inlineStr">
        <is>
          <t>LOW</t>
        </is>
      </c>
      <c r="E84" s="8" t="inlineStr">
        <is>
          <t>Herramientas pre-desplegadas para respuesta a incidentes.</t>
        </is>
      </c>
      <c r="F84" s="8" t="inlineStr">
        <is>
          <t>VPC endpoints S3: 1 | Stacks de seguridad: 0</t>
        </is>
      </c>
      <c r="G84" s="8" t="inlineStr">
        <is>
          <t>Estado actual cumple. Mantener herramientas actualizadas.</t>
        </is>
      </c>
      <c r="H84" s="8" t="inlineStr">
        <is>
          <t>Bajo riesgo.</t>
        </is>
      </c>
    </row>
    <row r="85">
      <c r="A85" s="8" t="inlineStr">
        <is>
          <t>SEC10-BP07</t>
        </is>
      </c>
      <c r="B85" s="8" t="inlineStr">
        <is>
          <t>Run game days</t>
        </is>
      </c>
      <c r="C85" s="9" t="inlineStr">
        <is>
          <t>PENDING_REVIEW</t>
        </is>
      </c>
      <c r="D85" s="8" t="inlineStr">
        <is>
          <t>MEDIUM</t>
        </is>
      </c>
      <c r="E85" s="8" t="inlineStr">
        <is>
          <t>Simulaciones de incidentes requieren verificación. Revisar si se realizan game days periódicamente.</t>
        </is>
      </c>
      <c r="F85" s="8" t="inlineStr">
        <is>
          <t>SSM docs de simulación: 0 | FIS experiment templates: 0</t>
        </is>
      </c>
      <c r="G85" s="8" t="inlineStr">
        <is>
          <t>Ejecutar simulaciones de incidentes: 1) Programar game days trimestrales con escenarios de seguridad. 2) Usar AWS FIS para inyección de fallos controlada. 3) Simular escenarios: credenciales comprometidas, ransomware, data exfiltration. 4) Documentar lecciones aprendidas y actualizar playbooks. 5) Involucrar a todos los equipos relevantes en las simulaciones.</t>
        </is>
      </c>
      <c r="H85" s="8" t="inlineStr">
        <is>
          <t>Por Determinar. Requiere verificación de frecuencia y alcance de simulaciones.</t>
        </is>
      </c>
    </row>
    <row r="86">
      <c r="A86" s="8" t="inlineStr">
        <is>
          <t>SEC10-BP08</t>
        </is>
      </c>
      <c r="B86" s="8" t="inlineStr"/>
      <c r="C86" s="9" t="inlineStr">
        <is>
          <t>PENDING_REVIEW</t>
        </is>
      </c>
      <c r="D86" s="8" t="inlineStr">
        <is>
          <t>MEDIUM</t>
        </is>
      </c>
      <c r="E86" s="8" t="inlineStr">
        <is>
          <t>Marco de aprendizaje de incidentes requiere verificación. Revisar si se realizan post-mortems.</t>
        </is>
      </c>
      <c r="F86" s="8" t="inlineStr">
        <is>
          <t>OpsCenter items abiertos: 0</t>
        </is>
      </c>
      <c r="G86" s="8" t="inlineStr">
        <is>
          <t>Establecer marco de aprendizaje: 1) Implementar proceso de post-mortem para cada incidente de seguridad. 2) Usar SSM OpsCenter para tracking de incidentes y acciones correctivas. 3) Documentar lecciones aprendidas y compartir con la organización. 4) Actualizar playbooks y controles basándose en lecciones aprendidas. 5) Mantener base de conocimiento de incidentes anteriores. 6) Implementar métricas de mejora continua (MTTD, MTTR).</t>
        </is>
      </c>
      <c r="H86" s="8" t="inlineStr">
        <is>
          <t>Por Determinar. Requiere verificación de procesos de post-mortem.</t>
        </is>
      </c>
    </row>
    <row r="88">
      <c r="A88" s="7" t="inlineStr">
        <is>
          <t>SEC11: Application security - 31.2%</t>
        </is>
      </c>
    </row>
    <row r="89">
      <c r="A89" s="3" t="inlineStr">
        <is>
          <t>BP ID</t>
        </is>
      </c>
      <c r="B89" s="3" t="inlineStr">
        <is>
          <t>Descripción</t>
        </is>
      </c>
      <c r="C89" s="3" t="inlineStr">
        <is>
          <t>Estado</t>
        </is>
      </c>
      <c r="D89" s="3" t="inlineStr">
        <is>
          <t>Severidad</t>
        </is>
      </c>
      <c r="E89" s="3" t="inlineStr">
        <is>
          <t>Hallazgo</t>
        </is>
      </c>
      <c r="F89" s="3" t="inlineStr">
        <is>
          <t>Evidencia</t>
        </is>
      </c>
      <c r="G89" s="3" t="inlineStr">
        <is>
          <t>Remediación</t>
        </is>
      </c>
      <c r="H89" s="3" t="inlineStr">
        <is>
          <t>Riesgo</t>
        </is>
      </c>
    </row>
    <row r="90">
      <c r="A90" s="8" t="inlineStr">
        <is>
          <t>SEC11-BP01</t>
        </is>
      </c>
      <c r="B90" s="8" t="inlineStr">
        <is>
          <t>Train for application security</t>
        </is>
      </c>
      <c r="C90" s="9" t="inlineStr">
        <is>
          <t>PENDING_REVIEW</t>
        </is>
      </c>
      <c r="D90" s="8" t="inlineStr">
        <is>
          <t>MEDIUM</t>
        </is>
      </c>
      <c r="E90" s="8" t="inlineStr">
        <is>
          <t>Security Hub no habilitado. No se puede evaluar el nivel de capacitación en seguridad.</t>
        </is>
      </c>
      <c r="F90" s="8" t="inlineStr">
        <is>
          <t>Security Hub: No habilitado</t>
        </is>
      </c>
      <c r="G90" s="8" t="inlineStr">
        <is>
          <t>Implementar capacitación en seguridad: 1) Habilitar Security Hub con estándares de seguridad. 2) Implementar programa de capacitación en seguridad de aplicaciones. 3) Incluir OWASP Top 10, SANS Top 25 en el programa. 4) Realizar ejercicios prácticos de seguridad (CTF, code review). 5) Certificar al equipo en seguridad de AWS.</t>
        </is>
      </c>
      <c r="H90" s="8" t="inlineStr">
        <is>
          <t>Por Determinar.</t>
        </is>
      </c>
    </row>
    <row r="91">
      <c r="A91" s="8" t="inlineStr">
        <is>
          <t>SEC11-BP02</t>
        </is>
      </c>
      <c r="B91" s="8" t="inlineStr">
        <is>
          <t>Automate testing throughout the development and release lifecycle</t>
        </is>
      </c>
      <c r="C91" s="10" t="inlineStr">
        <is>
          <t>NON_COMPLIANT</t>
        </is>
      </c>
      <c r="D91" s="8" t="inlineStr">
        <is>
          <t>MEDIUM</t>
        </is>
      </c>
      <c r="E91" s="8" t="inlineStr">
        <is>
          <t>Pruebas de seguridad no automatizadas. Sin proyectos CodeBuild para pruebas automatizadas</t>
        </is>
      </c>
      <c r="F91" s="8" t="inlineStr">
        <is>
          <t>CodeBuild projects: 0 | CodePipeline: 0 | Inspector: Habilitado</t>
        </is>
      </c>
      <c r="G91" s="8" t="inlineStr">
        <is>
          <t>Automatizar pruebas de seguridad: 1) Implementar CodeBuild con escaneo SAST (SonarQube, Checkmarx). 2) Integrar Inspector para escaneo de vulnerabilidades en dependencias. 3) Agregar etapa de seguridad en CodePipeline. 4) Implementar DAST en entorno de staging. 5) Configurar gates de seguridad que bloqueen despliegue con vulnerabilidades críticas.</t>
        </is>
      </c>
      <c r="H91" s="8" t="inlineStr">
        <is>
          <t>Riesgo medio. Sin pruebas automatizadas, las vulnerabilidades llegan a producción.</t>
        </is>
      </c>
    </row>
    <row r="92">
      <c r="A92" s="8" t="inlineStr">
        <is>
          <t>SEC11-BP03</t>
        </is>
      </c>
      <c r="B92" s="8" t="inlineStr">
        <is>
          <t>Perform regular penetration testing</t>
        </is>
      </c>
      <c r="C92" s="9" t="inlineStr">
        <is>
          <t>PENDING_REVIEW</t>
        </is>
      </c>
      <c r="D92" s="8" t="inlineStr">
        <is>
          <t>MEDIUM</t>
        </is>
      </c>
      <c r="E92" s="8" t="inlineStr">
        <is>
          <t>Inspector habilitado. Verificar si se realizan pruebas de penetración periódicas adicionales.</t>
        </is>
      </c>
      <c r="F92" s="8" t="inlineStr">
        <is>
          <t>Inspector: Habilitado para escaneo de vulnerabilidades</t>
        </is>
      </c>
      <c r="G92" s="8" t="inlineStr">
        <is>
          <t>Complementar con pruebas de penetración: 1) Programar pentests anuales con proveedor externo certificado. 2) Usar Inspector para escaneo continuo de vulnerabilidades. 3) Realizar pruebas de penetración internas trimestrales. 4) Documentar y remediar hallazgos con SLAs definidos. 5) Verificar cumplimiento con AWS Penetration Testing Policy.</t>
        </is>
      </c>
      <c r="H92" s="8" t="inlineStr">
        <is>
          <t>Por Determinar. Requiere verificación de frecuencia de pentests.</t>
        </is>
      </c>
    </row>
    <row r="93">
      <c r="A93" s="8" t="inlineStr">
        <is>
          <t>SEC11-BP04</t>
        </is>
      </c>
      <c r="B93" s="8" t="inlineStr">
        <is>
          <t>Manual code reviews</t>
        </is>
      </c>
      <c r="C93" s="9" t="inlineStr">
        <is>
          <t>PENDING_REVIEW</t>
        </is>
      </c>
      <c r="D93" s="8" t="inlineStr">
        <is>
          <t>MEDIUM</t>
        </is>
      </c>
      <c r="E93" s="8" t="inlineStr">
        <is>
          <t>Revisiones de código requieren verificación. Puede usar repositorios externos (GitHub, GitLab).</t>
        </is>
      </c>
      <c r="F93" s="8" t="inlineStr">
        <is>
          <t>CodeCommit repos: 0 | CodeBuild projects: 0</t>
        </is>
      </c>
      <c r="G93" s="8" t="inlineStr">
        <is>
          <t>Implementar revisiones de código: 1) Configurar branch protection rules que requieran code review. 2) Implementar CODEOWNERS para revisión obligatoria de cambios de seguridad. 3) Usar herramientas de análisis estático (CodeGuru, SonarQube). 4) Incluir checklist de seguridad en proceso de code review. 5) Capacitar revisores en patrones de vulnerabilidades comunes.</t>
        </is>
      </c>
      <c r="H93" s="8" t="inlineStr">
        <is>
          <t>Por Determinar. Requiere verificación del proceso de code review.</t>
        </is>
      </c>
    </row>
    <row r="94">
      <c r="A94" s="8" t="inlineStr">
        <is>
          <t>SEC11-BP05</t>
        </is>
      </c>
      <c r="B94" s="8" t="inlineStr">
        <is>
          <t>Centralize services for packages and dependencies</t>
        </is>
      </c>
      <c r="C94" s="10" t="inlineStr">
        <is>
          <t>NON_COMPLIANT</t>
        </is>
      </c>
      <c r="D94" s="8" t="inlineStr">
        <is>
          <t>MEDIUM</t>
        </is>
      </c>
      <c r="E94" s="8" t="inlineStr">
        <is>
          <t>Sin repositorio centralizado de paquetes.</t>
        </is>
      </c>
      <c r="F94" s="8" t="inlineStr">
        <is>
          <t>CodeArtifact domains: 0</t>
        </is>
      </c>
      <c r="G94" s="8" t="inlineStr">
        <is>
          <t>Centralizar gestión de dependencias: 1) Configurar CodeArtifact como repositorio centralizado. 2) Configurar upstream repositories para npm, PyPI, Maven. 3) Implementar escaneo de vulnerabilidades en dependencias. 4) Bloquear paquetes con vulnerabilidades conocidas. 5) Auditar dependencias periódicamente con Inspector.</t>
        </is>
      </c>
      <c r="H94" s="8" t="inlineStr">
        <is>
          <t>Riesgo medio. Sin gestión centralizada, las dependencias no son verificadas.</t>
        </is>
      </c>
    </row>
    <row r="95">
      <c r="A95" s="8" t="inlineStr">
        <is>
          <t>SEC11-BP06</t>
        </is>
      </c>
      <c r="B95" s="8" t="inlineStr">
        <is>
          <t>Deploy software programmatically</t>
        </is>
      </c>
      <c r="C95" s="10" t="inlineStr">
        <is>
          <t>NON_COMPLIANT</t>
        </is>
      </c>
      <c r="D95" s="8" t="inlineStr">
        <is>
          <t>MEDIUM</t>
        </is>
      </c>
      <c r="E95" s="8" t="inlineStr">
        <is>
          <t>Despliegue no programático. Sin pipelines CI/CD para despliegue programático</t>
        </is>
      </c>
      <c r="F95" s="8" t="inlineStr">
        <is>
          <t>CodePipeline: 0 | CodeDeploy apps: 0 | CloudFormation stacks: 1</t>
        </is>
      </c>
      <c r="G95" s="8" t="inlineStr">
        <is>
          <t>Implementar despliegue programático: 1) Configurar CodePipeline para despliegue automatizado. 2) Usar CodeDeploy para despliegues blue/green o canary. 3) Implementar IaC con CloudFormation/CDK para infraestructura. 4) Eliminar acceso manual a producción. 5) Implementar aprobaciones manuales para despliegues a producción.</t>
        </is>
      </c>
      <c r="H95" s="8" t="inlineStr">
        <is>
          <t>Riesgo medio. Despliegues manuales son propensos a errores y difíciles de auditar.</t>
        </is>
      </c>
    </row>
    <row r="96">
      <c r="A96" s="8" t="inlineStr">
        <is>
          <t>SEC11-BP07</t>
        </is>
      </c>
      <c r="B96" s="8" t="inlineStr">
        <is>
          <t>Regularly assess security properties of the pipelines</t>
        </is>
      </c>
      <c r="C96" s="9" t="inlineStr">
        <is>
          <t>PENDING_REVIEW</t>
        </is>
      </c>
      <c r="D96" s="8" t="inlineStr">
        <is>
          <t>MEDIUM</t>
        </is>
      </c>
      <c r="E96" s="8" t="inlineStr">
        <is>
          <t>Security Hub no habilitado. No se puede evaluar automáticamente la seguridad de pipelines.</t>
        </is>
      </c>
      <c r="F96" s="8" t="inlineStr">
        <is>
          <t>Security Hub: No habilitado</t>
        </is>
      </c>
      <c r="G96" s="8" t="inlineStr">
        <is>
          <t>Habilitar Security Hub y auditar pipelines: 1) Habilitar Security Hub para evaluación continua. 2) Auditar permisos de roles de CI/CD. 3) Implementar principio de privilegio mínimo en pipelines. 4) Cifrar artefactos y secretos en pipelines.</t>
        </is>
      </c>
      <c r="H96" s="8" t="inlineStr">
        <is>
          <t>Por Determinar.</t>
        </is>
      </c>
    </row>
    <row r="97">
      <c r="A97" s="8" t="inlineStr">
        <is>
          <t>SEC11-BP08</t>
        </is>
      </c>
      <c r="B97" s="8" t="inlineStr">
        <is>
          <t>Build a program that embeds security ownership in workload teams</t>
        </is>
      </c>
      <c r="C97" s="9" t="inlineStr">
        <is>
          <t>PENDING_REVIEW</t>
        </is>
      </c>
      <c r="D97" s="8" t="inlineStr">
        <is>
          <t>MEDIUM</t>
        </is>
      </c>
      <c r="E97" s="8" t="inlineStr">
        <is>
          <t>Adopción parcial de seguridad (3/5 servicios).</t>
        </is>
      </c>
      <c r="F97" s="8" t="inlineStr">
        <is>
          <t>Servicios de seguridad habilitados: 3/5</t>
        </is>
      </c>
      <c r="G97" s="8" t="inlineStr">
        <is>
          <t>Fortalecer programa de seguridad: 1) Habilitar todos los servicios de seguridad fundamentales. 2) Designar security champions en cada equipo de desarrollo. 3) Implementar programa de capacitación en seguridad. 4) Incluir métricas de seguridad en OKRs de los equipos. 5) Realizar revisiones de seguridad en cada sprint.</t>
        </is>
      </c>
      <c r="H97" s="8" t="inlineStr">
        <is>
          <t>Riesgo medio. Programa de seguridad parcial puede dejar brechas.</t>
        </is>
      </c>
    </row>
    <row r="101">
      <c r="A101" s="12" t="inlineStr">
        <is>
          <t>RESUMEN DEL PILAR</t>
        </is>
      </c>
    </row>
    <row r="103">
      <c r="A103" s="5" t="inlineStr">
        <is>
          <t>Total BPs Evaluadas:</t>
        </is>
      </c>
      <c r="B103" t="n">
        <v>63</v>
      </c>
    </row>
    <row r="104">
      <c r="A104" s="5" t="inlineStr">
        <is>
          <t>% Cumplimiento:</t>
        </is>
      </c>
      <c r="B104" t="inlineStr">
        <is>
          <t>25.4%</t>
        </is>
      </c>
    </row>
    <row r="105">
      <c r="A105" s="5" t="inlineStr">
        <is>
          <t>BPs CUMPLEN:</t>
        </is>
      </c>
      <c r="B105" t="n">
        <v>9</v>
      </c>
    </row>
    <row r="106">
      <c r="A106" s="5" t="inlineStr">
        <is>
          <t>BPs NO CUMPLEN:</t>
        </is>
      </c>
      <c r="B106" t="n">
        <v>40</v>
      </c>
    </row>
    <row r="107">
      <c r="A107" s="5" t="inlineStr">
        <is>
          <t>BPs PENDIENTES:</t>
        </is>
      </c>
      <c r="B107" t="n">
        <v>14</v>
      </c>
    </row>
    <row r="109">
      <c r="A109" s="13" t="inlineStr">
        <is>
          <t>DESGLOSE POR SEVERIDAD</t>
        </is>
      </c>
    </row>
    <row r="110">
      <c r="A110" s="14" t="inlineStr">
        <is>
          <t>Estado</t>
        </is>
      </c>
      <c r="B110" s="14" t="inlineStr">
        <is>
          <t>Crítica</t>
        </is>
      </c>
      <c r="C110" s="14" t="inlineStr">
        <is>
          <t>Alta</t>
        </is>
      </c>
      <c r="D110" s="14" t="inlineStr">
        <is>
          <t>Media</t>
        </is>
      </c>
      <c r="E110" s="14" t="inlineStr">
        <is>
          <t>Baja</t>
        </is>
      </c>
    </row>
    <row r="111">
      <c r="A111" s="5" t="inlineStr">
        <is>
          <t>Cumplen</t>
        </is>
      </c>
      <c r="B111" t="n">
        <v>0</v>
      </c>
      <c r="C111" t="n">
        <v>0</v>
      </c>
      <c r="D111" t="n">
        <v>0</v>
      </c>
      <c r="E111" t="n">
        <v>9</v>
      </c>
    </row>
    <row r="112">
      <c r="A112" s="5" t="inlineStr">
        <is>
          <t>No Cumplen</t>
        </is>
      </c>
      <c r="B112" t="n">
        <v>3</v>
      </c>
      <c r="C112" t="n">
        <v>20</v>
      </c>
      <c r="D112" t="n">
        <v>17</v>
      </c>
      <c r="E112" t="n">
        <v>0</v>
      </c>
    </row>
    <row r="113">
      <c r="A113" s="5" t="inlineStr">
        <is>
          <t>Pendientes</t>
        </is>
      </c>
      <c r="B113" t="n">
        <v>0</v>
      </c>
      <c r="C113" t="n">
        <v>0</v>
      </c>
      <c r="D113" t="n">
        <v>14</v>
      </c>
      <c r="E113" t="n">
        <v>0</v>
      </c>
    </row>
  </sheetData>
  <mergeCells count="13">
    <mergeCell ref="A3:H3"/>
    <mergeCell ref="A101:H101"/>
    <mergeCell ref="A77:H77"/>
    <mergeCell ref="A35:H35"/>
    <mergeCell ref="A57:H57"/>
    <mergeCell ref="A71:H71"/>
    <mergeCell ref="A64:H64"/>
    <mergeCell ref="A42:H42"/>
    <mergeCell ref="A14:H14"/>
    <mergeCell ref="A49:H49"/>
    <mergeCell ref="A1:H1"/>
    <mergeCell ref="A23:H23"/>
    <mergeCell ref="A88:H88"/>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2026-10-23T16:30:11Z</dcterms:created>
  <dcterms:modified xmlns:dcterms="http://purl.org/dc/terms/" xmlns:xsi="http://www.w3.org/2001/XMLSchema-instance" xsi:type="dcterms:W3CDTF">2026-10-23T16:30:11Z</dcterms:modified>
</cp:coreProperties>
</file>