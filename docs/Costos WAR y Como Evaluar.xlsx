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AAM\GFourmis\ProjAutWAF\"/>
    </mc:Choice>
  </mc:AlternateContent>
  <xr:revisionPtr revIDLastSave="0" documentId="8_{C8BFA6B3-D776-4B88-8D6A-A45D3D8769B3}" xr6:coauthVersionLast="47" xr6:coauthVersionMax="47" xr10:uidLastSave="{00000000-0000-0000-0000-000000000000}"/>
  <bookViews>
    <workbookView xWindow="-120" yWindow="-120" windowWidth="38640" windowHeight="15720" xr2:uid="{76DB14F6-4D26-41A4-BD05-62AC26516F31}"/>
  </bookViews>
  <sheets>
    <sheet name="Costo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60" i="1" l="1"/>
  <c r="B57" i="1"/>
  <c r="B53" i="1"/>
  <c r="B49" i="1"/>
  <c r="B43" i="1"/>
  <c r="B38" i="1"/>
  <c r="B31" i="1"/>
  <c r="B25" i="1"/>
  <c r="B18" i="1"/>
  <c r="B11" i="1"/>
  <c r="B1" i="1"/>
</calcChain>
</file>

<file path=xl/sharedStrings.xml><?xml version="1.0" encoding="utf-8"?>
<sst xmlns="http://schemas.openxmlformats.org/spreadsheetml/2006/main" count="283" uniqueCount="262">
  <si>
    <t>Práctica la gestión financiera en la nube
COST 1. ¿Cómo implementa la gestión financiera en la nube?</t>
  </si>
  <si>
    <t>Servicios, Recursos y Configuraciones a Evaluar</t>
  </si>
  <si>
    <t>¿Cómo evaluar? (Acciones y Revisiones)</t>
  </si>
  <si>
    <t>Validación por CLI</t>
  </si>
  <si>
    <r>
      <rPr>
        <b/>
        <sz val="11"/>
        <color rgb="FF000000"/>
        <rFont val="Montserrat"/>
      </rPr>
      <t>COST01-BP01</t>
    </r>
    <r>
      <rPr>
        <sz val="11"/>
        <color rgb="FF000000"/>
        <rFont val="Montserrat"/>
      </rPr>
      <t xml:space="preserve"> Establecer la propiedad de la optimización de costes</t>
    </r>
  </si>
  <si>
    <t>Cree un equipo (Oficina de negocios en la nube, Centro de excelencia en la nube o equipo de FinOps) que se encargue de establecer y afianzar el concienciación sobre los costos en toda la organización. El responsable de la optimización de costos puede ser una persona o un equipo (requiere representantes de los equipos financieros, tecnológicos y empresariales) que comprenda toda la organización y las finanzas en la nube.</t>
  </si>
  <si>
    <t>AWS Organizations, IAM (Roles/Grupos).
AWS Organizations Recurso: Estructura organizacional y consolidated billing Configuración: AWS Organizations habilitado con consolidated billing activo y múltiples cuentas para separación de responsabilidades
AWS Identity and Access Management Recurso: Roles y políticas de IAM para gestión de costos Configuración: Roles de IAM específicos con políticas que permiten acceso a AWS Cost Explorer, AWS Budgets e información de facturación
AWS Cost Explorer Recurso: Servicio Cost Explorer y acceso API Configuración: Cost Explorer habilitado con acceso API configurado para análisis programático de costos
AWS Budgets Recurso: Configuraciones de presupuestos y alertas Configuración: AWS Budgets configurados con umbrales y notificaciones SNS para monitoreo de costos
Amazon SNS Recurso: Temas SNS para notificaciones de costos Configuración: Temas SNS configurados para recibir alertas de presupuesto y notificaciones de anomalías de costos</t>
  </si>
  <si>
    <t>1. Verificar en IAM si existe un grupo "FinOps" con políticas como ViewBilling.
2. Confirmar que el equipo incluye perfiles financieros, técnicos y empresariales.
AWS Organizations Verificar que AWS Organizations está habilitado con consolidated billing activo indicando estructura organizacional para gestión de costos. El cumplimiento indica organización configurada con múltiples cuentas miembro. El incumplimiento se evidencia por configuración de cuenta única sin estructura organizacional.
AWS Identity and Access Management Verificar que existen roles de IAM con políticas específicas para gestión de costos y acceso a facturación. El cumplimiento indica roles configurados con permisos para Cost Explorer, Budgets y APIs de facturación. El incumplimiento se evidencia por falta de roles dedicados para gestión de costos o permisos excesivamente amplios.
AWS Cost Explorer Verificar que Cost Explorer está habilitado y accesible vía API indicando capacidad activa de monitoreo de costos. El cumplimiento indica respuestas exitosas de API de Cost Explorer con datos históricos de costos disponibles. El incumplimiento se evidencia por Cost Explorer deshabilitado o errores de acceso API.
AWS Budgets Verificar que los presupuestos están configurados con umbrales apropiados y mecanismos de notificación. El cumplimiento indica presupuestos activos con integración SNS para alertas. El incumplimiento se evidencia por ausencia de presupuestos configurados o presupuestos sin configuración de notificaciones.
Amazon SNS Verificar que los temas SNS están configurados para notificaciones relacionadas con costos indicando monitoreo automatizado de costos. El cumplimiento indica temas SNS con suscripciones para alertas de presupuesto y anomalías de costos. El incumplimiento se evidencia por ausencia de temas SNS para notificaciones de costos.</t>
  </si>
  <si>
    <t xml:space="preserve"># Verificar configuración de AWS Organizations
aws organizations describe-organization
aws organizations list-accounts
aws organizations describe-account --account-id 123456789012
# Validar roles de IAM para gestión de costos
aws iam list-roles --query 'Roles[?contains(AssumeRolePolicyDocument, `cost`) || contains(RoleName, `Cost`) || contains(RoleName, `Billing`)]'
aws iam list-policies --scope Local --query 'Policies[?contains(PolicyName, `Cost`) || contains(PolicyName, `Billing`)]'
# Verificar acceso a Cost Explorer
aws ce get-cost-and-usage --time-period Start=2024-01-01,End=2024-01-31 --granularity MONTHLY --metrics BlendedCost
aws ce get-usage-forecast --time-period Start=2024-03-01,End=2024-04-01 --metric BLENDED_COST --granularity MONTHLY
# Validar configuración de AWS Budgets
aws budgets describe-budgets --account-id 123456789012
aws budgets describe-budget-actions-for-budget --account-id 123456789012 --budget-name "Monthly-Budget"
# Verificar temas SNS para notificaciones de costos
aws sns list-topics
aws sns get-topic-attributes --topic-arn arn:aws:sns:region:account:budget-alerts
aws sns list-subscriptions-by-topic --topic-arn arn:aws:sns:region:account:budget-alerts
# Validar Cost Anomaly Detection
aws ce get-anomalies --date-interval Start=2024-01-01,End=2024-01-31
aws ce get-anomaly-detectors
# Verificar preferencias de facturación
aws account get-contact-information
aws account get-alternate-contact --alternate-contact-type BILLING
</t>
  </si>
  <si>
    <r>
      <rPr>
        <b/>
        <sz val="11"/>
        <color rgb="FF000000"/>
        <rFont val="Montserrat"/>
      </rPr>
      <t>COST01-BP02</t>
    </r>
    <r>
      <rPr>
        <sz val="11"/>
        <color rgb="FF000000"/>
        <rFont val="Montserrat"/>
      </rPr>
      <t xml:space="preserve"> Establecer una asociación entre las finanzas y la tecnología</t>
    </r>
  </si>
  <si>
    <t>Debe implicar a los equipos de Finanzas y Tecnología en las conversaciones sobre costos y uso en todas las etapas del traspaso a la nube. Los equipos deben reunirse y tratar regularmente temas como los objetivos organizativos, el estado actual de los costos y el uso, y las prácticas contables y financieras.</t>
  </si>
  <si>
    <t>AWS Cost Explorer, Paneles compartidos.
AWS Identity and Access Management Recurso: Roles y políticas compartidas entre equipos de finanzas y tecnología Configuración: Roles de IAM con permisos cross-funcionales que permiten acceso a Cost Explorer, Budgets y billing information para ambos equipos
AWS Cost Explorer Recurso: Acceso compartido y reportes colaborativos Configuración: Cost Explorer configurado con múltiples usuarios y grupos de acceso para análisis colaborativo de costos
AWS Budgets Recurso: Presupuestos colaborativos y notificaciones compartidas Configuración: Budgets configurados con múltiples stakeholders y notificaciones distribuidas a equipos de finanzas y tecnología
Amazon SNS Recurso: Temas de notificación para comunicación entre equipos Configuración: SNS topics configurados para distribuir alertas de costos a múltiples equipos y roles organizacionales
AWS Cost and Usage Report Recurso: Reportes detallados para análisis conjunto Configuración: CUR configurado con entrega a ubicaciones accesibles por ambos equipos para análisis colaborativo</t>
  </si>
  <si>
    <t>1. Solicitar minutas o registros de reuniones recurrentes entre TI y Finanzas donde se discuta el estado de costos y uso.
AWS Identity and Access Management Verificar que existen roles de IAM compartidos o políticas que permiten acceso colaborativo a herramientas de gestión financiera. Cumplimiento indica múltiples roles con permisos para Cost Explorer y Budgets asignados a diferentes grupos organizacionales. Incumplimiento evidenciado por acceso restrictivo limitado a un solo equipo o roles sin permisos cross-funcionales.
AWS Cost Explorer Verificar que Cost Explorer tiene configuración de acceso para múltiples usuarios indicando uso colaborativo entre equipos. Cumplimiento indica múltiples usuarios activos y reportes personalizados configurados para diferentes perspectivas organizacionales. Incumplimiento evidenciado por acceso limitado a un solo usuario o falta de reportes colaborativos.
AWS Budgets Verificar que los presupuestos están configurados con múltiples contactos y stakeholders de diferentes equipos. Cumplimiento indica budgets con notificaciones distribuidas a contactos de finanzas y tecnología. Incumplimiento evidenciado por budgets con contactos únicos o notificaciones limitadas a un solo equipo.
Amazon SNS Verificar que los temas SNS para notificaciones de costos tienen suscripciones de múltiples equipos organizacionales. Cumplimiento indica SNS topics con suscripciones distribuidas entre roles de finanzas y tecnología. Incumplimiento evidenciado por suscripciones limitadas a un solo equipo o falta de distribución cross-funcional.
AWS Cost and Usage Report Verificar que CUR está configurado para acceso compartido y análisis colaborativo entre equipos. Cumplimiento indica CUR entregado a ubicaciones accesibles por múltiples equipos con configuración de análisis detallado. Incumplimiento evidenciado por CUR con acceso restrictivo o configuración limitada para un solo equipo.</t>
  </si>
  <si>
    <t xml:space="preserve"># Verificar roles de IAM para acceso colaborativo
aws iam list-roles --query 'Roles[?contains(RoleName, `Finance`) || contains(RoleName, `Technology`) || contains(RoleName, `CrossFunctional`)]'
aws iam list-groups --query 'Groups[?contains(GroupName, `Finance`) || contains(GroupName, `Technology`) || contains(GroupName, `CostManagement`)]'
# Validar políticas compartidas para gestión de costos
aws iam list-attached-group-policies --group-name FinanceTeam
aws iam list-attached-group-policies --group-name TechnologyTeam
aws iam get-group-policy --group-name FinanceTeam --policy-name CostExplorerAccess
# Verificar usuarios con acceso a Cost Explorer
aws iam list-users --query 'Users[?contains(UserName, `finance`) || contains(UserName, `technology`)]'
aws iam list-user-policies --user-name finance-user
aws iam list-attached-user-policies --user-name technology-user
# Validar configuración colaborativa de budgets
aws budgets describe-budgets --account-id 123456789012
aws budgets describe-subscribers-for-notification --account-id 123456789012 --budget-name "Collaborative-Budget" --notification Type=ACTUAL,ComparisonOperator=GREATER_THAN,Threshold=80
# Verificar suscripciones SNS distribuidas
aws sns list-subscriptions --query 'Subscriptions[?contains(Endpoint, `finance`) || contains(Endpoint, `technology`)]'
aws sns list-subscriptions-by-topic --topic-arn arn:aws:sns:region:account:cost-alerts
# Validar acceso a Cost and Usage Report
aws cur describe-report-definitions
aws s3api get-bucket-policy --bucket cost-usage-reports-bucket
aws s3api get-bucket-acl --bucket cost-usage-reports-bucket
# Verificar permisos de acceso a billing information
aws sts get-caller-identity
aws ce get-cost-and-usage --time-period Start=2024-01-01,End=2024-01-31 --granularity MONTHLY --metrics BlendedCost
aws support describe-cases --language en --include-resolved-cases
</t>
  </si>
  <si>
    <r>
      <rPr>
        <b/>
        <sz val="11"/>
        <color rgb="FF000000"/>
        <rFont val="Montserrat"/>
      </rPr>
      <t>COST01-BP03</t>
    </r>
    <r>
      <rPr>
        <sz val="11"/>
        <color rgb="FF000000"/>
        <rFont val="Montserrat"/>
      </rPr>
      <t xml:space="preserve"> Establecer presupuestos y previsiones en la nube</t>
    </r>
  </si>
  <si>
    <t>Ajuste los procesos de presupuestos y previsión de la organización para que sean compatibles con la naturaleza altamente variable de los costos y el uso de la nube. Los procesos deben ser dinámicos y usar algoritmos basados en tendencias o el motor principal de la empresa, o en una combinación de ambos.</t>
  </si>
  <si>
    <t>AWS Budgets, Cost Explorer (Forecasting).
AWS Budgets Recurso: Presupuestos configurados con múltiples dimensiones y granularidad Configuración: AWS Budgets configurados con filtros por servicio, región, tags y cost categories con umbrales y alertas dinámicas
AWS Cost Explorer Recurso: Capacidades de forecasting y análisis de tendencias Configuración: Cost Explorer habilitado con forecasting activado y reportes personalizados para análisis de tendencias históricas
AWS Cost Anomaly Detection Recurso: Detectores de anomalías para identificación proactiva de gastos inusuales Configuración: Cost Anomaly Detection configurado con detectores activos y notificaciones automáticas para gastos anómalos
Amazon SNS Recurso: Notificaciones para alertas de presupuesto y anomalías Configuración: SNS topics configurados para recibir alertas de AWS Budgets y Cost Anomaly Detection con suscripciones activas
AWS Cost and Usage Report Recurso: Reportes detallados para análisis de forecasting Configuración: CUR configurado con granularidad horaria y entrega programada para análisis detallado de patrones de uso</t>
  </si>
  <si>
    <t>1. Revisar la consola de AWS Budgets para confirmar que existen presupuestos creados usando algoritmos basados en tendencias de negocio.
AWS Budgets Verificar que existen presupuestos configurados con diferentes dimensiones y umbrales apropiados para forecasting dinámico. Cumplimiento indica múltiples budgets activos con filtros granulares por servicio, cuenta, tags y alertas configuradas. Incumplimiento evidenciado por ausencia de budgets o configuración estática sin capacidad de ajuste dinámico.
AWS Cost Explorer Verificar que Cost Explorer tiene forecasting habilitado y reportes configurados para análisis de tendencias. Cumplimiento indica forecasting activo con proyecciones disponibles y reportes personalizados para diferentes dimensiones de costo. Incumplimiento evidenciado por forecasting deshabilitado o falta de reportes de tendencias configurados.
AWS Cost Anomaly Detection Verificar que están configurados detectores de anomalías para identificación proactiva de desviaciones en forecasts. Cumplimiento indica detectores activos con configuración apropiada y notificaciones funcionando. Incumplimiento evidenciado por ausencia de detectores o detectores inactivos sin notificaciones.
Amazon SNS Verificar que los temas SNS están configurados para recibir alertas de presupuestos y anomalías de costos. Cumplimiento indica SNS topics con suscripciones activas para budget alerts y anomaly notifications. Incumplimiento evidenciado por falta de integración SNS o suscripciones inactivas.
AWS Cost and Usage Report Verificar que CUR está configurado para proporcionar datos detallados necesarios para forecasting preciso. Cumplimiento indica CUR activo con granularidad apropiada y entrega regular de reportes. Incumplimiento evidenciado por CUR deshabilitado o configuración insuficiente para análisis de forecasting.</t>
  </si>
  <si>
    <t xml:space="preserve"># Verificar configuración de AWS Budgets
aws budgets describe-budgets --account-id 123456789012
aws budgets describe-budget --account-id 123456789012 --budget-name "Monthly-Forecast-Budget"
aws budgets describe-budget-performance-history --account-id 123456789012 --budget-name "Monthly-Forecast-Budget"
# Validar alertas y notificaciones de budgets
aws budgets describe-notifications-for-budget --account-id 123456789012 --budget-name "Monthly-Forecast-Budget"
aws budgets describe-subscribers-for-notification --account-id 123456789012 --budget-name "Monthly-Forecast-Budget" --notification Type=FORECASTED,ComparisonOperator=GREATER_THAN,Threshold=100
# Verificar capacidades de forecasting en Cost Explorer
aws ce get-usage-forecast --time-period Start=2024-03-01,End=2024-04-01 --metric BLENDED_COST --granularity MONTHLY
aws ce get-cost-and-usage --time-period Start=2024-01-01,End=2024-02-01 --granularity MONTHLY --metrics BlendedCost --group-by Type=DIMENSION,Key=SERVICE
# Validar Cost Anomaly Detection
aws ce get-anomaly-detectors
aws ce get-anomalies --date-interval Start=2024-01-01,End=2024-02-01
aws ce describe-anomaly-monitors
# Verificar configuración de SNS para alertas
aws sns list-topics --query 'Topics[?contains(TopicArn, `budget`) || contains(TopicArn, `cost`) || contains(TopicArn, `anomaly`)]'
aws sns list-subscriptions-by-topic --topic-arn arn:aws:sns:region:account:budget-alerts
aws sns get-topic-attributes --topic-arn arn:aws:sns:region:account:cost-anomaly-alerts
# Validar Cost and Usage Report para forecasting
aws cur describe-report-definitions
aws cur get-report-definition --report-name "detailed-cost-usage-report"
# Verificar reportes personalizados en Cost Explorer
aws ce list-cost-category-definitions
aws ce get-cost-categories --time-period Start=2024-01-01,End=2024-02-01
# Validar configuración de filtros y dimensiones
aws ce get-dimension-values --time-period Start=2024-01-01,End=2024-02-01 --dimension SERVICE
aws ce get-reservation-coverage --time-period Start=2024-01-01,End=2024-02-01
aws ce get-reservation-utilization --time-period Start=2024-01-01,End=2024-02-01
</t>
  </si>
  <si>
    <r>
      <rPr>
        <b/>
        <u/>
        <sz val="11"/>
        <color rgb="FF000000"/>
        <rFont val="Montserrat"/>
      </rPr>
      <t>COST01-BP04</t>
    </r>
    <r>
      <rPr>
        <u/>
        <sz val="11"/>
        <color rgb="FF000000"/>
        <rFont val="Montserrat"/>
      </rPr>
      <t xml:space="preserve"> Implemente la conciencia de costos en sus procesos organizacionales</t>
    </r>
  </si>
  <si>
    <t>Implemente la conciencia de costos, cree transparencia y responsabilidad de los costos en los procesos nuevos y existentes que afecten al uso, y aproveche los procesos existentes para tomar conciencia de los costos. Implemente la conciencia de costos en la capacitación del personal.</t>
  </si>
  <si>
    <t>AWS Pricing Calculator, Procesos de CI/CD
AWS Cost Allocation Tags Recurso: Tags de asignación de costos para seguimiento y responsabilidad Configuración: Cost allocation tags activados y configurados en recursos para permitir showback y chargeback de costos por equipos y proyectos
AWS Budgets Recurso: Presupuestos por equipos, proyectos y departamentos Configuración: AWS Budgets configurados con granularidad por cost allocation tags para crear responsabilidad de costos a nivel organizacional
AWS Cost Anomaly Detection Recurso: Detectores de anomalías para procesos de gestión de incidentes Configuración: Cost Anomaly Detection configurado para integrar alertas de costos en procesos existentes de gestión de incidentes
Amazon SNS Recurso: Notificaciones integradas en flujos de trabajo organizacionales Configuración: SNS topics configurados para distribuir alertas de costos a sistemas de ticketing y procesos de gestión de cambios
AWS Cost Explorer Recurso: Reportes de costos para transparencia y toma de decisiones Configuración: Cost Explorer configurado con reportes automáticos y acceso para equipos técnicos y de negocio para visibilidad de costos</t>
  </si>
  <si>
    <t xml:space="preserve">1. Auditar los procesos de diseño arquitectónico para comprobar que incluyen estimaciones de costo.
2. Validar si existe capacitación de personal en costos.
AWS Cost Allocation Tags Verificar que los recursos tienen cost allocation tags configurados para permitir seguimiento y responsabilidad de costos por equipos. El cumplimiento indica recursos etiquetados consistentemente con tags de cost allocation activados para showback/chargeback. El incumplimiento se evidencia por recursos sin tags o cost allocation tags no activados.
AWS Budgets Verificar que existen presupuestos configurados por equipos, proyectos o departamentos para crear conciencia de costos organizacional. El cumplimiento indica budgets granulares con filtros por tags organizacionales y alertas distribuidas. El incumplimiento se evidencia por budgets genéricos sin granularidad organizacional o falta de alertas por equipos.
AWS Cost Anomaly Detection Verificar que las anomalías de costos están integradas en procesos de gestión de incidentes existentes. El cumplimiento indica detectores configurados con notificaciones que se integran en flujos de trabajo de gestión de incidentes. El incumplimiento se evidencia por anomaly detection aislado sin integración en procesos organizacionales.
Amazon SNS Verificar que las notificaciones de costos están integradas en sistemas y procesos organizacionales existentes. El cumplimiento indica SNS topics con suscripciones a sistemas de ticketing, gestión de cambios y flujos de trabajo de notificaciones. El incumplimiento se evidencia por notificaciones aisladas sin integración en procesos organizacionales.
AWS Cost Explorer Verificar que los reportes de costos están disponibles y accesibles para equipos técnicos y de negocio para toma de decisiones. El cumplimiento indica reportes configurados con acceso distribuido y visibilidad regular de costos. El incumplimiento se evidencia por acceso limitado a datos de costos o falta de reportes regulares para equipos.
</t>
  </si>
  <si>
    <t xml:space="preserve"># Verificar cost allocation tags activados
aws ce list-cost-allocation-tags
aws ce get-cost-allocation-tags --tag-keys CostCenter Team Project Department
# Validar tagging de recursos para cost awareness
aws resourcegroupstaggingapi get-resources --tag-filters Key=CostCenter,Values=* Key=Team,Values=* Key=Project,Values=*
aws resourcegroupstaggingapi get-tag-keys
aws resourcegroupstaggingapi get-tag-values --key CostCenter
# Verificar budgets por equipos y proyectos
aws budgets describe-budgets --account-id 123456789012 --query 'Budgets[?contains(BudgetName, `Team`) || contains(BudgetName, `Project`) || contains(BudgetName, `Department`)]'
aws budgets describe-budget --account-id 123456789012 --budget-name "Team-Development-Budget"
# Validar Cost Anomaly Detection para incident management
aws ce get-anomaly-detectors
aws ce get-anomalies --date-interval Start=2024-01-01,End=2024-02-01
aws ce describe-anomaly-monitors --query 'AnomalyMonitors[?MonitorType==`DIMENSIONAL`]'
# Verificar integración SNS con procesos organizacionales
aws sns list-topics --query 'Topics[?contains(TopicArn, `cost`) || contains(TopicArn, `budget`) || contains(TopicArn, `team`)]'
aws sns list-subscriptions --query 'Subscriptions[?contains(Endpoint, `ticketing`) || contains(Endpoint, `workflow`)]'
# Validar acceso distribuido a Cost Explorer
aws iam list-policies --scope Local --query 'Policies[?contains(PolicyName, `CostExplorer`) || contains(PolicyName, `CostAccess`)]'
aws iam list-groups --query 'Groups[?contains(GroupName, `CostReporting`) || contains(GroupName, `TeamLead`)]'
# Verificar reportes automáticos y scheduled
aws ce get-cost-and-usage --time-period Start=2024-01-01,End=2024-02-01 --granularity MONTHLY --metrics BlendedCost --group-by Type=TAG,Key=Team
aws ce get-cost-and-usage --time-period Start=2024-01-01,End=2024-02-01 --granularity MONTHLY --metrics BlendedCost --group-by Type=TAG,Key=CostCenter
# Validar configuración de showback/chargeback
aws ce get-cost-and-usage --time-period Start=2024-01-01,End=2024-02-01 --granularity MONTHLY --metrics BlendedCost --group-by Type=TAG,Key=Project Type=DIMENSION,Key=LINKED_ACCOUNT
aws organizations list-accounts --query 'Accounts[?Status==`ACTIVE`]'
</t>
  </si>
  <si>
    <r>
      <rPr>
        <b/>
        <sz val="11"/>
        <color rgb="FF000000"/>
        <rFont val="Montserrat"/>
      </rPr>
      <t>COST01-BP05</t>
    </r>
    <r>
      <rPr>
        <sz val="11"/>
        <color rgb="FF000000"/>
        <rFont val="Montserrat"/>
      </rPr>
      <t xml:space="preserve"> Informar y notificar sobre optimización de costes</t>
    </r>
  </si>
  <si>
    <t>Establezca presupuestos para la nube y configure mecanismos para detectar anomalías en el uso. Configure las herramientas relacionadas para que proporcionen alertas de costo y uso respecto a objetivos predefinidos y reciba notificaciones cuando el uso supere esos objetivos. Organice reuniones periódicas para analizar la rentabilidad de las cargas de trabajo y promover la conciencia de costos.</t>
  </si>
  <si>
    <t>AWS Cost Anomaly Detection, Amazon SNS, AWS Budgets.
AWS Budgets Recurso: Presupuestos configurados con alertas y notificaciones automáticas Configuración: AWS Budgets configurados para workloads específicos con alertas por email y SNS cuando se exceden targets predefinidos
AWS Cost Anomaly Detection Recurso: Detectores de anomalías con notificaciones automáticas Configuración: Cost Anomaly Detection configurado con detectores activos y notificaciones automáticas para gastos anómalos y root cause analysis
Amazon SNS Recurso: Temas de notificación para alertas de costos y reportes Configuración: SNS topics configurados para distribuir alertas de budgets, anomalías y reportes programados a stakeholders relevantes
AWS Cost Explorer Recurso: Reportes programados y análisis de cost-effectiveness Configuración: Cost Explorer configurado con reportes automáticos y saved reports para análisis regular de eficiencia de workloads
AWS Trusted Advisor Recurso: Recomendaciones de optimización de costos Configuración: Trusted Advisor habilitado con acceso a cost optimization checks y notificaciones de nuevas recomendaciones</t>
  </si>
  <si>
    <t>1. Verificar que existan alertas configuradas respecto a objetivos predefinidos. 2. Comprobar que estas alertas envían notificaciones por SNS o correo cuando se superan los límites.
AWS Budgets Verificar que existen presupuestos configurados con alertas automáticas para notificar cuando se exceden targets de costos. Cumplimiento indica budgets activos con múltiples threshold alerts y notificaciones configuradas via email y SNS. Incumplimiento evidenciado por budgets sin alertas o notificaciones inactivas.
AWS Cost Anomaly Detection Verificar que los detectores de anomalías están configurados para identificar y notificar automáticamente sobre gastos inusuales. Cumplimiento indica detectores activos con notificaciones funcionando y root cause analysis disponible. Incumplimiento evidenciado por detectores inactivos o notificaciones no configuradas.
Amazon SNS Verificar que los temas SNS están configurados para distribuir reportes y alertas de cost optimization a stakeholders. Cumplimiento indica SNS topics con suscripciones activas para diferentes tipos de reportes y alertas. Incumplimiento evidenciado por falta de distribución automática de reportes o suscripciones inactivas.
AWS Cost Explorer Verificar que están configurados reportes automáticos y saved reports para análisis regular de cost-effectiveness. Cumplimiento indica reportes programados y saved reports configurados para análisis de workload efficiency. Incumplimiento evidenciado por falta de reportes automáticos o análisis ad-hoc únicamente.
AWS Trusted Advisor Verificar que Trusted Advisor está habilitado para proporcionar recomendaciones regulares de cost optimization. Cumplimiento indica acceso activo a cost optimization checks con notificaciones de nuevas recomendaciones. Incumplimiento evidenciado por Trusted Advisor no utilizado o recomendaciones no monitoreadas.</t>
  </si>
  <si>
    <t xml:space="preserve"># Verificar configuración de AWS Budgets con alertas
aws budgets describe-budgets --account-id 123456789012
aws budgets describe-notifications-for-budget --account-id 123456789012 --budget-name "Workload-Budget"
aws budgets describe-subscribers-for-notification --account-id 123456789012 --budget-name "Workload-Budget" --notification Type=ACTUAL,ComparisonOperator=GREATER_THAN,Threshold=80
# Validar AWS Cost Anomaly Detection
aws ce get-anomaly-detectors
aws ce get-anomalies --date-interval Start=2024-01-01,End=2024-02-01
aws ce describe-anomaly-monitors
aws ce describe-anomaly-subscriptions
# Verificar configuración de SNS para reportes y alertas
aws sns list-topics --query 'Topics[?contains(TopicArn, `cost`) || contains(TopicArn, `budget`) || contains(TopicArn, `optimization`)]'
aws sns list-subscriptions --query 'Subscriptions[?contains(TopicArn, `cost-optimization`)]'
aws sns get-topic-attributes --topic-arn arn:aws:sns:region:account:cost-reports
# Validar reportes programados en Cost Explorer
aws ce get-cost-and-usage --time-period Start=2024-01-01,End=2024-02-01 --granularity MONTHLY --metrics BlendedCost
aws ce get-rightsizing-recommendation
aws ce get-savings-plans-utilization --time-period Start=2024-01-01,End=2024-02-01
aws ce get-reserved-instance-utilization --time-period Start=2024-01-01,End=2024-02-01
# Verificar acceso a Trusted Advisor
aws support describe-trusted-advisor-checks --language en
aws support describe-trusted-advisor-check-result --check-id Qch7DwouX1 --language en
aws support describe-trusted-advisor-check-summaries --check-ids Qch7DwouX1
# Validar configuración de reportes automáticos
aws budgets describe-budget-actions-for-budget --account-id 123456789012 --budget-name "Monthly-Report-Budget"
aws events list-rules --query 'Rules[?contains(Name, `cost`) || contains(Name, `budget`)]'
# Verificar Cost and Usage Report para reporting detallado
aws cur describe-report-definitions
aws cur get-report-definition --report-name "cost-optimization-report"
# Validar métricas de cost-effectiveness
aws ce get-cost-and-usage --time-period Start=2024-01-01,End=2024-02-01 --granularity MONTHLY --metrics BlendedCost UnblendedCost --group-by Type=DIMENSION,Key=SERVICE
aws ce get-usage-forecast --time-period Start=2024-03-01,End=2024-04-01 --metric BLENDED_COST --granularity MONTHLY
</t>
  </si>
  <si>
    <r>
      <rPr>
        <b/>
        <sz val="11"/>
        <color rgb="FF000000"/>
        <rFont val="Montserrat"/>
      </rPr>
      <t>COST01-BP06</t>
    </r>
    <r>
      <rPr>
        <sz val="11"/>
        <color rgb="FF000000"/>
        <rFont val="Montserrat"/>
      </rPr>
      <t xml:space="preserve"> Supervise el coste de forma proactiva</t>
    </r>
  </si>
  <si>
    <t>Implemente herramientas y paneles para supervisar los costos de la carga de trabajo de forma proactiva. Revise periódicamente los costos con herramientas configuradas o listas para usar, no se limite a mirar los costos y las categorías cuando reciba las notificaciones. Supervisar y analizar los costos de forma proactiva ayuda a identificar las tendencias positivas y permite promoverlas en toda la organización.</t>
  </si>
  <si>
    <t>AWS QuickSight, CloudWatch Dashboards.
AWS Cost Explorer Recurso: Dashboards y análisis de costos para monitoreo regular Configuración: Cost Explorer configurado con saved reports, custom dashboards y análisis programado para monitoreo proactivo de costos y usage
AWS Budgets Recurso: Presupuestos con granularidad diaria para acciones preventivas Configuración: AWS Budgets configurados con granularidad diaria y alertas tempranas para prevenir cost overruns antes de que ocurran
AWS Cost Anomaly Detection Recurso: Detectores de anomalías con machine learning para identificación proactiva Configuración: Cost Anomaly Detection configurado con múltiples monitores y alert subscriptions para diferentes segmentos de gasto
Amazon CloudWatch Recurso: Métricas y dashboards para monitoreo de costos en tiempo real Configuración: CloudWatch configurado con custom metrics para cost monitoring y dashboards visibles para key personnel
Amazon QuickSight Recurso: Dashboards personalizados para visualización de costos Configuración: QuickSight integrado con Cost and Usage Report para crear dashboards personalizados y análisis avanzado de costos</t>
  </si>
  <si>
    <t>1. Confirmar la existencia de paneles o dashboards para supervisión proactiva. 2. Evaluar si se identifican y promueven las tendencias de ahorro positivas.
AWS Cost Explorer Verificar que Cost Explorer está configurado para monitoreo regular con saved reports y análisis programado. Cumplimiento indica saved reports activos, custom dashboards configurados y análisis regular de trends y anomalías. Incumplimiento evidenciado por uso ad-hoc únicamente o falta de monitoreo sistemático.
AWS Budgets Verificar que existen presupuestos con granularidad diaria configurados para acciones preventivas tempranas. Cumplimiento indica budgets diarios activos con alertas configuradas en múltiples thresholds para prevención proactiva. Incumplimiento evidenciado por budgets mensuales únicamente o falta de alertas tempranas.
AWS Cost Anomaly Detection Verificar que están configurados múltiples detectores de anomalías para monitoreo proactivo de diferentes segmentos. Cumplimiento indica detectores activos con machine learning configurado y alert subscriptions para diferentes stakeholders. Incumplimiento evidenciado por detectores limitados o falta de segmentación proactiva.
Amazon CloudWatch Verificar que CloudWatch está configurado con métricas personalizadas y dashboards para monitoreo de costos. Cumplimiento indica custom metrics configuradas y dashboards visibles para monitoreo continuo. Incumplimiento evidenciado por falta de métricas personalizadas o dashboards no configurados.
Amazon QuickSight Verificar que QuickSight está integrado para crear dashboards avanzados de análisis de costos. Cumplimiento indica integración activa con CUR y dashboards personalizados para análisis proactivo. Incumplimiento evidenciado por falta de integración o dashboards básicos únicamente.</t>
  </si>
  <si>
    <t xml:space="preserve"># Verificar configuración de Cost Explorer para monitoreo proactivo
aws ce get-cost-and-usage --time-period Start=2024-01-01,End=2024-02-01 --granularity DAILY --metrics BlendedCost
aws ce get-usage-forecast --time-period Start=2024-03-01,End=2024-04-01 --metric BLENDED_COST --granularity DAILY
aws ce get-rightsizing-recommendation
# Validar AWS Budgets con granularidad diaria
aws budgets describe-budgets --account-id 123456789012 --query 'Budgets[?TimeUnit==`DAILY`]'
aws budgets describe-budget --account-id 123456789012 --budget-name "Daily-Monitoring-Budget"
aws budgets describe-budget-performance-history --account-id 123456789012 --budget-name "Daily-Monitoring-Budget"
# Verificar Cost Anomaly Detection para monitoreo proactivo
aws ce get-anomaly-detectors --query 'AnomalyDetectors[?State==`ACTIVE`]'
aws ce describe-anomaly-monitors
aws ce describe-anomaly-subscriptions
aws ce get-anomalies --date-interval Start=2024-01-01,End=2024-02-01
# Validar CloudWatch para métricas de costos
aws cloudwatch list-metrics --namespace AWS/Billing
aws cloudwatch list-dashboards --query 'DashboardEntries[?contains(DashboardName, `Cost`) || contains(DashboardName, `Budget`)]'
aws cloudwatch get-dashboard --dashboard-name "Cost-Monitoring-Dashboard"
# Verificar alarmas de CloudWatch para costos
aws cloudwatch describe-alarms --query 'MetricAlarms[?contains(AlarmName, `Cost`) || contains(AlarmName, `Budget`)]'
aws cloudwatch describe-alarms --state-value ALARM
# Validar Cost and Usage Report para análisis detallado
aws cur describe-report-definitions
aws cur get-report-definition --report-name "daily-cost-monitoring-report"
# Verificar integración con QuickSight
aws quicksight list-dashboards --aws-account-id 123456789012
aws quicksight describe-dashboard --aws-account-id 123456789012 --dashboard-id cost-intelligence-dashboard
# Validar configuración de alertas proactivas
aws sns list-topics --query 'Topics[?contains(TopicArn, `cost`) || contains(TopicArn, `anomaly`) || contains(TopicArn, `budget`)]'
aws sns list-subscriptions --query 'Subscriptions[?contains(TopicArn, `proactive-cost-monitoring`)]'
# Verificar eventos programados para monitoreo
aws events list-rules --query 'Rules[?contains(Name, `cost`) || contains(Name, `budget`) || contains(Name, `monitoring`)]'
aws events describe-rule --name "daily-cost-analysis-rule"
</t>
  </si>
  <si>
    <r>
      <rPr>
        <b/>
        <sz val="11"/>
        <color rgb="FF000000"/>
        <rFont val="Montserrat"/>
      </rPr>
      <t>COST01-BP07</t>
    </r>
    <r>
      <rPr>
        <sz val="11"/>
        <color rgb="FF000000"/>
        <rFont val="Montserrat"/>
      </rPr>
      <t xml:space="preserve"> Manténgase al día con las nuevas versiones de servicio</t>
    </r>
  </si>
  <si>
    <t>Consulte regularmente con expertos o socios de AWS qué servicios y características proporcionan un costo inferior. Revise los blogs de AWS y otras fuentes de información.</t>
  </si>
  <si>
    <t>AWS Blogs, AWS Trusted Advisor.
Amazon SNS Recurso: Suscripciones a notificaciones de AWS para nuevos servicios y price reductions Configuración: SNS topics configurados para recibir notificaciones automáticas de AWS blogs, What's New announcements y price reduction alerts
AWS Systems Manager Recurso: Parameter Store para tracking de nuevos servicios y features evaluados Configuración: Systems Manager Parameter Store configurado para documentar evaluación de nuevos servicios y decisiones de adopción para cost optimization
AWS Config Recurso: Rules para detectar oportunidades de migración a nuevos servicios más cost-effective Configuración: AWS Config rules configuradas para identificar recursos que podrían beneficiarse de nuevos servicios o features más económicos
Amazon EventBridge Recurso: Rules para automatizar evaluación de nuevos servicios Configuración: EventBridge configurado con rules para trigger evaluaciones automáticas cuando se anuncian nuevos servicios relevantes
AWS Lambda Recurso: Functions para automatizar análisis de cost impact de nuevos servicios Configuración: Lambda functions configuradas para analizar automáticamente el impacto de costos de nuevos servicios y generar reportes</t>
  </si>
  <si>
    <t>1. Entrevistar al equipo técnico para confirmar si consultan a expertos o socios de AWS sobre características de menor costo.
Amazon SNS Verificar que existen suscripciones configuradas para recibir notificaciones automáticas sobre nuevos servicios y price reductions. Cumplimiento indica SNS subscriptions activas para AWS blogs, What's New feeds y price reduction announcements. Incumplimiento evidenciado por falta de suscripciones automáticas o dependencia en revisión manual únicamente.
AWS Systems Manager Verificar que Parameter Store está siendo utilizado para documentar evaluaciones de nuevos servicios y decisiones de adopción. Cumplimiento indica parameters configurados para tracking de service evaluations y adoption decisions. Incumplimiento evidenciado por falta de documentación sistemática de evaluaciones de nuevos servicios.
AWS Config Verificar que existen rules configuradas para identificar oportunidades de migración a servicios más cost-effective. Cumplimiento indica Config rules activas que detectan recursos candidatos para nuevos servicios más económicos. Incumplimiento evidenciado por falta de automatización para identificar oportunidades de optimización con nuevos servicios.
Amazon EventBridge Verificar que están configuradas rules para automatizar la evaluación de nuevos servicios cuando se anuncian. Cumplimiento indica EventBridge rules configuradas para trigger evaluaciones automáticas de relevancia y cost impact. Incumplimiento evidenciado por procesos manuales únicamente sin automatización de evaluación.
AWS Lambda Verificar que existen functions configuradas para automatizar el análisis de cost impact de nuevos servicios. Cumplimiento indica Lambda functions que analizan automáticamente nuevos servicios y generan cost impact reports. Incumplimiento evidenciado por análisis manual únicamente o falta de automatización para evaluación de costos.</t>
  </si>
  <si>
    <t xml:space="preserve"># Verificar suscripciones SNS para AWS announcements
aws sns list-topics --query 'Topics[?contains(TopicArn, `aws-news`) || contains(TopicArn, `whats-new`) || contains(TopicArn, `price-reduction`)]'
aws sns list-subscriptions --query 'Subscriptions[?contains(Endpoint, `aws.amazon.com`) || contains(Protocol, `email`)]'
aws sns get-topic-attributes --topic-arn arn:aws:sns:region:account:aws-announcements
# Validar Parameter Store para tracking de evaluaciones
aws ssm describe-parameters --query 'Parameters[?contains(Name, `service-evaluation`) || contains(Name, `new-service`) || contains(Name, `cost-optimization`)]'
aws ssm get-parameter --name "/cost-optimization/service-evaluations/latest"
aws ssm get-parameters-by-path --path "/cost-optimization/new-services/"
# Verificar Config rules para nuevos servicios
aws configservice describe-config-rules --query 'ConfigRules[?contains(ConfigRuleName, `cost`) || contains(ConfigRuleName, `optimization`) || contains(ConfigRuleName, `service-migration`)]'
aws configservice get-compliance-details-by-config-rule --config-rule-name "cost-optimization-opportunities"
# Validar EventBridge rules para automatización
aws events list-rules --query 'Rules[?contains(Name, `service-announcement`) || contains(Name, `cost-evaluation`) || contains(Name, `new-service`)]'
aws events describe-rule --name "new-service-evaluation-trigger"
aws events list-targets-by-rule --rule "new-service-evaluation-trigger"
# Verificar Lambda functions para análisis automático
aws lambda list-functions --query 'Functions[?contains(FunctionName, `cost-analysis`) || contains(FunctionName, `service-evaluation`) || contains(FunctionName, `price-comparison`)]'
aws lambda get-function --function-name "new-service-cost-analyzer"
# Validar automatización de evaluación de servicios
aws iam list-roles --query 'Roles[?contains(RoleName, `ServiceEvaluation`) || contains(RoleName, `CostAnalysis`)]'
aws iam list-policies --scope Local --query 'Policies[?contains(PolicyName, `ServiceEvaluation`) || contains(PolicyName, `CostOptimization`)]'
# Verificar CloudWatch para métricas de adopción
aws cloudwatch list-metrics --namespace "CostOptimization/ServiceAdoption"
aws cloudwatch get-metric-statistics --namespace "CostOptimization/ServiceAdoption" --metric-name "NewServiceEvaluations" --start-time 2024-01-01T00:00:00Z --end-time 2024-02-01T00:00:00Z --period 86400 --statistics Sum
# Validar documentación de decisiones
aws s3api list-objects-v2 --bucket cost-optimization-reports --prefix "service-evaluations/"
aws s3api get-object --bucket cost-optimization-reports --key "service-evaluations/latest-report.json" /tmp/latest-report.json
# Verificar integración con external feeds
aws apigateway get-rest-apis --query 'items[?contains(name, `aws-news`) || contains(name, `service-updates`)]'
aws logs describe-log-groups --query 'logGroups[?contains(logGroupName, `service-evaluation`) || contains(logGroupName, `cost-analysis`)]'
</t>
  </si>
  <si>
    <r>
      <rPr>
        <b/>
        <sz val="11"/>
        <color rgb="FF000000"/>
        <rFont val="Montserrat"/>
      </rPr>
      <t>COST01-BP08</t>
    </r>
    <r>
      <rPr>
        <sz val="11"/>
        <color rgb="FF000000"/>
        <rFont val="Montserrat"/>
      </rPr>
      <t xml:space="preserve"> Crear una cultura consciente de los costos</t>
    </r>
  </si>
  <si>
    <t>Implemente cambios o programas en la organización para crear una cultura sensibilizada con los costos. Se recomienda empezar discretamente, y a medida que crezcan las capacidades y el uso de la nube por parte de la empresa, implementar programas grandes y de gran alcance.</t>
  </si>
  <si>
    <t>Gamificación interna, Programas de optimización.
AWS Cost Explorer Recurso: Dashboards y reportes compartidos para visibility de costos a equipos técnicos Configuración: Cost Explorer configurado con saved reports compartidos y acceso distribuido para crear transparency y awareness de costos
AWS Budgets Recurso: Presupuestos por equipos con gamification y KPIs de eficiencia Configuración: AWS Budgets configurados por equipos con métricas de eficiencia y elementos de gamification para fomentar cost awareness
Amazon SNS Recurso: Notificaciones de success stories y cost optimization achievements Configuración: SNS topics configurados para compartir success stories, cost savings achievements y recognition de equipos con mejor performance
AWS Identity and Access Management Recurso: Roles y políticas para acceso distribuido a cost information Configuración: IAM configurado con roles específicos para diferentes niveles de acceso a cost data según responsabilidades organizacionales
AWS Systems Manager Recurso: Parameter Store para documentar training materials y best practices Configuración: Systems Manager configurado para almacenar y distribuir training materials, best practices y guidelines de cost optimization</t>
  </si>
  <si>
    <t>1. Solicitar evidencia de programas organizacionales enfocados en concientización de gastos.
AWS Cost Explorer Verificar que Cost Explorer está configurado para proporcionar visibility de costos a equipos técnicos con reportes compartidos. Cumplimiento indica saved reports distribuidos, dashboards accesibles por múltiples equipos y regular sharing de cost insights. Incumplimiento evidenciado por acceso limitado o falta de transparency en cost data.
AWS Budgets Verificar que existen presupuestos configurados por equipos con elementos de gamification y KPIs de eficiencia. Cumplimiento indica budgets por equipos con métricas de performance y elementos competitivos para fomentar engagement. Incumplimiento evidenciado por budgets genéricos sin elementos de engagement o accountability por equipos.
Amazon SNS Verificar que están configuradas notificaciones para compartir success stories y achievements de cost optimization. Cumplimiento indica SNS topics activos para comunicar wins, recognition y best practices across la organización. Incumplimiento evidenciado por falta de comunicación de success stories o recognition de achievements.
AWS Identity and Access Management Verificar que IAM está configurado para proporcionar acceso apropiado a cost information según roles organizacionales. Cumplimiento indica roles distribuidos con acceso granular a cost data apropiado para diferentes responsabilidades. Incumplimiento evidenciado por acceso restrictivo o falta de granularidad en permisos de cost data.
AWS Systems Manager Verificar que Parameter Store está siendo utilizado para almacenar y distribuir training materials y best practices. Cumplimiento indica parameters configurados con training content, guidelines y best practices accesibles. Incumplimiento evidenciado por falta de centralización de training materials o knowledge sharing.</t>
  </si>
  <si>
    <t xml:space="preserve"># Verificar Cost Explorer para visibility distribuida
aws ce get-cost-and-usage --time-period Start=2024-01-01,End=2024-02-01 --granularity MONTHLY --metrics BlendedCost --group-by Type=TAG,Key=Team
aws iam list-users --query 'Users[?contains(UserName, `team`) || contains(UserName, `developer`)]'
aws iam list-groups --query 'Groups[?contains(GroupName, `CostViewing`) || contains(GroupName, `TeamLead`)]'
# Validar budgets por equipos con gamification
aws budgets describe-budgets --account-id 123456789012 --query 'Budgets[?contains(BudgetName, `Team`) || contains(BudgetName, `Department`)]'
aws budgets describe-budget --account-id 123456789012 --budget-name "Team-Alpha-Efficiency-Budget"
aws budgets describe-budget-performance-history --account-id 123456789012 --budget-name "Team-Alpha-Efficiency-Budget"
# Verificar SNS para success stories y recognition
aws sns list-topics --query 'Topics[?contains(TopicArn, `success`) || contains(TopicArn, `achievement`) || contains(TopicArn, `recognition`)]'
aws sns list-subscriptions --query 'Subscriptions[?contains(TopicArn, `cost-culture`)]'
aws sns get-topic-attributes --topic-arn arn:aws:sns:region:account:cost-success-stories
# Validar IAM para acceso distribuido a cost data
aws iam list-roles --query 'Roles[?contains(RoleName, `CostViewer`) || contains(RoleName, `TeamCost`) || contains(RoleName, `DeveloperCost`)]'
aws iam list-policies --scope Local --query 'Policies[?contains(PolicyName, `CostAccess`) || contains(PolicyName, `TeamCost`)]'
aws iam get-role-policy --role-name TeamCostViewer --policy-name CostExplorerAccess
# Verificar Systems Manager para training materials
aws ssm describe-parameters --query 'Parameters[?contains(Name, `training`) || contains(Name, `best-practices`) || contains(Name, `cost-culture`)]'
aws ssm get-parameter --name "/cost-culture/training-materials/latest"
aws ssm get-parameters-by-path --path "/cost-culture/best-practices/"
# Validar métricas de engagement y culture
aws cloudwatch list-metrics --namespace "CostCulture/Engagement"
aws cloudwatch get-metric-statistics --namespace "CostCulture/Engagement" --metric-name "TeamParticipation" --start-time 2024-01-01T00:00:00Z --end-time 2024-02-01T00:00:00Z --period 86400 --statistics Average
# Verificar documentación de success stories
aws s3api list-objects-v2 --bucket cost-culture-assets --prefix "success-stories/"
aws s3api get-object --bucket cost-culture-assets --key "success-stories/latest-achievements.json" /tmp/achievements.json
# Validar training y certification tracking
aws dynamodb scan --table-name CostTrainingProgress --projection-expression "UserId, CompletedModules, CertificationStatus"
aws lambda list-functions --query 'Functions[?contains(FunctionName, `training`) || contains(FunctionName, `culture`) || contains(FunctionName, `gamification`)]'
# Verificar integration con communication tools
aws apigateway get-rest-apis --query 'items[?contains(name, `cost-culture`) || contains(name, `team-dashboard`)]'
aws events list-rules --query 'Rules[?contains(Name, `culture`) || contains(Name, `recognition`) || contains(Name, `achievement`)]'
</t>
  </si>
  <si>
    <r>
      <rPr>
        <b/>
        <sz val="11"/>
        <color rgb="FF000000"/>
        <rFont val="Montserrat"/>
      </rPr>
      <t>COST01-BP09</t>
    </r>
    <r>
      <rPr>
        <sz val="11"/>
        <color rgb="FF000000"/>
        <rFont val="Montserrat"/>
      </rPr>
      <t xml:space="preserve"> Cuantificar el valor del negocio a partir de la optimización de costes</t>
    </r>
  </si>
  <si>
    <t>Cuantificar el valor empresarial de la optimización de costos le permite comprender todos los beneficios para su organización. Dado que la optimización de costos es una inversión necesaria, cuantificar el valor empresarial le permite explicar el retorno de la inversión a las partes interesadas. Cuantificar el valor empresarial lo puede ayudar a lograr mayor aceptación de las partes interesadas para hacer inversiones futuras en optimización de costos y, además, le proporciona un marco para medir los resultados de las actividades de optimización de costos de la organización.</t>
  </si>
  <si>
    <t>Informes de BI cruzados con CUR (Cost and Usage Report).
AWS Cost Explorer Recurso: Análisis de ROI y business value metrics de cost optimization Configuración: Cost Explorer configurado con custom reports para medir business value, ROI calculations y efficiency improvements más allá de cost savings
AWS Cost and Usage Report Recurso: Datos detallados para análisis de business value y efficiency metrics Configuración: CUR configurado con granularidad detallada para calcular business value metrics como cost per transaction, efficiency ratios y productivity gains
Amazon CloudWatch Recurso: Custom metrics para business value indicators y efficiency KPIs Configuración: CloudWatch configurado con custom metrics para medir business outcomes, productivity improvements y efficiency gains derivados de cost optimization
AWS Systems Manager Recurso: Parameter Store para tracking de business value metrics y ROI calculations Configuración: Systems Manager configurado para almacenar business value baselines, ROI calculations y efficiency improvement metrics
Amazon QuickSight Recurso: Dashboards para visualización de business value y ROI de cost optimization Configuración: QuickSight configurado con dashboards que muestran tangible e intangible benefits de cost optimization efforts</t>
  </si>
  <si>
    <t>1. Revisar informes directivos para validar si se explica el retorno de inversión a las partes interesadas mediante métricas de negocio cuantificables.
AWS Cost Explorer Verificar que Cost Explorer está configurado para medir business value y ROI más allá de simple cost reduction. Cumplimiento indica custom reports configurados para efficiency metrics, productivity gains y business outcome measurements. Incumplimiento evidenciado por focus únicamente en cost savings sin business value quantification.
AWS Cost and Usage Report Verificar que CUR proporciona datos suficientemente detallados para calcular business value metrics y efficiency ratios. Cumplimiento indica CUR configurado con granularidad que permite análisis de cost per business outcome y efficiency improvements. Incumplimiento evidenciado por datos insuficientes para business value analysis o falta de correlation con business metrics.
Amazon CloudWatch Verificar que CloudWatch está configurado con custom metrics para medir business value indicators derivados de cost optimization. Cumplimiento indica custom metrics configuradas para productivity, efficiency y business outcome measurements. Incumplimiento evidenciado por falta de business value metrics o focus únicamente en technical metrics.
AWS Systems Manager Verificar que Parameter Store está siendo utilizado para documentar y track business value baselines y ROI calculations. Cumplimiento indica parameters configurados para business value tracking, ROI documentation y efficiency improvement measurements. Incumplimiento evidenciado por falta de systematic tracking de business value o ROI calculations.
Amazon QuickSight Verificar que QuickSight está configurado para visualizar comprehensive business value de cost optimization efforts. Cumplimiento indica dashboards que muestran tanto tangible como intangible benefits con ROI visualization. Incumplimiento evidenciado por dashboards limitados a cost metrics sin business value representation.</t>
  </si>
  <si>
    <t xml:space="preserve"># Verificar Cost Explorer para business value analysis
aws ce get-cost-and-usage --time-period Start=2024-01-01,End=2024-02-01 --granularity MONTHLY --metrics BlendedCost UnblendedCost --group-by Type=DIMENSION,Key=SERVICE Type=TAG,Key=BusinessUnit
aws ce get-usage-forecast --time-period Start=2024-03-01,End=2024-04-01 --metric BLENDED_COST --granularity MONTHLY
aws ce get-rightsizing-recommendation
# Validar Cost and Usage Report para business metrics
aws cur describe-report-definitions --query 'ReportDefinitions[?contains(ReportName, `business-value`) || contains(ReportName, `efficiency`)]'
aws cur get-report-definition --report-name "business-value-analysis-report"
# Verificar CloudWatch custom metrics para business value
aws cloudwatch list-metrics --namespace "BusinessValue/CostOptimization"
aws cloudwatch get-metric-statistics --namespace "BusinessValue/CostOptimization" --metric-name "ProductivityGains" --start-time 2024-01-01T00:00:00Z --end-time 2024-02-01T00:00:00Z --period 86400 --statistics Sum
aws cloudwatch get-metric-statistics --namespace "BusinessValue/CostOptimization" --metric-name "EfficiencyRatio" --start-time 2024-01-01T00:00:00Z --end-time 2024-02-01T00:00:00Z --period 86400 --statistics Average
# Validar Systems Manager para business value tracking
aws ssm describe-parameters --query 'Parameters[?contains(Name, `business-value`) || contains(Name, `roi`) || contains(Name, `efficiency-baseline`)]'
aws ssm get-parameter --name "/business-value/cost-optimization/roi-baseline"
aws ssm get-parameters-by-path --path "/business-value/efficiency-metrics/"
# Verificar QuickSight dashboards para business value visualization
aws quicksight list-dashboards --aws-account-id 123456789012 --query 'DashboardSummaryList[?contains(Name, `business-value`) || contains(Name, `roi`) || contains(Name, `efficiency`)]'
aws quicksight describe-dashboard --aws-account-id 123456789012 --dashboard-id business-value-cost-optimization
# Validar calculation de ROI y business benefits
aws lambda list-functions --query 'Functions[?contains(FunctionName, `roi-calculator`) || contains(FunctionName, `business-value`) || contains(FunctionName, `efficiency-analyzer`)]'
aws lambda get-function --function-name "business-value-calculator"
# Verificar storage de business value data
aws s3api list-objects-v2 --bucket business-value-analytics --prefix "cost-optimization-roi/"
aws s3api get-object --bucket business-value-analytics --key "cost-optimization-roi/latest-analysis.json" /tmp/roi-analysis.json
# Validar integration con business systems
aws dynamodb scan --table-name BusinessValueMetrics --projection-expression "OptimizationId, CostSavings, ProductivityGains, EfficiencyImprovement, ROI"
aws apigateway get-rest-apis --query 'items[?contains(name, `business-value`) || contains(name, `roi-reporting`)]'
# Verificar automated business value reporting
aws events list-rules --query 'Rules[?contains(Name, `business-value`) || contains(Name, `roi-calculation`) || contains(Name, `efficiency-report`)]'
aws events describe-rule --name "monthly-business-value-calculation"
</t>
  </si>
  <si>
    <t>Gastos y conciencia de uso
COST 2. ¿Cómo gobiernas el uso?</t>
  </si>
  <si>
    <r>
      <rPr>
        <b/>
        <sz val="11"/>
        <color rgb="FF000000"/>
        <rFont val="Montserrat"/>
      </rPr>
      <t>COST02-BP01</t>
    </r>
    <r>
      <rPr>
        <sz val="11"/>
        <color rgb="FF000000"/>
        <rFont val="Montserrat"/>
      </rPr>
      <t xml:space="preserve"> Desarrolle políticas basadas en los requisitos de su organización</t>
    </r>
  </si>
  <si>
    <t>Desarrolle políticas que definan la forma en que su organización administra los recursos e inspecciónelas periódicamente. Las políticas deben abarcar los aspectos de costo de los recursos y las cargas de trabajo, como su creación, modificación y retirada durante la vida útil del recurso.</t>
  </si>
  <si>
    <t>AWS Service Catalog, Políticas internas documentadas
AWS Organizations Recurso: Service Control Policies para aplicación de políticas organizacionales Configuración: AWS Organizations configurado con SCPs que implementan políticas basadas en requisitos organizacionales para gobernanza de costos
AWS Identity and Access Management Recurso: Políticas y roles para control de acceso basado en requisitos organizacionales Configuración: IAM configurado con políticas granulares que reflejan requisitos organizacionales para acceso a recursos y gestión de costos
AWS Config Recurso: Rules para cumplimiento con políticas organizacionales de optimización de costos Configuración: AWS Config configurado con reglas personalizadas que evalúan el cumplimiento con políticas organizacionales para uso de recursos y controles de costos
AWS Systems Manager Recurso: Parameter Store para documentación y distribución de políticas organizacionales Configuración: Systems Manager configurado para almacenar políticas organizacionales, procedimientos y directrices accesibles por toda la organización
AWS CloudFormation Recurso: Templates que implementan políticas organizacionales en despliegue de infraestructura Configuración: CloudFormation configurado con templates que aplican requisitos organizacionales y políticas de optimización de costos</t>
  </si>
  <si>
    <t>Inspeccionar periódicamente las políticas documentadas sobre el ciclo de vida de los recursos (creación y retiro).
AWS Organizations Verificar que existen Service Control Policies implementadas que reflejan requisitos organizacionales para gobernanza de costos. El cumplimiento indica SCPs activas que implementan políticas específicas de la organización para uso de recursos y controles de costos. El incumplimiento se evidencia por falta de SCPs o políticas genéricas que no reflejan requisitos organizacionales específicos.
AWS Identity and Access Management Verificar que las políticas de IAM están alineadas con requisitos organizacionales e implementan controles de acceso apropiados. El cumplimiento indica políticas granulares que reflejan la estructura organizacional y requisitos para gestión de costos. El incumplimiento se evidencia por políticas genéricas o excesivamente permisivas que no implementan requisitos organizacionales específicos.
AWS Config Verificar que existen reglas de Config configuradas para evaluar el cumplimiento con políticas organizacionales. El cumplimiento indica reglas activas que evalúan la adherencia a requisitos organizacionales y políticas de optimización de costos. El incumplimiento se evidencia por falta de reglas de Config o reglas que no evalúan el cumplimiento de políticas organizacionales.
AWS Systems Manager Verificar que Parameter Store contiene políticas organizacionales documentadas accesibles por stakeholders relevantes. El cumplimiento indica políticas documentadas, accesibles y actualizadas regularmente según requisitos organizacionales. El incumplimiento se evidencia por falta de documentación de políticas o políticas no accesibles por stakeholders.
AWS CloudFormation Verificar que los templates de CloudFormation implementan políticas organizacionales en despliegues de infraestructura. El cumplimiento indica templates que aplican requisitos organizacionales y políticas de optimización de costos automáticamente. El incumplimiento se evidencia por templates que no implementan políticas organizacionales o aplicación manual de políticas únicamente.</t>
  </si>
  <si>
    <t xml:space="preserve"># Verificar Service Control Policies en AWS Organizations
aws organizations list-policies --filter SERVICE_CONTROL_POLICY
aws organizations describe-policy --policy-id p-xxxxxxxxxx
aws organizations list-targets-for-policy --policy-id p-xxxxxxxxxx
aws organizations list-accounts-for-parent --parent-id ou-xxxxxxxxxx
# Validar IAM policies alineadas con organizational requirements
aws iam list-policies --scope Local --query 'Policies[?contains(PolicyName, `Organizational`) || contains(PolicyName, `CostGovernance`)]'
aws iam get-policy --policy-arn arn:aws:iam::123456789012:policy/OrganizationalCostPolicy
aws iam get-policy-version --policy-arn arn:aws:iam::123456789012:policy/OrganizationalCostPolicy --version-id v1
# Verificar Config rules para organizational policy compliance
aws configservice describe-config-rules --query 'ConfigRules[?contains(ConfigRuleName, `organizational`) || contains(ConfigRuleName, `cost-policy`)]'
aws configservice get-compliance-details-by-config-rule --config-rule-name "organizational-cost-compliance"
aws configservice describe-compliance-by-config-rule --config-rule-names "organizational-cost-compliance"
# Validar Systems Manager Parameter Store para policy documentation
aws ssm describe-parameters --query 'Parameters[?contains(Name, `organizational-policies`) || contains(Name, `cost-governance`)]'
aws ssm get-parameter --name "/organizational-policies/cost-governance/latest"
aws ssm get-parameters-by-path --path "/organizational-policies/"
# Verificar CloudFormation templates con organizational policies
aws cloudformation list-stacks --query 'StackSummaries[?contains(StackName, `organizational`) || contains(StackName, `governance`)]'
aws cloudformation describe-stack-resources --stack-name "organizational-governance-stack"
aws cloudformation get-template --stack-name "organizational-governance-stack"
# Validar roles y grupos organizacionales
aws iam list-groups --query 'Groups[?contains(GroupName, `CostGovernance`) || contains(GroupName, `Organizational`)]'
aws iam list-roles --query 'Roles[?contains(RoleName, `OrganizationalPolicy`) || contains(RoleName, `CostGovernance`)]'
aws iam get-group --group-name "CostGovernanceTeam"
# Verificar budgets y controls basados en organizational requirements
aws budgets describe-budgets --account-id 123456789012 --query 'Budgets[?contains(BudgetName, `Organizational`) || contains(BudgetName, `Department`)]'
aws budgets describe-budget --account-id 123456789012 --budget-name "Organizational-Compliance-Budget"
# Validar tagging policies organizacionales
aws resourcegroupstaggingapi get-tag-keys
aws resourcegroupstaggingapi get-resources --tag-filters Key=CostCenter,Values=* Key=Department,Values=* Key=Project,Values=*
aws organizations describe-policy --policy-id p-tag-policy-xxxxxxxxxx
# Verificar compliance reporting
aws support describe-trusted-advisor-checks --language en --query 'checks[?contains(name, `Cost`) || contains(name, `Usage`)]'
aws ce get-cost-and-usage --time-period Start=2024-01-01,End=2024-02-01 --granularity MONTHLY --metrics BlendedCost --group-by Type=TAG,Key=CostCenter Type=TAG,Key=Department
</t>
  </si>
  <si>
    <r>
      <rPr>
        <b/>
        <sz val="11"/>
        <color rgb="FF000000"/>
        <rFont val="Montserrat"/>
      </rPr>
      <t>COST02-BP02</t>
    </r>
    <r>
      <rPr>
        <sz val="11"/>
        <color rgb="FF000000"/>
        <rFont val="Montserrat"/>
      </rPr>
      <t xml:space="preserve"> Implementar metas y o</t>
    </r>
    <r>
      <rPr>
        <sz val="11"/>
        <rFont val="Montserrat"/>
      </rPr>
      <t>bjetivos</t>
    </r>
  </si>
  <si>
    <t>Implemente objetivos de costos y uso para la carga de trabajo. Los objetivos son una guía de resultados previstos para la organización. Las metas proporcionan resultados medibles específicos que se deben alcanzar para las cargas de trabajo.</t>
  </si>
  <si>
    <t>AWS Cost Explorer (Tags de Proyectos)
AWS Budgets Recurso: Presupuestos configurados con metas específicas y objetivos medibles Configuración: AWS Budgets configurados con objetivos específicos como mejoras de eficiencia, reducción de desperdicios y métricas de costo por resultado de negocio
AWS Cost Explorer Recurso: KPIs y métricas para seguimiento de objetivos y metas organizacionales Configuración: Cost Explorer configurado con reportes guardados y métricas personalizadas para monitorear el progreso hacia objetivos y metas organizacionales
Amazon CloudWatch Recurso: Métricas personalizadas para resultados de negocio y KPIs de eficiencia Configuración: CloudWatch configurado con métricas personalizadas que miden resultados de negocio por dólar gastado y mejoras de eficiencia a lo largo del tiempo
AWS Systems Manager Recurso: Parameter Store para documentar objetivos, metas y KPIs organizacionales Configuración: Systems Manager configurado para almacenar objetivos organizacionales, metas medibles y definiciones de KPI accesibles por stakeholders
Amazon QuickSight Recurso: Dashboards para visualización del progreso hacia objetivos y metas Configuración: QuickSight configurado con dashboards de KPI que muestran el progreso hacia objetivos organizacionales y logro de metas</t>
  </si>
  <si>
    <t>Validar que cada carga de trabajo tenga objetivos de costo medibles asignados y evaluados.
AWS Budgets Verificar que existen presupuestos configurados con objetivos específicos y metas medibles para optimización de costos. El cumplimiento indica budgets con objetivos cuantificables como mejoras de eficiencia y umbrales de reducción de desperdicios. El incumplimiento se evidencia por budgets genéricos sin objetivos específicos o metas medibles.
AWS Cost Explorer Verificar que Cost Explorer está configurado para seguimiento de KPIs y progreso hacia objetivos organizacionales. El cumplimiento indica reportes guardados configurados para monitorear métricas específicas como costo por resultado de negocio y ratios de eficiencia. El incumplimiento se evidencia por falta de seguimiento de KPI o métricas que no se alinean con objetivos organizacionales.
Amazon CloudWatch Verificar que CloudWatch está configurado con métricas personalizadas para medir resultados de negocio y mejoras de eficiencia. El cumplimiento indica métricas personalizadas que correlacionan costo con resultados de negocio y rastrean eficiencia a lo largo del tiempo. El incumplimiento se evidencia por falta de métricas de resultados de negocio o enfoque únicamente en métricas técnicas.
AWS Systems Manager Verificar que Parameter Store contiene objetivos documentados, metas y definiciones de KPI para la organización. El cumplimiento indica parámetros con definiciones claras de objetivos, metas medibles y especificaciones de KPI. El incumplimiento se evidencia por falta de documentación de objetivos o metas no medibles.
Amazon QuickSight Verificar que QuickSight está configurado con dashboards que visualizan el progreso hacia objetivos y metas organizacionales. El cumplimiento indica dashboards de KPI que muestran el logro de objetivos y análisis de tendencias. El incumplimiento se evidencia por dashboards que no muestran progreso de objetivos o falta de visualización de metas.</t>
  </si>
  <si>
    <r>
      <rPr>
        <b/>
        <sz val="11"/>
        <color rgb="FF000000"/>
        <rFont val="Montserrat"/>
      </rPr>
      <t>COST02-BP03</t>
    </r>
    <r>
      <rPr>
        <sz val="11"/>
        <color rgb="FF000000"/>
        <rFont val="Montserrat"/>
      </rPr>
      <t xml:space="preserve"> Implementar una estructura de cuentas</t>
    </r>
  </si>
  <si>
    <t>Implemente una estructura de cuentas adaptada a su organización. Esto le ayudará a asignar y administrar los costos en toda la organización.</t>
  </si>
  <si>
    <t>AWS Organizations, AWS Control Tower
AWS Organizations Recurso: Estructura organizacional con management account y member accounts Configuración: AWS Organizations configurado con unidades organizacionales (OUs) que mapean a la estructura organizacional para asignación y gestión de costos
AWS Control Tower Recurso: Landing zone para configuración automatizada de estructura multi-cuenta Configuración: Control Tower configurado para establecer estructura de cuentas alineada con requisitos de gobernanza y mejores prácticas de gestión de costos
Consolidated Billing Recurso: Facturación consolidada para agregación de costos y descuentos por volumen Configuración: Consolidated billing habilitado para agregar costos y uso de múltiples member accounts bajo una sola management account
AWS Cost Allocation Tags Recurso: Tags para asignación de costos entre cuentas y unidades organizacionales Configuración: Cost allocation tags configurados consistentemente a través de cuentas para habilitar seguimiento granular de costos y asignación
AWS Budgets Recurso: Presupuestos por cuenta y unidad organizacional para gestión de costos Configuración: AWS Budgets configurados por cuentas individuales y OUs para monitorear gastos y aplicar controles de costos</t>
  </si>
  <si>
    <t xml:space="preserve">Auditar la estructura de OUs (Organizational Units) para asegurar que ayuda a la asignación de costos organizacionales.
AWS Organizations Verificar que existe una estructura organizacional implementada que mapea a la organización para asignación de costos. El cumplimiento indica management account configurada con member accounts organizadas en OUs que reflejan la estructura organizacional. El incumplimiento se evidencia por configuración de cuenta única o estructura de cuentas que no mapea a requisitos organizacionales.
AWS Control Tower Verificar que Control Tower está implementado para configuración automatizada multi-cuenta con alineación de gobernanza. El cumplimiento indica Control Tower configurado con landing zone que implementa mejores prácticas de estructura de cuentas. El incumplimiento se evidencia por configuración manual de cuentas o falta de automatización de gobernanza en estructura de cuentas.
Consolidated Billing Verificar que consolidated billing está habilitado para agregación de costos y descuentos por volumen. El cumplimiento indica consolidated billing activo con agregación apropiada de costos y visibilidad por cuenta vinculada. El incumplimiento se evidencia por facturación separada por cuenta o falta de beneficios de agregación de costos.
AWS Cost Allocation Tags Verificar que cost allocation tags están implementados consistentemente a través de cuentas para seguimiento granular de costos. El cumplimiento indica estrategia de etiquetado consistente que permite asignación de costos por unidades organizacionales. El incumplimiento se evidencia por etiquetado inconsistente o falta de capacidad de asignación de costos.
AWS Budgets Verificar que existen presupuestos configurados por cuentas y OUs para gestión efectiva de costos. El cumplimiento indica budgets granulares por nivel de cuenta y OU con umbrales apropiados. El incumplimiento se evidencia por budgets únicamente a nivel organizacional o falta de controles granulares de costos.
</t>
  </si>
  <si>
    <t xml:space="preserve"># Verificar AWS Organizations structure
aws organizations describe-organization
aws organizations list-accounts
aws organizations list-organizational-units-for-parent --parent-id r-xxxxxxxxxx
aws organizations list-accounts-for-parent --parent-id ou-xxxxxxxxxx
# Validar Control Tower setup
aws controltower list-enabled-controls --target-identifier arn:aws:organizations::123456789012:ou/o-xxxxxxxxxx/ou-xxxxxxxxxx
aws controltower get-control-operation --operation-identifier xxxxxxxxxx-xxxx-xxxx-xxxx-xxxxxxxxxxxx
aws servicecatalog list-portfolios --query 'PortfolioDetails[?contains(DisplayName, `Control Tower`)]'
# Verificar consolidated billing configuration
aws organizations describe-account --account-id 123456789012
aws ce get-cost-and-usage --time-period Start=2024-01-01,End=2024-02-01 --granularity MONTHLY --metrics BlendedCost --group-by Type=DIMENSION,Key=LINKED_ACCOUNT
aws ce get-cost-and-usage --time-period Start=2024-01-01,End=2024-02-01 --granularity MONTHLY --metrics UnblendedCost --group-by Type=DIMENSION,Key=LINKED_ACCOUNT
# Validar cost allocation tags across accounts
aws ce list-cost-allocation-tags
aws ce get-cost-allocation-tags --tag-keys CostCenter Department Project Environment
aws resourcegroupstaggingapi get-resources --tag-filters Key=CostCenter,Values=* Key=Department,Values=*
# Verificar budgets por accounts y OUs
aws budgets describe-budgets --account-id 123456789012
aws budgets describe-budget --account-id 123456789012 --budget-name "Account-Production-Budget"
aws budgets describe-budget --account-id 123456789012 --budget-name "OU-Development-Budget"
# Validar Service Control Policies por OU
aws organizations list-policies --filter SERVICE_CONTROL_POLICY
aws organizations list-policies-for-target --target-id ou-xxxxxxxxxx --filter SERVICE_CONTROL_POLICY
aws organizations describe-policy --policy-id p-xxxxxxxxxx
# Verificar account separation y isolation
aws iam list-account-aliases
aws sts get-caller-identity
aws organizations describe-account --account-id 123456789012
# Validar Reserved Instances y Savings Plans sharing
aws ec2 describe-reserved-instances --query 'ReservedInstances[?Scope==`Region`]'
aws savingsplans describe-savings-plans
aws organizations describe-organization --query 'Organization.FeatureSet'
# Verificar cross-account roles para cost management
aws iam list-roles --query 'Roles[?contains(RoleName, `OrganizationAccountAccess`) || contains(RoleName, `CrossAccount`)]'
aws iam get-role --role-name OrganizationAccountAccessRole
# Validar account naming y tagging conventions
aws organizations list-accounts --query 'Accounts[].{Name:Name,Id:Id,Status:Status}'
aws organizations list-tags-for-resource --resource-id 123456789012
# Verificar billing alerts por account
aws cloudwatch describe-alarms --query 'MetricAlarms[?Namespace==`AWS/Billing`]'
aws sns list-topics --query 'Topics[?contains(TopicArn, `billing`) || contains(TopicArn, `cost`)]'
</t>
  </si>
  <si>
    <r>
      <rPr>
        <b/>
        <sz val="11"/>
        <color rgb="FF000000"/>
        <rFont val="Montserrat"/>
      </rPr>
      <t>COST02-BP04</t>
    </r>
    <r>
      <rPr>
        <sz val="11"/>
        <color rgb="FF000000"/>
        <rFont val="Montserrat"/>
      </rPr>
      <t xml:space="preserve"> Implementar grupos y roles</t>
    </r>
  </si>
  <si>
    <t>Implemente grupos y roles que se ajusten a sus políticas y controle quién puede crear, modificar o retirar instancias y recursos en cada grupo. Por ejemplo, implemente grupos de desarrollo, de pruebas y de producción. Esto se aplica a los servicios de AWS y a las soluciones de terceros.</t>
  </si>
  <si>
    <t>AWS IAM, Políticas de Grupos
AWS Identity and Access Management (IAM) Recurso: Groups y roles alineados con políticas organizacionales para gobernanza de costos Configuración: IAM configurado con groups basados en funciones de trabajo y roles que controlan acceso a recursos según políticas organizacionales
AWS Organizations Recurso: Service Control Policies para aplicación de controles de acceso a nivel organizacional Configuración: AWS Organizations configurado con SCPs que implementan controles de acceso basados en grupos y restricciones de roles
AWS Single Sign-On (AWS SSO) Recurso: Gestión centralizada de identidades con permission sets basados en roles Configuración: AWS SSO configurado con permission sets que mapean a roles y grupos organizacionales para control de acceso consistente
AWS CloudTrail Recurso: Auditoría de acceso y acciones por grupos y roles para cumplimiento Configuración: CloudTrail configurado para registrar todas las acciones de usuario y habilitar auditoría de patrones de acceso basados en grupos/roles
AWS Config Recurso: Rules para cumplimiento con políticas organizacionales de grupos y roles Configuración: AWS Config configurado con reglas que evalúan la adherencia a políticas de grupos/roles y requisitos de control de acceso</t>
  </si>
  <si>
    <t xml:space="preserve">1. Revisar grupos en IAM (ej. desarrollo, pruebas, producción).
2. Confirmar que los permisos restringen quién puede lanzar o modificar infraestructura.
AWS Identity and Access Management (IAM) Verificar que existen groups y roles implementados que se alinean con políticas organizacionales para gobernanza de costos. El cumplimiento indica groups de IAM basados en funciones de trabajo y roles con permisos apropiados para control de acceso a recursos. El incumplimiento se evidencia por políticas excesivamente permisivas o groups que no reflejan la estructura organizacional.
AWS Organizations Verificar que Service Control Policies están implementadas para aplicar controles de acceso basados en grupos a nivel organizacional. El cumplimiento indica SCPs que implementan restricciones basadas en roles y controles de acceso de grupos. El incumplimiento se evidencia por falta de SCPs o políticas que no aplican requisitos de roles organizacionales.
AWS Single Sign-On (AWS SSO) Verificar que AWS SSO está configurado con permission sets que mapean a roles y grupos organizacionales. El cumplimiento indica SSO con gestión centralizada de identidades y asignación consistente de permisos. El incumplimiento se evidencia por falta de gestión centralizada de identidades o asignación inconsistente de permisos.
AWS CloudTrail Verificar que CloudTrail está configurado para auditoría de patrones de acceso basados en grupos y roles. El cumplimiento indica registro completo de acciones de usuario con capacidad de auditar cumplimiento de grupos/roles. El incumplimiento se evidencia por registro insuficiente o falta de capacidad de auditoría para acceso de grupos/roles.
AWS Config Verificar que existen reglas de Config para evaluar el cumplimiento con políticas de grupos y roles. El cumplimiento indica reglas activas que monitorean la adherencia a requisitos organizacionales de grupos/roles. El incumplimiento se evidencia por falta de monitoreo de cumplimiento o reglas que no evalúan la adherencia a políticas de grupos/roles.
</t>
  </si>
  <si>
    <t xml:space="preserve"># Verificar IAM groups alineados con organizational policies
aws iam list-groups
aws iam get-group --group-name Developers
aws iam get-group --group-name ProductionAdmins
aws iam get-group --group-name CostManagers
# Validar IAM roles para cost governance
aws iam list-roles --query 'Roles[?contains(RoleName, `Cost`) || contains(RoleName, `Finance`) || contains(RoleName, `Admin`)]'
aws iam get-role --role-name CostOptimizationRole
aws iam list-attached-role-policies --role-name CostOptimizationRole
# Verificar policies attached a groups
aws iam list-attached-group-policies --group-name Developers
aws iam list-group-policies --group-name Developers
aws iam get-group-policy --group-name Developers --policy-name DeveloperCostPolicy
# Validar Service Control Policies en Organizations
aws organizations list-policies --filter SERVICE_CONTROL_POLICY
aws organizations describe-policy --policy-id p-xxxxxxxxxx
aws organizations list-targets-for-policy --policy-id p-xxxxxxxxxx
# Verificar AWS SSO permission sets
aws sso-admin list-instances
aws sso-admin list-permission-sets --instance-arn arn:aws:sso:::instance/ssoins-xxxxxxxxxx
aws sso-admin describe-permission-set --instance-arn arn:aws:sso:::instance/ssoins-xxxxxxxxxx --permission-set-arn arn:aws:sso:::permissionSet/ssoins-xxxxxxxxxx/ps-xxxxxxxxxx
# Validar CloudTrail para auditing de access
aws cloudtrail describe-trails
aws cloudtrail get-trail-status --name arn:aws:cloudtrail:region:123456789012:trail/management-events
aws logs describe-log-groups --query 'logGroups[?contains(logGroupName, `CloudTrail`)]'
# Verificar Config rules para group/role compliance
aws configservice describe-config-rules --query 'ConfigRules[?contains(ConfigRuleName, `iam`) || contains(ConfigRuleName, `access`)]'
aws configservice get-compliance-details-by-config-rule --config-rule-name "iam-group-has-users-check"
# Validar user assignments a groups
aws iam get-groups-for-user --user-name john.doe
aws iam list-users-in-group --group-name Developers
aws iam list-entities-for-policy --policy-arn arn:aws:iam::123456789012:policy/CostOptimizationPolicy
# Verificar cross-account roles
aws iam list-roles --query 'Roles[?contains(AssumeRolePolicyDocument, `sts:AssumeRole`)]'
aws sts get-caller-identity
aws sts assume-role --role-arn arn:aws:iam::123456789012:role/CrossAccountCostRole --role-session-name test-session
# Validar managed policies vs custom policies
aws iam list-policies --scope AWS --query 'Policies[?contains(PolicyName, `Cost`) || contains(PolicyName, `Billing`)]'
aws iam list-policies --scope Local --query 'Policies[?contains(PolicyName, `Cost`) || contains(PolicyName, `Organizational`)]'
# Verificar access analyzer findings
aws accessanalyzer list-analyzers
aws accessanalyzer list-findings --analyzer-arn arn:aws:access-analyzer:region:123456789012:analyzer/ConsoleAnalyzer-xxxxxxxxxx
# Validar resource-based policies
aws s3api get-bucket-policy --bucket cost-reports-bucket
aws kms describe-key --key-id xxxxxxxxxx-xxxx-xxxx-xxxx-xxxxxxxxxxxx
aws kms get-key-policy --key-id xxxxxxxxxx-xxxx-xxxx-xxxx-xxxxxxxxxxxx --policy-name default
</t>
  </si>
  <si>
    <r>
      <rPr>
        <b/>
        <sz val="11"/>
        <color rgb="FF000000"/>
        <rFont val="Montserrat"/>
      </rPr>
      <t>COST02-BP05</t>
    </r>
    <r>
      <rPr>
        <sz val="11"/>
        <color rgb="FF000000"/>
        <rFont val="Montserrat"/>
      </rPr>
      <t xml:space="preserve"> Implementar controles de costes</t>
    </r>
  </si>
  <si>
    <t>Implemente controles basados en las políticas de la organización y en los grupos y los roles definidos. De este modo, se certifica que los costos solo se producen según los requisitos de la organización, como controlar el acceso a regiones o tipos de recursos.</t>
  </si>
  <si>
    <t>Service Control Policies (SCPs) en AWS Organizations
AWS Budgets Recurso: Presupuestos con notificaciones para eventos de costos y uso fuera de políticas Configuración: AWS Budgets configurado con presupuestos mensuales para costos, uso y descuentos por compromiso con notificaciones cuando se exceden umbrales
AWS Cost Anomaly Detection Recurso: Machine learning para detectar gastos anómalos y causas raíz Configuración: Cost Anomaly Detection configurado con monitores para identificar patrones de gasto inusuales y alertas automatizadas
AWS Identity and Access Management (IAM) Recurso: Políticas y roles para control de acceso a regiones y tipos de recursos Configuración: IAM configurado con políticas que implementan requisitos organizacionales para control de acceso a recursos
AWS Organizations Service Control Policies (SCP) Recurso: Control central sobre permisos máximos para todas las cuentas Configuración: AWS Organizations configurado con SCPs que aplican políticas de gobernanza y previenen creación no autorizada de recursos
Service Quotas Recurso: Límites para minimizar creación de recursos fuera de requisitos organizacionales Configuración: Service Quotas configurados para prevenir creación excesiva de recursos y asegurar adherencia a políticas organizacionales</t>
  </si>
  <si>
    <t xml:space="preserve">Verificar SCPs aplicadas para asegurar que los costos solo se produzcan según requisitos, limitando regiones o tipos de instancias específicos.
AWS Budgets Verificar que existen budgets configurados con notificaciones para eventos de costos y uso fuera de políticas organizacionales. El cumplimiento indica budgets con umbrales apropiados y notificaciones automatizadas para acción rápida. El incumplimiento se evidencia por falta de budgets o notificaciones que no se alinean con políticas organizacionales.
AWS Cost Anomaly Detection Verificar que Cost Anomaly Detection está configurado para identificar gastos anómalos y proporcionar análisis de causa raíz. El cumplimiento indica monitores activos con detección de machine learning y alertas automatizadas. El incumplimiento se evidencia por falta de detección de anomalías o cobertura de monitoreo insuficiente.
AWS Identity and Access Management (IAM) Verificar que las políticas de IAM están implementadas para controlar acceso según requisitos organizacionales. El cumplimiento indica políticas que restringen acceso a regiones específicas, tipos de recursos y acciones según políticas organizacionales. El incumplimiento se evidencia por políticas excesivamente permisivas o falta de controles de acceso.
AWS Organizations Service Control Policies (SCP) Verificar que SCPs están implementadas para control central sobre permisos de cuentas. El cumplimiento indica SCPs que aplican gobernanza organizacional y previenen acciones no autorizadas. El incumplimiento se evidencia por falta de SCPs o políticas que no aplican requisitos organizacionales.
Service Quotas Verificar que service quotas están configurados para minimizar creación de recursos fuera de requisitos organizacionales. El cumplimiento indica quotas establecidas según necesidades organizacionales y monitoreo regular del uso de quotas. El incumplimiento se evidencia por quotas por defecto o falta de gestión de quotas.
</t>
  </si>
  <si>
    <t xml:space="preserve"># Verificar AWS Budgets para cost controls
aws budgets describe-budgets --account-id 123456789012
aws budgets describe-budget --account-id 123456789012 --budget-name "Monthly-Cost-Control-Budget"
aws budgets describe-budget-performance-history --account-id 123456789012 --budget-name "Monthly-Cost-Control-Budget"
# Validar Cost Anomaly Detection
aws ce get-anomaly-detectors --query 'AnomalyDetectors[?State==`ACTIVE`]'
aws ce describe-anomaly-monitors
aws ce describe-anomaly-subscriptions
aws ce get-anomalies --date-interval Start=2024-01-01,End=2024-02-01
# Verificar IAM policies para cost controls
aws iam list-policies --scope Local --query 'Policies[?contains(PolicyName, `CostControl`) || contains(PolicyName, `RegionRestriction`)]'
aws iam get-policy --policy-arn arn:aws:iam::123456789012:policy/CostControlPolicy
aws iam get-policy-version --policy-arn arn:aws:iam::123456789012:policy/CostControlPolicy --version-id v1
# Validar Service Control Policies
aws organizations list-policies --filter SERVICE_CONTROL_POLICY
aws organizations describe-policy --policy-id p-xxxxxxxxxx
aws organizations list-targets-for-policy --policy-id p-xxxxxxxxxx
# Verificar Service Quotas
aws service-quotas list-service-quotas --service-code ec2
aws service-quotas get-service-quota --service-code ec2 --quota-code L-1216C47A
aws service-quotas list-requested-service-quota-change-history --service-code ec2
# Validar budget actions y automated responses
aws budgets describe-budget-actions-for-budget --account-id 123456789012 --budget-name "Monthly-Cost-Control-Budget"
aws budgets describe-budget-action --account-id 123456789012 --budget-name "Monthly-Cost-Control-Budget" --action-id xxxxxxxxxx-xxxx-xxxx-xxxx-xxxxxxxxxxxx
# Verificar CloudWatch alarms para cost controls
aws cloudwatch describe-alarms --query 'MetricAlarms[?Namespace==`AWS/Billing`]'
aws cloudwatch describe-alarms --state-value ALARM
# Validar SNS notifications para cost alerts
aws sns list-topics --query 'Topics[?contains(TopicArn, `cost`) || contains(TopicArn, `budget`) || contains(TopicArn, `anomaly`)]'
aws sns list-subscriptions --query 'Subscriptions[?contains(TopicArn, `cost-control`)]'
# Verificar IAM access analyzer findings
aws accessanalyzer list-analyzers
aws accessanalyzer list-findings --analyzer-arn arn:aws:access-analyzer:region:123456789012:analyzer/ConsoleAnalyzer-xxxxxxxxxx
# Validar resource-based policies para cost control
aws s3api list-buckets --query 'Buckets[?contains(Name, `cost`) || contains(Name, `billing`)]'
aws s3api get-bucket-policy --bucket cost-control-bucket
# Verificar Config rules para cost compliance
aws configservice describe-config-rules --query 'ConfigRules[?contains(ConfigRuleName, `cost`) || contains(ConfigRuleName, `budget`)]'
aws configservice get-compliance-details-by-config-rule --config-rule-name "required-tags-cost-center"
# Validar automated remediation actions
aws lambda list-functions --query 'Functions[?contains(FunctionName, `cost-control`) || contains(FunctionName, `budget-enforcement`)]'
aws events list-rules --query 'Rules[?contains(Name, `cost`) || contains(Name, `budget`)]'
</t>
  </si>
  <si>
    <r>
      <rPr>
        <b/>
        <sz val="11"/>
        <color rgb="FF000000"/>
        <rFont val="Montserrat"/>
      </rPr>
      <t>COST02-BP06</t>
    </r>
    <r>
      <rPr>
        <sz val="11"/>
        <color rgb="FF000000"/>
        <rFont val="Montserrat"/>
      </rPr>
      <t xml:space="preserve"> Seguimiento del ciclo de vida del proyecto</t>
    </r>
  </si>
  <si>
    <t>Controle, mida y audite el ciclo de vida de los proyectos, equipos y entornos para evitar el uso y el pago de recursos innecesarios.</t>
  </si>
  <si>
    <t>AWS Systems Manager, AWS Config
AWS Config Recurso: Inventario detallado de recursos AWS y configuración para seguimiento de ciclo de vida Configuración: AWS Config configurado para proporcionar inventario completo de recursos y rastrear cambios de configuración a lo largo del ciclo de vida del proyecto
AWS Systems Manager Recurso: Gestión de activos y seguimiento del ciclo de vida de recursos y aplicaciones Configuración: Systems Manager configurado con capacidades de gestión de inventario, gestión de parches y seguimiento del ciclo de vida de aplicaciones
AWS Resource Groups y Tag Editor Recurso: Agrupación y etiquetado de recursos para gestión del ciclo de vida Configuración: Resource Groups configurado con estrategia de etiquetado consistente para rastrear fases de proyecto y etapas del ciclo de vida
AWS CloudFormation Recurso: Infrastructure as Code para rastrear ciclo de vida de despliegue y desmantelamiento Configuración: CloudFormation configurado con gestión del ciclo de vida de stacks y aprovisionamiento/desaprovisionamiento automatizado de recursos
AWS Organizations y Cost Allocation Tags Recurso: Estructura organizacional y seguimiento de costos a lo largo del ciclo de vida del proyecto Configuración: Organizations configurado con cost allocation tags para rastrear costos de proyecto a través de diferentes fases del ciclo de vida</t>
  </si>
  <si>
    <t xml:space="preserve">1. Controlar y medir el ciclo de los entornos.
2. Identificar si existen procesos de auditoría al cerrar proyectos para no pagar de más.
AWS Config Verificar que AWS Config está configurado para proporcionar inventario detallado y rastrear cambios de configuración de recursos a lo largo del ciclo de vida del proyecto. El cumplimiento indica reglas de Config activas para seguimiento del ciclo de vida e inventario completo de recursos. El incumplimiento se evidencia por seguimiento insuficiente de recursos o falta de visibilidad del ciclo de vida.
AWS Systems Manager Verificar que Systems Manager está implementado para gestión de activos y seguimiento del ciclo de vida de aplicaciones. El cumplimiento indica gestión de inventario activa, seguimiento de cumplimiento de parches y visibilidad del ciclo de vida de aplicaciones. El incumplimiento se evidencia por gestión manual de activos o falta de seguimiento automatizado del ciclo de vida.
AWS Resource Groups y Tag Editor Verificar que existe una estrategia de etiquetado consistente para rastrear fases de proyecto y etapas del ciclo de vida. El cumplimiento indica resource groups configurados con tags de ciclo de vida y enfoque sistemático de etiquetado. El incumplimiento se evidencia por etiquetado inconsistente o falta de seguimiento de fases del ciclo de vida.
AWS CloudFormation Verificar que CloudFormation está siendo utilizado para Infrastructure as Code y gestión del ciclo de vida de stacks. El cumplimiento indica aprovisionamiento/desaprovisionamiento automatizado y seguimiento del ciclo de vida de stacks. El incumplimiento se evidencia por gestión manual de infraestructura o falta de procesos automatizados del ciclo de vida.
AWS Organizations y Cost Allocation Tags Verificar que cost allocation tags están implementados para rastrear costos de proyecto a través de fases del ciclo de vida. El cumplimiento indica seguimiento completo de costos por fase de proyecto y etapa del ciclo de vida. El incumplimiento se evidencia por asignación insuficiente de costos o falta de visibilidad de costos del ciclo de vida.
</t>
  </si>
  <si>
    <t xml:space="preserve"># Verificar AWS Config para resource inventory y lifecycle tracking
aws configservice describe-configuration-recorders
aws configservice describe-delivery-channels
aws configservice describe-config-rules --query 'ConfigRules[?contains(ConfigRuleName, `lifecycle`) || contains(ConfigRuleName, `tag`)]'
aws configservice get-resource-config-history --resource-type AWS::EC2::Instance --resource-id i-1234567890abcdef0
# Validar Systems Manager para asset management
aws ssm describe-instance-information --query 'InstanceInformationList[?PingStatus==`Online`]'
aws ssm list-inventory-entries --instance-id i-1234567890abcdef0 --type-name AWS:Application
aws ssm describe-patch-baselines
aws ssm describe-maintenance-windows
# Verificar Resource Groups y tagging strategy
aws resource-groups list-groups
aws resource-groups get-group --group-name ProjectLifecycleGroup
aws resourcegroupstaggingapi get-resources --tag-filters Key=ProjectPhase,Values=* Key=Lifecycle,Values=*
aws resourcegroupstaggingapi get-tag-keys
# Validar CloudFormation para Infrastructure as Code lifecycle
aws cloudformation list-stacks --query 'StackSummaries[?StackStatus!=`DELETE_COMPLETE`]'
aws cloudformation describe-stacks --stack-name project-infrastructure-stack
aws cloudformation describe-stack-events --stack-name project-infrastructure-stack
# Verificar cost allocation tags para lifecycle tracking
aws ce list-cost-allocation-tags
aws ce get-cost-allocation-tags --tag-keys ProjectPhase Lifecycle Environment
aws ce get-cost-and-usage --time-period Start=2024-01-01,End=2024-02-01 --granularity MONTHLY --metrics BlendedCost --group-by Type=TAG,Key=ProjectPhase
# Validar workload reviews y audits
aws support describe-trusted-advisor-checks --language en --query 'checks[?contains(name, `Cost`) || contains(name, `Usage`)]'
aws ce get-rightsizing-recommendation
aws compute-optimizer get-ec2-instance-recommendations
# Verificar automated lifecycle management
aws lambda list-functions --query 'Functions[?contains(FunctionName, `lifecycle`) || contains(FunctionName, `decommission`)]'
aws events list-rules --query 'Rules[?contains(Name, `lifecycle`) || contains(Name, `project`)]'
# Validar integration con project management systems
aws apigateway get-rest-apis --query 'items[?contains(name, `project`) || contains(name, `lifecycle`)]'
aws dynamodb list-tables --query 'TableNames[?contains(@, `project`) || contains(@, `lifecycle`)]'
# Verificar decommissioning processes
aws ec2 describe-instances --query 'Reservations[].Instances[?State.Name==`stopped`]'
aws rds describe-db-instances --query 'DBInstances[?DBInstanceStatus==`stopped`]'
aws s3api list-buckets --query 'Buckets[?contains(Name, `archive`) || contains(Name, `decommission`)]'
# Validar compliance y governance
aws organizations describe-organization
aws organizations list-policies --filter TAG_POLICY
aws config describe-compliance-by-config-rule --config-rule-names required-tags-project-lifecycle
# Verificar monitoring de lifecycle events
aws cloudwatch list-metrics --namespace "ProjectLifecycle"
aws cloudwatch get-metric-statistics --namespace "ProjectLifecycle" --metric-name "ActiveProjects" --start-time 2024-01-01T00:00:00Z --end-time 2024-02-01T00:00:00Z --period 86400 --statistics Sum
</t>
  </si>
  <si>
    <t>Gastos y conciencia de uso
COST 3. ¿Cómo monitoriza su costo y uso?</t>
  </si>
  <si>
    <r>
      <rPr>
        <b/>
        <sz val="11"/>
        <color rgb="FF000000"/>
        <rFont val="Montserrat"/>
      </rPr>
      <t>COST03-BP01</t>
    </r>
    <r>
      <rPr>
        <sz val="11"/>
        <color rgb="FF000000"/>
        <rFont val="Montserrat"/>
      </rPr>
      <t xml:space="preserve"> Configurar fuentes de información detalladas</t>
    </r>
  </si>
  <si>
    <t>Configure herramientas de generación de informes y administración de costos para mejorar el análisis y la transparencia de los datos de costos y uso. Configure la carga de trabajo para crear entradas de registro que faciliten el seguimiento y la división de los costos y el uso.</t>
  </si>
  <si>
    <t>AWS Cost and Usage Report (CUR), Logs de aplicaciones
AWS Cost and Usage Report (CUR) Recurso: Datos detallados de costos y uso con granularidad completa para análisis Configuración: CUR configurado con nivel máximo de detalle, granularidad horaria e información completa de recursos para análisis detallado de costos
AWS Cost Explorer Recurso: Herramienta interactiva de análisis de costos con capacidades detalladas de filtrado y agrupación Configuración: Cost Explorer configurado con reportes personalizados, filtros guardados y desgloses detallados de costos por servicio, cuenta, región y tags
AWS CloudTrail Recurso: Registro de llamadas API para seguimiento detallado de uso y pista de auditoría Configuración: CloudTrail configurado con registro completo de todas las llamadas API, eventos de datos y eventos de gestión para visibilidad completa del uso
AWS Config Recurso: Seguimiento de configuración de recursos para inventario detallado y monitoreo de cumplimiento Configuración: AWS Config configurado con seguimiento completo de recursos, historial de configuración y reglas de cumplimiento para información detallada de recursos
Amazon CloudWatch Recurso: Métricas detalladas y monitoreo para seguimiento de utilización de recursos Configuración: CloudWatch configurado con monitoreo detallado, métricas personalizadas y registro completo para información granular de uso</t>
  </si>
  <si>
    <t>1. Confirmar que el CUR está activo para mejorar el análisis de datos.
2. Revisar si la carga de trabajo genera logs que faciliten dividir el costo.
AWS Cost and Usage Report (CUR) Verificar que CUR está configurado con nivel máximo de detalle para análisis completo de costos y uso. El cumplimiento indica CUR con granularidad horaria, detalle a nivel de recurso e información completa de asignación de costos. El incumplimiento se evidencia por CUR con detalle insuficiente o datos de asignación de costos faltantes.
AWS Cost Explorer Verificar que Cost Explorer está configurado para análisis detallado de costos con capacidades completas de filtrado. El cumplimiento indica reportes guardados configurados, filtros personalizados implementados y desgloses detallados de costos disponibles. El incumplimiento se evidencia por visibilidad limitada de costos o capacidades de análisis insuficientes.
AWS CloudTrail Verificar que CloudTrail está configurado para registro completo de API y seguimiento de uso. El cumplimiento indica todas las llamadas API registradas, eventos de datos capturados y eventos de gestión rastreados. El incumplimiento se evidencia por registro incompleto o datos de seguimiento de uso faltantes.
AWS Config Verificar que AWS Config está configurado para seguimiento detallado de recursos y monitoreo de configuración. El cumplimiento indica inventario completo de recursos, seguimiento del historial de configuración y monitoreo de cumplimiento habilitado. El incumplimiento se evidencia por seguimiento incompleto de recursos o datos de configuración faltantes.
Amazon CloudWatch Verificar que CloudWatch está configurado con monitoreo detallado y recopilación completa de métricas. El cumplimiento indica monitoreo detallado habilitado, métricas personalizadas configuradas y registro completo implementado. El incumplimiento se evidencia por monitoreo básico únicamente o recopilación insuficiente de métricas.</t>
  </si>
  <si>
    <t xml:space="preserve"># Verificar AWS Cost and Usage Report configuration
aws cur describe-report-definitions
aws cur get-report-definition --report-name "detailed-cost-usage-report"
# Validar Cost Explorer saved reports y filters
aws ce get-cost-and-usage --time-period Start=2024-01-01,End=2024-02-01 --granularity DAILY --metrics BlendedCost UnblendedCost --group-by Type=DIMENSION,Key=SERVICE
aws ce list-cost-allocation-tags
aws ce get-cost-allocation-tags --tag-keys Environment CostCenter Project
# Verificar CloudTrail configuration para detailed logging
aws cloudtrail describe-trails
aws cloudtrail get-trail-status --name arn:aws:cloudtrail:region:123456789012:trail/management-events
aws cloudtrail get-event-selectors --trail-name arn:aws:cloudtrail:region:123456789012:trail/management-events
# Validar AWS Config para resource tracking
aws configservice describe-configuration-recorders
aws configservice describe-delivery-channels
aws configservice describe-config-rules
aws configservice get-resource-config-history --resource-type AWS::EC2::Instance --resource-id i-1234567890abcdef0
# Verificar CloudWatch detailed monitoring
aws cloudwatch list-metrics --namespace AWS/EC2
aws cloudwatch describe-alarms
aws logs describe-log-groups
# Validar detailed billing information
aws ce get-cost-and-usage --time-period Start=2024-01-01,End=2024-02-01 --granularity HOURLY --metrics BlendedCost --group-by Type=DIMENSION,Key=USAGE_TYPE
aws ce get-usage-forecast --time-period Start=2024-03-01,End=2024-04-01 --metric BLENDED_COST --granularity DAILY
# Verificar resource tagging para detailed attribution
aws resourcegroupstaggingapi get-resources --tag-filters Key=CostCenter,Values=* Key=Environment,Values=*
aws resourcegroupstaggingapi get-tag-keys
aws resourcegroupstaggingapi get-tag-values --key CostCenter
# Validar detailed usage metrics
aws support describe-trusted-advisor-checks --language en
aws ce get-rightsizing-recommendation
aws compute-optimizer get-ec2-instance-recommendations
# Verificar integration con third-party tools
aws s3api list-objects-v2 --bucket cost-usage-reports --prefix "detailed-reports/"
aws lambda list-functions --query 'Functions[?contains(FunctionName, `cost-analysis`) || contains(FunctionName, `usage-tracking`)]'
# Validar automated data collection
aws events list-rules --query 'Rules[?contains(Name, `cost`) || contains(Name, `usage`)]'
aws glue get-crawlers --query 'Crawlers[?contains(Name, `cost`) || contains(Name, `usage`)]'
</t>
  </si>
  <si>
    <r>
      <rPr>
        <b/>
        <sz val="11"/>
        <color rgb="FF000000"/>
        <rFont val="Montserrat"/>
      </rPr>
      <t>COST03-BP02</t>
    </r>
    <r>
      <rPr>
        <sz val="11"/>
        <color rgb="FF000000"/>
        <rFont val="Montserrat"/>
      </rPr>
      <t xml:space="preserve"> Agregar información de la organización al costo y uso</t>
    </r>
  </si>
  <si>
    <t>Defina un esquema de etiquetado basado en su organización, los atributos de carga de trabajo y las categorías de asignación de costos para poder filtrar y buscar recursos o supervisar el costo y el uso en las herramientas de administración de costos. Implemente un etiquetado coherente en todos los recursos, siempre que sea posible, por finalidad, equipo, entorno u otros criterios pertinentes para su empresa.</t>
  </si>
  <si>
    <t>AWS Tag Editor, Cost Allocation Tags
AWS Resource Groups Tag Editor Recurso: Gestión centralizada de etiquetado para información organizacional consistente Configuración: Tag Editor configurado para gestionar tags a través de múltiples recursos con esquema de etiquetado consistente basado en estructura organizacional
AWS Cost Categories Recurso: Categorización de costos sin requerir tags en recursos Configuración: Cost Categories configurado para asignar significado organizacional a costos usando reglas basadas en cuentas, servicios, tags y otras dimensiones
AWS Organizations Tag Policies Recurso: Aplicación de estándares de etiquetado a nivel organizacional Configuración: Tag Policies configurado en AWS Organizations para aplicar esquema de etiquetado consistente y prevenir creación de recursos no conformes
AWS Cost Allocation Tags Recurso: Tags activados para asignación de costos y reportes detallados de costos Configuración: Cost allocation tags configurados y activados para habilitar desglose detallado de costos por dimensiones organizacionales
AWS CloudFormation Resource Tags Recurso: Etiquetado automatizado durante aprovisionamiento de recursos Configuración: Templates de CloudFormation configurados con etiquetado consistente de recursos para asegurar información organizacional en todos los recursos aprovisionados</t>
  </si>
  <si>
    <t xml:space="preserve">1. Auditar si existe un esquema de etiquetado por finalidad, equipo o entorno.
2. Verificar en la consola de facturación que dichas etiquetas están activadas para filtrar costos.
AWS Resource Groups Tag Editor Verificar que existe un esquema de etiquetado consistente implementado a través de todos los recursos con información organizacional. El cumplimiento indica estrategia completa de etiquetado con keys como Environment, CostCenter, Project, Owner implementados consistentemente. El incumplimiento se evidencia por etiquetado inconsistente o tags organizacionales faltantes.
AWS Cost Categories Verificar que Cost Categories están configuradas para proporcionar significado organizacional a datos de costos. El cumplimiento indica categorías configuradas que mapean costos a unidades organizacionales, proyectos y funciones de negocio. El incumplimiento se evidencia por falta de categorización de costos o categorías que no reflejan la estructura organizacional.
AWS Organizations Tag Policies Verificar que Tag Policies están implementadas para aplicar estándares organizacionales de etiquetado. El cumplimiento indica políticas activas que requieren tags organizacionales específicos y previenen creación de recursos no conformes. El incumplimiento se evidencia por falta de aplicación de tags o políticas que no se alinean con requisitos organizacionales.
AWS Cost Allocation Tags Verificar que cost allocation tags están activados y configurados para reportes detallados de costos. El cumplimiento indica todos los tags organizacionales relevantes activados para asignación de costos y apareciendo en reportes de costos. El incumplimiento se evidencia por cost allocation tags inactivos o dimensiones organizacionales faltantes en reportes de costos.
AWS CloudFormation Resource Tags Verificar que los templates de CloudFormation incluyen etiquetado organizacional consistente. El cumplimiento indica templates con etiquetado automatizado que aseguran información organizacional en todos los recursos aprovisionados. El incumplimiento se evidencia por templates sin etiquetado o aplicación inconsistente de tags.
</t>
  </si>
  <si>
    <t xml:space="preserve"># Verificar tagging schema y consistency
aws resourcegroupstaggingapi get-tag-keys
aws resourcegroupstaggingapi get-tag-values --key Environment
aws resourcegroupstaggingapi get-tag-values --key CostCenter
aws resourcegroupstaggingapi get-tag-values --key Project
# Validar resources con organizational tags
aws resourcegroupstaggingapi get-resources --tag-filters Key=Environment,Values=* Key=CostCenter,Values=* Key=Project,Values=*
aws resourcegroupstaggingapi get-resources --resource-type-filters EC2:Instance S3:Bucket RDS:DBInstance
# Verificar Cost Categories configuration
aws ce list-cost-category-definitions
aws ce describe-cost-category-definition --cost-category-arn arn:aws:ce::123456789012:costcategory/xxxxxxxxxx-xxxx-xxxx-xxxx-xxxxxxxxxxxx
# Validar Cost Allocation Tags
aws ce list-cost-allocation-tags
aws ce get-cost-allocation-tags --tag-keys Environment CostCenter Project Owner
aws ce update-cost-allocation-tags-status --cost-allocation-tags-status TagKey=Environment,Status=Active TagKey=CostCenter,Status=Active
# Verificar Tag Policies en Organizations
aws organizations list-policies --filter TAG_POLICY
aws organizations describe-policy --policy-id p-xxxxxxxxxx
aws organizations list-targets-for-policy --policy-id p-xxxxxxxxxx
# Validar CloudFormation templates con tagging
aws cloudformation list-stacks --query 'StackSummaries[?StackStatus!=`DELETE_COMPLETE`]'
aws cloudformation describe-stack-resources --stack-name example-stack --query 'StackResources[].{ResourceType:ResourceType,Tags:Tags}'
aws cloudformation get-template --stack-name example-stack
# Verificar cost reports con organizational information
aws ce get-cost-and-usage --time-period Start=2024-01-01,End=2024-02-01 --granularity MONTHLY --metrics BlendedCost --group-by Type=TAG,Key=Environment
aws ce get-cost-and-usage --time-period Start=2024-01-01,End=2024-02-01 --granularity MONTHLY --metrics BlendedCost --group-by Type=TAG,Key=CostCenter
aws ce get-cost-and-usage --time-period Start=2024-01-01,End=2024-02-01 --granularity MONTHLY --metrics BlendedCost --group-by Type=COST_CATEGORY,Key=OrganizationalUnit
# Validar automated tagging processes
aws lambda list-functions --query 'Functions[?contains(FunctionName, `tag`) || contains(FunctionName, `organizational`)]'
aws events list-rules --query 'Rules[?contains(Name, `tag`) || contains(Name, `organizational`)]'
# Verificar compliance con tagging policies
aws config describe-config-rules --query 'ConfigRules[?contains(ConfigRuleName, `tag`) || contains(ConfigRuleName, `required`)]'
aws config get-compliance-details-by-config-rule --config-rule-name "required-tags-cost-center"
# Validar Resource Groups con organizational information
aws resource-groups list-groups
aws resource-groups get-group --group-name OrganizationalCostTracking
aws resource-groups create-group --name "Environment-Production" --resource-query Type=TAG_FILTERS_1_0,Query='{"ResourceTypeFilters":["AWS::AllSupported"],"TagFilters":[{"Key":"Environment","Values":["Production"]}]}'
# Verificar budgets con organizational dimensions
aws budgets describe-budgets --account-id 123456789012 --query 'Budgets[?contains(BudgetName, `Environment`) || contains(BudgetName, `CostCenter`)]'
aws budgets describe-budget --account-id 123456789012 --budget-name "Environment-Production-Budget"
# Validar Cost Explorer saved reports con organizational grouping
aws ce get-cost-and-usage --time-period Start=2024-01-01,End=2024-02-01 --granularity MONTHLY --metrics BlendedCost --group-by Type=TAG,Key=Project Type=TAG,Key=Owner
</t>
  </si>
  <si>
    <r>
      <rPr>
        <b/>
        <sz val="11"/>
        <color rgb="FF000000"/>
        <rFont val="Montserrat"/>
      </rPr>
      <t>COST03-BP03</t>
    </r>
    <r>
      <rPr>
        <sz val="11"/>
        <color rgb="FF000000"/>
        <rFont val="Montserrat"/>
      </rPr>
      <t xml:space="preserve"> Identificar categorías de atribución de costos</t>
    </r>
  </si>
  <si>
    <t>Identifique las categorías de la organización como las unidades empresariales, los departamentos o los proyectos que podrían utilizarse para asignar los costos dentro de su organización a las entidades consumidoras internas. Utilice esas categorías para imponer la responsabilidad del gasto, concienciar sobre los costos y fomentar comportamientos de consumo eficaces.</t>
  </si>
  <si>
    <t>AWS Cost Categories.
AWS Cost Categories Recurso: Categorías personalizadas para agrupar información de costos y uso en categorías organizacionales significativas Configuración: Cost Categories configurado con reglas basadas en cuentas, etiquetas, servicios y tipos de cargos para reflejar la estructura organizacional y requisitos funcionales
AWS Cost Allocation Tags Recurso: Etiquetas específicas para atribución y asignación de costos a través de categorías organizacionales Configuración: Cost allocation tags configurados y activados para permitir desglose detallado de costos por unidades de negocio, departamentos, proyectos y centros de costo
AWS Organizations Account Structure Recurso: Jerarquía de cuentas que refleja las categorías organizacionales para atribución de costos Configuración: AWS Organizations configurado con estructura de cuentas que mapea a unidades de negocio, departamentos y proyectos para atribución clara de costos
AWS Budgets Recurso: Presupuestos configurados por categorías organizacionales para responsabilidad de gastos Configuración: AWS Budgets configurado con presupuestos específicos por unidad de negocio, departamento, proyecto y centro de costo para hacer cumplir la responsabilidad de gastos
AWS Cost Explorer Recurso: Análisis de costos y reportes por categorías de atribución organizacional Configuración: Cost Explorer configurado con reportes guardados y filtros que agrupan costos por categorías organizacionales y dimensiones funcionales</t>
  </si>
  <si>
    <t>1. Revisar la configuración de Cost Categories para agrupar gastos en unidades de negocio o departamentos.
+1
AWS Cost Categories Verificar que las Cost Categories están definidas para reflejar la estructura organizacional y requisitos funcionales. El cumplimiento indica categorías configuradas que mapean a unidades de negocio, departamentos, proyectos y centros de costo con reglas apropiadas. El incumplimiento se evidencia por falta de categorías de costo o categorías que no reflejan las necesidades de atribución organizacional.
AWS Cost Allocation Tags Verificar que las cost allocation tags están implementadas para permitir atribución detallada de costos a través de categorías organizacionales. El cumplimiento indica una estrategia integral de etiquetado con etiquetas activadas para asignación de costos que soportan la atribución organizacional. El incumplimiento se evidencia por etiquetas de asignación de costos faltantes o capacidad insuficiente de atribución organizacional.
AWS Organizations Account Structure Verificar que la estructura de cuentas refleja las categorías organizacionales para atribución clara de costos. El cumplimiento indica cuentas organizadas por unidades de negocio, departamentos o proyectos que permiten atribución clara de costos. El incumplimiento se evidencia por estructura de cuentas plana o cuentas que no mapean a categorías organizacionales.
AWS Budgets Verificar que los presupuestos están configurados por categorías organizacionales para hacer cumplir la responsabilidad de gastos. El cumplimiento indica presupuestos específicos por unidad de negocio, departamento y proyecto con umbrales apropiados. El incumplimiento se evidencia por presupuestos únicamente a nivel organizacional o falta de presupuestos específicos por categoría.
AWS Cost Explorer Verificar que Cost Explorer está configurado para análisis y reportes por categorías de atribución organizacional. El cumplimiento indica reportes guardados que agrupan costos por categorías organizacionales y permiten análisis detallado de atribución. El incumplimiento se evidencia por reportes de costos genéricos o falta de visibilidad de atribución organizacional.</t>
  </si>
  <si>
    <t xml:space="preserve"># Verificar configuración de AWS Cost Categories
aws ce list-cost-category-definitions
aws ce describe-cost-category-definition --cost-category-arn arn:aws:ce::123456789012:costcategory/xxxxxxxxxx-xxxx-xxxx-xxxx-xxxxxxxxxxxx
aws ce get-cost-categories --time-period Start=2024-01-01,End=2024-02-01
# Validar Cost Allocation Tags para atribución organizacional
aws ce list-cost-allocation-tags
aws ce get-cost-allocation-tags --tag-keys BusinessUnit Department Project CostCenter
aws ce update-cost-allocation-tags-status --cost-allocation-tags-status TagKey=BusinessUnit,Status=Active TagKey=Department,Status=Active
# Verificar estructura organizacional de cuentas
aws organizations list-accounts
aws organizations list-organizational-units-for-parent --parent-id r-xxxxxxxxxx
aws organizations describe-account --account-id 123456789012
# Validar presupuestos por categorías organizacionales
aws budgets describe-budgets --account-id 123456789012 --query 'Budgets[?contains(BudgetName, `BusinessUnit`) || contains(BudgetName, `Department`) || contains(BudgetName, `Project`)]'
aws budgets describe-budget --account-id 123456789012 --budget-name "BusinessUnit-Marketing-Budget"
# Verificar reportes de costos con atribución organizacional
aws ce get-cost-and-usage --time-period Start=2024-01-01,End=2024-02-01 --granularity MONTHLY --metrics BlendedCost --group-by Type=TAG,Key=BusinessUnit
aws ce get-cost-and-usage --time-period Start=2024-01-01,End=2024-02-01 --granularity MONTHLY --metrics BlendedCost --group-by Type=TAG,Key=Department
aws ce get-cost-and-usage --time-period Start=2024-01-01,End=2024-02-01 --granularity MONTHLY --metrics BlendedCost --group-by Type=COST_CATEGORY,Key=OrganizationalUnit
# Validar etiquetado para atribución de costos
aws resourcegroupstaggingapi get-resources --tag-filters Key=BusinessUnit,Values=* Key=Department,Values=* Key=Project,Values=* Key=CostCenter,Values=*
aws resourcegroupstaggingapi get-tag-values --key BusinessUnit
aws resourcegroupstaggingapi get-tag-values --key Department
# Verificar reglas y mapeo de Cost Categories
aws ce get-cost-and-usage --time-period Start=2024-01-01,End=2024-02-01 --granularity MONTHLY --metrics BlendedCost --group-by Type=COST_CATEGORY,Key=BusinessFunction
aws ce get-cost-and-usage --time-period Start=2024-01-01,End=2024-02-01 --granularity MONTHLY --metrics BlendedCost --group-by Type=COST_CATEGORY,Key=Environment
# Validar Resource Groups para categorías organizacionales
aws resource-groups list-groups --query 'GroupList[?contains(Name, `BusinessUnit`) || contains(Name, `Department`) || contains(Name, `Project`)]'
aws resource-groups get-group --group-name "BusinessUnit-Finance"
# Verificar detección de anomalías por categorías organizacionales
aws ce get-anomaly-detectors --query 'AnomalyDetectors[?MonitorType==`COST_CATEGORY`]'
aws ce describe-anomaly-monitors --monitor-arns arn:aws:ce::123456789012:anomalymonitor/xxxxxxxxxx-xxxx-xxxx-xxxx-xxxxxxxxxxxx
# Validar capacidades de chargeback y showback
aws ce get-cost-and-usage --time-period Start=2024-01-01,End=2024-02-01 --granularity MONTHLY --metrics BlendedCost UnblendedCost --group-by Type=TAG,Key=CostCenter Type=DIMENSION,Key=LINKED_ACCOUNT
# Verificar cumplimiento con requisitos de atribución
aws config describe-config-rules --query 'ConfigRules[?contains(ConfigRuleName, `cost-attribution`) || contains(ConfigRuleName, `required-tags`)]'
aws config get-compliance-details-by-config-rule --config-rule-name "required-tags-business-unit"
# Validar procesos automatizados de atribución de costos
aws lambda list-functions --query 'Functions[?contains(FunctionName, `cost-attribution`) || contains(FunctionName, `chargeback`)]'
aws events list-rules --query 'Rules[?contains(Name, `cost-attribution`) || contains(Name, `organizational`)]'
</t>
  </si>
  <si>
    <r>
      <rPr>
        <b/>
        <sz val="11"/>
        <color rgb="FF000000"/>
        <rFont val="Montserrat"/>
      </rPr>
      <t>COST03-BP04</t>
    </r>
    <r>
      <rPr>
        <sz val="11"/>
        <color rgb="FF000000"/>
        <rFont val="Montserrat"/>
      </rPr>
      <t xml:space="preserve"> Establecer métricas de la organización</t>
    </r>
  </si>
  <si>
    <t>Establezca las métricas de la organización necesarias para esta carga de trabajo. Algunos ejemplos de métricas de cargas de trabajo son los informes de clientes producidos o las páginas web que se entregan a los clientes.</t>
  </si>
  <si>
    <t>Amazon CloudWatch (Métricas personalizadas).
Amazon CloudWatch Recurso: Métricas personalizadas para medir resultados de negocio y eficiencia de workloads Configuración: CloudWatch configurado con custom metrics que miden business outcomes, cost per transaction, y efficiency ratios para cada workload
AWS Cost Explorer Recurso: Análisis de costos correlacionado con métricas de negocio para medir eficiencia Configuración: Cost Explorer configurado con reportes que correlacionan costos con business outcomes y performance metrics
AWS Cost and Usage Report (CUR) Recurso: Datos detallados de costos para calcular métricas de eficiencia organizacional Configuración: CUR configurado para proporcionar datos granulares que permiten cálculo de cost per business outcome y efficiency metrics
Amazon QuickSight Recurso: Dashboards para visualizar métricas organizacionales y KPIs de eficiencia Configuración: QuickSight configurado con dashboards que muestran business metrics, cost efficiency ratios, y organizational KPIs
AWS Systems Manager Parameter Store Recurso: Almacenamiento de definiciones de métricas organizacionales y KPIs Configuración: Parameter Store configurado para almacenar metric definitions, thresholds, y organizational KPI specifications</t>
  </si>
  <si>
    <t>1. Validar la existencia de métricas empresariales (ej. informes producidos) correlacionadas con la infraestructura.
+1
Amazon CloudWatch Verificar que CloudWatch está configurado con custom metrics que miden business outcomes y eficiencia de workloads. El cumplimiento indica métricas personalizadas que correlacionan costos con resultados de negocio y miden efficiency ratios. El incumplimiento se evidencia por métricas únicamente técnicas o falta de business outcome measurement.
AWS Cost Explorer Verificar que Cost Explorer está configurado para análisis que correlaciona costos con métricas de negocio. El cumplimiento indica reportes guardados que muestran cost per business outcome y efficiency trends. El incumplimiento se evidencia por análisis de costos que no correlaciona con business performance.
AWS Cost and Usage Report (CUR) Verificar que CUR proporciona datos suficientemente detallados para calcular métricas organizacionales. El cumplimiento indica CUR con granularidad que permite cálculo de cost efficiency metrics y business outcome ratios. El incumplimiento se evidencia por datos insuficientes para metric calculation.
Amazon QuickSight Verificar que QuickSight está configurado con dashboards que visualizan métricas organizacionales y KPIs. El cumplimiento indica dashboards que muestran business metrics, efficiency ratios, y organizational performance indicators. El incumplimiento se evidencia por dashboards únicamente técnicos o falta de business metric visualization.
AWS Systems Manager Parameter Store Verificar que Parameter Store contiene definiciones claras de métricas organizacionales y KPIs. El cumplimiento indica parámetros documentados con metric definitions, calculation methods, y organizational targets. El incumplimiento se evidencia por falta de metric documentation o definiciones inconsistentes.</t>
  </si>
  <si>
    <r>
      <rPr>
        <b/>
        <sz val="11"/>
        <color rgb="FF000000"/>
        <rFont val="Montserrat"/>
      </rPr>
      <t>COST03-BP05</t>
    </r>
    <r>
      <rPr>
        <sz val="11"/>
        <color rgb="FF000000"/>
        <rFont val="Montserrat"/>
      </rPr>
      <t xml:space="preserve"> Configurar herramientas de facturación y gestión de costes</t>
    </r>
  </si>
  <si>
    <t>Configure las herramientas de administración de costos que cumplan las políticas de su organización para administrar y optimizar el gasto en la nube. Esto incluye servicios, herramientas y recursos para organizar los datos de costos y uso y hacer un seguimiento de ellos, mejorar el control mediante una facturación consolidada y permisos de acceso, mejorar la planificación mediante presupuestos y previsiones, recibir notificaciones o alertas y reducir los costos con optimizaciones de recursos y precios.</t>
  </si>
  <si>
    <t>Consola de Facturación Consolidada, AWS Budgets.
AWS Cost Explorer Recurso: Herramienta de análisis de costos para visualizar y analizar datos de costos y uso Configuración: Cost Explorer configurado con dashboards personalizados, reportes guardados, y forecasting para análisis detallado de costos por workload
AWS Budgets Recurso: Herramienta de presupuestación para planificación y control de gastos Configuración: AWS Budgets configurado con presupuestos por workload, alertas automáticas, y budget actions para control proactivo de costos
AWS Cost Anomaly Detection Recurso: Detección automática de anomalías en patrones de gasto usando machine learning Configuración: Cost Anomaly Detection configurado con monitors específicos por workload y alertas automáticas para identificar gastos inusuales
AWS Cost Optimization Hub Recurso: Hub centralizado para identificar oportunidades de ahorro con recomendaciones personalizadas Configuración: Cost Optimization Hub configurado para proporcionar recomendaciones de rightsizing, Savings Plans, Reserved Instances, y eliminación de recursos no utilizados
Amazon QuickSight Recurso: Dashboards avanzados para análisis interactivo y compartición de insights de costos Configuración: QuickSight configurado con dashboards que integran datos de Cost and Usage Report para análisis granular y visualización avanzada</t>
  </si>
  <si>
    <t>1. Comprobar que la facturación consolidada y los presupuestos están activos para organizar los datos de costos.
+1
AWS Cost Explorer Verificar que Cost Explorer está configurado con dashboards y reportes que proporcionan visibilidad completa de costos por workload. El cumplimiento indica dashboards personalizados configurados, reportes guardados para análisis recurrente, y forecasting habilitado. El incumplimiento se evidencia por uso básico de Cost Explorer o falta de dashboards específicos por workload.
AWS Budgets Verificar que AWS Budgets está configurado con presupuestos apropiados y alertas para control proactivo de gastos. El cumplimiento indica presupuestos configurados por workload, departamento, y proyecto con alertas automáticas y budget actions. El incumplimiento se evidencia por falta de presupuestos o alertas que no están alineadas con políticas organizacionales.
AWS Cost Anomaly Detection Verificar que Cost Anomaly Detection está configurado para identificar automáticamente patrones de gasto inusuales. El cumplimiento indica monitors configurados por workload con alertas automáticas y thresholds apropiados. El incumplimiento se evidencia por falta de anomaly detection o configuración insuficiente de monitors.
AWS Cost Optimization Hub Verificar que Cost Optimization Hub está siendo utilizado para identificar y actuar sobre oportunidades de ahorro. El cumplimiento indica uso regular del hub con implementación de recomendaciones y tracking de savings. El incumplimiento se evidencia por falta de uso del hub o no implementación de recomendaciones de optimización.
Amazon QuickSight Verificar que QuickSight está configurado para análisis avanzado y compartición de insights de costos. El cumplimiento indica dashboards interactivos configurados con integración de CUR data y capacidades de drill-down. El incumplimiento se evidencia por falta de dashboards avanzados o análisis limitado a herramientas básicas.</t>
  </si>
  <si>
    <t xml:space="preserve"># Verificar configuración de AWS Cost Explorer
aws ce get-cost-and-usage --time-period Start=2024-01-01,End=2024-02-01 --granularity MONTHLY --metrics BlendedCost --group-by Type=DIMENSION,Key=SERVICE
aws ce get-usage-forecast --time-period Start=2024-03-01,End=2024-04-01 --metric BLENDED_COST --granularity MONTHLY
# Validar AWS Budgets configuración
aws budgets describe-budgets --account-id 123456789012
aws budgets describe-budget --account-id 123456789012 --budget-name "Monthly-Workload-Budget"
aws budgets describe-budget-actions-for-budget --account-id 123456789012 --budget-name "Monthly-Workload-Budget"
# Verificar AWS Cost Anomaly Detection
aws ce get-anomaly-detectors
aws ce describe-anomaly-monitors
aws ce describe-anomaly-subscriptions
aws ce get-anomalies --date-interval Start=2024-01-01,End=2024-02-01
# Validar AWS Cost Optimization Hub
aws cost-optimization-hub list-enrollment-statuses
aws cost-optimization-hub get-preferences
aws cost-optimization-hub list-recommendations --group-by GROUP_BY_RESOURCE_ID
# Verificar configuración de QuickSight dashboards
aws quicksight list-dashboards --aws-account-id 123456789012
aws quicksight describe-dashboard --aws-account-id 123456789012 --dashboard-id cost-analysis-dashboard
aws quicksight list-data-sets --aws-account-id 123456789012 --query 'DataSetSummaries[?contains(Name, `cost`) || contains(Name, `usage`)]'
# Validar acceso a herramientas de billing
aws iam list-attached-user-policies --user-name cost-analyst
aws iam list-attached-group-policies --group-name CostManagers
aws iam get-policy --policy-arn arn:aws:iam::aws:policy/job-function/Billing
# Verificar Cost and Usage Report para análisis avanzado
aws cur describe-report-definitions
aws s3api list-objects-v2 --bucket cost-usage-reports --prefix "detailed-billing/"
# Validar alertas y notificaciones
aws sns list-topics --query 'Topics[?contains(TopicArn, `cost`) || contains(TopicArn, `budget`) || contains(TopicArn, `anomaly`)]'
aws sns list-subscriptions --query 'Subscriptions[?contains(TopicArn, `cost-alerts`)]'
# Verificar automatización de cost management
aws lambda list-functions --query 'Functions[?contains(FunctionName, `cost-optimization`) || contains(FunctionName, `budget-enforcement`)]'
aws events list-rules --query 'Rules[?contains(Name, `cost`) || contains(Name, `budget`)]'
# Validar integración con herramientas de terceros
aws apigateway get-rest-apis --query 'items[?contains(name, `cost`) || contains(name, `billing`)]'
aws secretsmanager list-secrets --query 'SecretList[?contains(Name, `cost-tool`) || contains(Name, `billing-integration`)]'
# Verificar governance y controles de acceso
aws organizations describe-policy --policy-id p-xxxxxxxxxx
aws iam simulate-principal-policy --policy-source-arn arn:aws:iam::123456789012:user/cost-analyst --action-names ce:GetCostAndUsage ce:GetUsageForecast
# Validar métricas de adopción de herramientas
aws cloudwatch get-metric-statistics --namespace "CostManagement" --metric-name "ToolUsage" --start-time 2024-01-01T00:00:00Z --end-time 2024-02-01T00:00:00Z --period 86400 --statistics Sum
</t>
  </si>
  <si>
    <r>
      <rPr>
        <b/>
        <sz val="11"/>
        <color rgb="FF000000"/>
        <rFont val="Montserrat"/>
      </rPr>
      <t>COST03-BP06</t>
    </r>
    <r>
      <rPr>
        <sz val="11"/>
        <color rgb="FF000000"/>
        <rFont val="Montserrat"/>
      </rPr>
      <t xml:space="preserve"> Asignar costos en función de las métricas de carga de trabajo</t>
    </r>
  </si>
  <si>
    <t>Asigne los costos de la carga de trabajo según las métricas de uso o los resultados empresariales para medir la eficiencia de los costos. Implemente un proceso para analizar los datos de costos y uso con servicios de análisis que pueden proporcionar información y capacidad de recuperación.</t>
  </si>
  <si>
    <t>Amazon Athena, Amazon QuickSight.
Amazon Athena Recurso: Servicio de análisis para consultar AWS Cost and Usage Report y combinar con métricas de workload Configuración: Athena configurado con tablas que combinan datos de costos con métricas de workload para análisis de eficiencia y chargeback
Amazon QuickSight Recurso: Dashboards de eficiencia que muestran cost per business outcome y workload efficiency metrics Configuración: QuickSight configurado con dashboards interactivos que visualizan la relación entre costos de workload y business outcomes
AWS Cost Explorer Split Cost Allocation Recurso: Capacidad de dividir costos de recursos compartidos como Amazon ECS y AWS Batch Configuración: Cost Explorer configurado con split cost allocation data habilitado para recursos compartidos y containerized applications
AWS Application Cost Profiler Recurso: Herramienta para asignar costos de aplicaciones compartidas basado en uso real Configuración: Application Cost Profiler configurado para track y allocate costs de shared resources basado en consumption patterns
Amazon CloudWatch Custom Metrics Recurso: Métricas personalizadas que miden workload output y business outcomes Configuración: CloudWatch configurado con custom metrics que capturan workload performance y business outcomes para correlación con costos</t>
  </si>
  <si>
    <t>1. Analizar los datos de CUR usando servicios de análisis para medir la eficiencia basándose en resultados empresariales.
+1
Amazon Athena Verificar que Athena está configurado para analizar Cost and Usage Report combinado con métricas de workload. El cumplimiento indica queries configuradas que combinan cost data con workload metrics para calcular efficiency ratios. El incumplimiento se evidencia por análisis separado de costos y métricas sin correlación.
Amazon QuickSight Verificar que QuickSight está configurado con dashboards que muestran workload efficiency y cost per business outcome. El cumplimiento indica dashboards que visualizan la relación entre workload costs y business outcomes con drill-down capabilities. El incumplimiento se evidencia por dashboards que muestran costos sin correlación con workload performance.
AWS Cost Explorer Split Cost Allocation Verificar que split cost allocation está habilitado para recursos compartidos como ECS y Batch. El cumplimiento indica split cost allocation data configurado para containerized applications y shared resources. El incumplimiento se evidencia por costos de recursos compartidos no asignados a workloads específicos.
AWS Application Cost Profiler Verificar que Application Cost Profiler está configurado para asignar costos de aplicaciones compartidas. El cumplimiento indica cost profiler configurado con usage tracking y cost allocation basado en consumption patterns. El incumplimiento se evidencia por falta de cost allocation para shared applications.
Amazon CloudWatch Custom Metrics Verificar que CloudWatch está configurado con custom metrics que miden workload output y business outcomes. El cumplimiento indica métricas personalizadas que capturan business outcomes correlacionables con costos. El incumplimiento se evidencia por métricas únicamente técnicas sin business outcome measurement.</t>
  </si>
  <si>
    <t xml:space="preserve"># Verificar configuración de Athena para análisis de cost allocation
aws athena list-databases --catalog-name AwsDataCatalog --query 'DatabaseList[?contains(Name, `cost`) || contains(Name, `workload`)]'
aws athena list-table-metadata --catalog-name AwsDataCatalog --database-name cost_analysis
aws athena list-named-queries --query 'NamedQueries[?contains(Name, `efficiency`) || contains(Name, `allocation`)]'
# Validar QuickSight dashboards para workload efficiency
aws quicksight list-dashboards --aws-account-id 123456789012 --query 'DashboardSummaryList[?contains(Name, `Efficiency`) || contains(Name, `Workload`) || contains(Name, `Allocation`)]'
aws quicksight describe-dashboard --aws-account-id 123456789012 --dashboard-id workload-efficiency-dashboard
aws quicksight list-analyses --aws-account-id 123456789012 --query 'AnalysisSummaryList[?contains(Name, `cost-allocation`)]'
# Verificar split cost allocation en Cost Explorer
aws ce get-cost-and-usage --time-period Start=2024-01-01,End=2024-02-01 --granularity DAILY --metrics BlendedCost --group-by Type=DIMENSION,Key=SPLIT_COST_ALLOCATION_DATA
aws ce list-cost-allocation-tags --query 'CostAllocationTags[?contains(TagKey, `workload`) || contains(TagKey, `application`)]'
# Validar Application Cost Profiler configuration
aws applicationcostprofiler list-report-definitions
aws applicationcostprofiler get-report-definition --report-id workload-cost-allocation-report
# Verificar CloudWatch custom metrics para workload outcomes
aws cloudwatch list-metrics --namespace "WorkloadMetrics"
aws cloudwatch list-metrics --namespace "BusinessOutcomes"
aws cloudwatch get-metric-statistics --namespace "WorkloadMetrics" --metric-name "TransactionsProcessed" --start-time 2024-01-01T00:00:00Z --end-time 2024-02-01T00:00:00Z --period 3600 --statistics Sum
# Validar correlación entre costos y métricas de workload
aws ce get-cost-and-usage --time-period Start=2024-01-01,End=2024-02-01 --granularity HOURLY --metrics BlendedCost --group-by Type=TAG,Key=WorkloadId
aws logs describe-log-groups --query 'logGroups[?contains(logGroupName, `workload-metrics`) || contains(logGroupName, `business-outcomes`)]'
# Verificar automatización de cost allocation
aws lambda list-functions --query 'Functions[?contains(FunctionName, `cost-allocation`) || contains(FunctionName, `workload-efficiency`)]'
aws lambda get-function --function-name "workload-cost-allocator"
# Validar datos de ECS y Batch para split cost allocation
aws ecs list-clusters
aws ecs describe-clusters --clusters arn:aws:ecs:region:123456789012:cluster/production-cluster
aws batch describe-compute-environments --query 'computeEnvironments[?state==`ENABLED`]'
# Verificar storage de datos para análisis de eficiencia
aws s3api list-objects-v2 --bucket workload-efficiency-data --prefix "cost-allocation/"
aws dynamodb list-tables --query 'TableNames[?contains(@, `workload`) || contains(@, `efficiency`)]'
# Validar reportes de chargeback y showback
aws glue get-crawlers --query 'Crawlers[?contains(Name, `cost-allocation`) || contains(Name, `workload-efficiency`)]'
aws glue get-jobs --query 'Jobs[?contains(Name, `cost-allocation`) || contains(Name, `efficiency-calculation`)]'
# Verificar alertas basadas en efficiency metrics
aws cloudwatch describe-alarms --query 'MetricAlarms[?contains(AlarmName, `Efficiency`) || contains(AlarmName, `CostPer`)]'
aws sns list-subscriptions --query 'Subscriptions[?contains(TopicArn, `workload-efficiency`)]'
# Validar integración con herramientas de BI para cost allocation
aws redshift describe-clusters --query 'Clusters[?contains(ClusterIdentifier, `cost`) || contains(ClusterIdentifier, `workload`)]'
aws rds describe-db-instances --query 'DBInstances[?contains(DBName, `cost_allocation`) || contains(DBName, `workload_efficiency`)]'
</t>
  </si>
  <si>
    <t>Gastos y conciencia de uso
COST 4. ¿Cómo desmantelas los recursos?</t>
  </si>
  <si>
    <r>
      <rPr>
        <b/>
        <sz val="11"/>
        <color rgb="FF000000"/>
        <rFont val="Montserrat"/>
      </rPr>
      <t>COST04-BP01</t>
    </r>
    <r>
      <rPr>
        <sz val="11"/>
        <color rgb="FF000000"/>
        <rFont val="Montserrat"/>
      </rPr>
      <t xml:space="preserve"> Seguimiento de los recursos a lo largo de su vida útil</t>
    </r>
  </si>
  <si>
    <t>Defina e implemente un método para hacer un seguimiento de los recursos y sus asociaciones con los sistemas a lo largo de su ciclo de vida. Puede usar etiquetas para identificar la carga de trabajo o la función del recurso.</t>
  </si>
  <si>
    <t>Etiquetas (Tags), AWS Config.
AWS Resource Groups y Tag Editor Recurso: Agrupación y gestión de recursos AWS con esquemas de etiquetado consistentes Configuración: Resource Groups configurado con grupos organizados por workload, función, y ciclo de vida usando Tag Editor para etiquetado masivo
AWS Service Catalog Recurso: Gestión del ciclo de vida de productos y portfolios aprobados Configuración: Service Catalog configurado para crear, gestionar y distribuir portfolios de productos aprobados con seguimiento del ciclo de vida
Amazon CloudWatch Recurso: Monitoreo de throughput y output de workloads para identificar recursos no utilizados Configuración: CloudWatch configurado con alarmas que notifican cuando las solicitudes o outputs de workload caen a cero, indicando recursos no utilizados
AWS Trusted Advisor Recurso: Verificaciones de optimización de costos para identificar recursos no utilizados o subutilizados Configuración: Trusted Advisor configurado con Cost Optimization checks activos para identificar recursos inactivos, instancias subutilizadas, y oportunidades de ahorro
AWS Config Recurso: Seguimiento de configuración y cambios de recursos para auditoría del ciclo de vida Configuración: AWS Config configurado para rastrear cambios de configuración de recursos y mantener historial para auditoría del ciclo de vida</t>
  </si>
  <si>
    <t>1. Comprobar el uso de etiquetas para rastrear las asociaciones de los sistemas a lo largo de su ciclo de vida.
+1
AWS Resource Groups y Tag Editor Verificar que existe un esquema de etiquetado implementado que identifica el workload al que pertenece cada recurso. El cumplimiento indica todos los recursos etiquetados con información de workload, función, equipo, y ambiente usando Tag Editor para gestión masiva. El incumplimiento se evidencia por recursos sin etiquetar o esquemas de etiquetado inconsistentes.
AWS Service Catalog Verificar que Service Catalog está configurado para gestionar el ciclo de vida de productos y portfolios. El cumplimiento indica portfolios configurados con productos aprobados y seguimiento del ciclo de vida. El incumplimiento se evidencia por falta de Service Catalog o gestión manual del ciclo de vida de productos.
Amazon CloudWatch Verificar que CloudWatch está configurado con monitoreo de throughput y alarmas para identificar recursos no utilizados. El cumplimiento indica alarmas configuradas que notifican cuando workload requests o outputs caen a cero. El incumplimiento se evidencia por falta de monitoreo de throughput o alarmas para identificar recursos inactivos.
AWS Trusted Advisor Verificar que Trusted Advisor Cost Optimization checks están activos para identificar recursos no utilizados. El cumplimiento indica checks activos que identifican recursos inactivos, instancias subutilizadas, y oportunidades de optimización. El incumplimiento se evidencia por checks inactivos o no revisión regular de recomendaciones.
AWS Config Verificar que AWS Config está configurado para rastrear cambios de configuración y mantener historial de recursos. El cumplimiento indica Config rules activas que rastrean lifecycle changes y configuration drift. El incumplimiento se evidencia por falta de Config o tracking insuficiente de cambios de recursos.</t>
  </si>
  <si>
    <t xml:space="preserve"># Verificar esquema de etiquetado y Resource Groups
aws resourcegroupstaggingapi get-tag-keys
aws resourcegroupstaggingapi get-resources --tag-filters Key=Workload,Values=* Key=Environment,Values=* Key=LifeSpan,Values=*
aws resource-groups list-groups
aws resource-groups get-group --group-name WorkloadLifecycleTracking
# Validar etiquetado de recursos específicos
aws ec2 describe-instances --query 'Reservations[].Instances[?Tags==null]'
aws rds describe-db-instances --query 'DBInstances[?TagList==null || length(TagList)==`0`]'
aws s3api get-bucket-tagging --bucket example-bucket
aws lambda list-functions --query 'Functions[?Tags==null]'
# Verificar Service Catalog para gestión de ciclo de vida
aws servicecatalog list-portfolios
aws servicecatalog describe-portfolio --id port-xxxxxxxxxx
aws servicecatalog list-provisioned-products
aws servicecatalog describe-provisioned-product --id pp-xxxxxxxxxx
# Validar CloudWatch para monitoreo de throughput
aws cloudwatch list-metrics --namespace "AWS/ApplicationELB" --metric-name RequestCount
aws cloudwatch list-metrics --namespace "AWS/Lambda" --metric-name Invocations
aws cloudwatch describe-alarms --query 'MetricAlarms[?contains(AlarmName, `ZeroTraffic`) || contains(AlarmName, `NoRequests`)]'
# Verificar alarmas para recursos no utilizados
aws cloudwatch describe-alarms --state-value ALARM --query 'MetricAlarms[?contains(AlarmDescription, `unused`) || contains(AlarmDescription, `idle`)]'
aws cloudwatch get-metric-statistics --namespace "AWS/EC2" --metric-name CPUUtilization --start-time 2024-01-01T00:00:00Z --end-time 2024-02-01T00:00:00Z --period 86400 --statistics Average
# Validar AWS Trusted Advisor Cost Optimization checks
aws support describe-trusted-advisor-checks --language en --query 'checks[?category==`cost_optimizing`]'
aws support describe-trusted-advisor-check-result --check-id Qch7DwouX1 --language en
# Verificar AWS Config para tracking de recursos
aws configservice describe-configuration-recorders
aws configservice describe-config-rules --query 'ConfigRules[?contains(ConfigRuleName, `lifecycle`) || contains(ConfigRuleName, `unused`)]'
aws configservice get-resource-config-history --resource-type AWS::EC2::Instance --resource-id i-1234567890abcdef0
# Validar automatización para identificación de recursos no utilizados
aws lambda list-functions --query 'Functions[?contains(FunctionName, `resource-cleanup`) || contains(FunctionName, `lifecycle-management`)]'
aws events list-rules --query 'Rules[?contains(Name, `resource-cleanup`) || contains(Name, `lifecycle`)]'
# Verificar reportes de recursos por ciclo de vida
aws ce get-cost-and-usage --time-period Start=2024-01-01,End=2024-02-01 --granularity MONTHLY --metrics BlendedCost --group-by Type=TAG,Key=LifeSpan
aws ce get-cost-and-usage --time-period Start=2024-01-01,End=2024-02-01 --granularity MONTHLY --metrics BlendedCost --group-by Type=TAG,Key=Environment
# Validar recursos con etiquetas de tiempo de vida
aws resourcegroupstaggingapi get-resources --tag-filters Key=TTL,Values=* Key=ExpirationDate,Values=*
aws resourcegroupstaggingapi get-resources --tag-filters Key=CreatedDate,Values=*
# Verificar recursos potencialmente no utilizados
aws ec2 describe-instances --query 'Reservations[].Instances[?State.Name==`stopped`]'
aws rds describe-db-instances --query 'DBInstances[?DBInstanceStatus==`stopped`]'
aws elasticloadbalancing describe-load-balancers --query 'LoadBalancers[?Instances==null || length(Instances)==`0`]'
# Validar procesos de limpieza automatizada
aws ssm describe-maintenance-windows --query 'WindowIdentities[?contains(Name, `cleanup`) || contains(Name, `decommission`)]'
aws batch describe-job-queues --query 'jobQueues[?contains(jobQueueName, `cleanup`) || contains(jobQueueName, `lifecycle`)]'
</t>
  </si>
  <si>
    <r>
      <rPr>
        <b/>
        <sz val="11"/>
        <color rgb="FF000000"/>
        <rFont val="Montserrat"/>
      </rPr>
      <t>COST04-BP02</t>
    </r>
    <r>
      <rPr>
        <sz val="11"/>
        <color rgb="FF000000"/>
        <rFont val="Montserrat"/>
      </rPr>
      <t xml:space="preserve"> Implementar un proceso de desmantelamiento</t>
    </r>
  </si>
  <si>
    <t>Implemente un proceso para identificar y retirar los recursos sin usar.</t>
  </si>
  <si>
    <t>Documentación de procesos ITIL/ITSM.
AWS CloudTrail Recurso: Auditoría y seguimiento de actividades para identificar recursos no utilizados Configuración: CloudTrail configurado para registrar todas las actividades de API y proporcionar visibilidad sobre el uso de recursos para identificar candidatos a desmantelamiento
AWS Systems Manager Automation Recurso: Automatización de procesos de desmantelamiento estandarizados Configuración: Systems Manager configurado con runbooks de automatización para procesos de desmantelamiento que incluyen verificación, backup, y eliminación de recursos
AWS Config Rules Recurso: Reglas de compliance para identificar recursos que cumplen criterios de desmantelamiento Configuración: Config Rules configurado para identificar automáticamente recursos no utilizados, sin etiquetas apropiadas, o que exceden tiempo de vida definido
AWS Lambda Recurso: Funciones para automatizar identificación y coordinación de procesos de desmantelamiento Configuración: Lambda configurado con funciones que identifican recursos candidatos, notifican a propietarios de workloads, y coordinan procesos de desmantelamiento
Amazon SNS Recurso: Sistema de notificaciones para comunicación durante procesos de desmantelamiento Configuración: SNS configurado con topics para notificar a propietarios de workloads sobre recursos candidatos a desmantelamiento y obtener aprobaciones</t>
  </si>
  <si>
    <t>1. Solicitar el proceso documentado que enseña cómo identificar y retirar recursos sin usar.
+1
AWS CloudTrail Verificar que CloudTrail está configurado para proporcionar auditoría completa de actividades de recursos. El cumplimiento indica CloudTrail activo con logging completo que permite identificar recursos no utilizados basado en patrones de actividad. El incumplimiento se evidencia por CloudTrail inactivo o logging insuficiente para análisis de uso.
AWS Systems Manager Automation Verificar que Systems Manager está configurado con runbooks estandarizados para procesos de desmantelamiento. El cumplimiento indica automation documents configurados que incluyen pasos de verificación, backup, y eliminación segura de recursos. El incumplimiento se evidencia por procesos manuales o falta de automatización estandarizada.
AWS Config Rules Verificar que Config Rules están configuradas para identificar automáticamente recursos candidatos a desmantelamiento. El cumplimiento indica rules activas que identifican recursos no utilizados, mal etiquetados, o que exceden políticas de tiempo de vida. El incumplimiento se evidencia por falta de Config Rules o identificación manual de recursos.
AWS Lambda Verificar que Lambda está configurado con funciones para automatizar identificación y coordinación de desmantelamiento. El cumplimiento indica funciones que identifican candidatos, validan uso, y coordinan con propietarios de workloads. El incumplimiento se evidencia por procesos completamente manuales o falta de automatización.
Amazon SNS Verificar que SNS está configurado para notificaciones durante procesos de desmantelamiento. El cumplimiento indica topics configurados para comunicación con propietarios de workloads y stakeholders durante el proceso. El incumplimiento se evidencia por falta de notificaciones automatizadas o comunicación manual únicamente.</t>
  </si>
  <si>
    <t xml:space="preserve"># Verificar configuración de CloudTrail para auditoría
aws cloudtrail describe-trails
aws cloudtrail get-trail-status --name arn:aws:cloudtrail:region:123456789012:trail/management-events
aws cloudtrail lookup-events --lookup-attributes AttributeKey=ResourceName,AttributeValue=i-1234567890abcdef0 --start-time 2024-01-01T00:00:00Z --end-time 2024-02-01T00:00:00Z
# Validar Systems Manager Automation para desmantelamiento
aws ssm describe-automation-executions --filters Key=DocumentName,Values=DecommissionResource
aws ssm describe-document --name "DecommissionEC2Instance"
aws ssm list-documents --filters Key=DocumentType,Values=Automation Key=Name,Values=*decommission*
# Verificar Config Rules para identificación de recursos
aws configservice describe-config-rules --query 'ConfigRules[?contains(ConfigRuleName, `unused`) || contains(ConfigRuleName, `decommission`)]'
aws configservice get-compliance-details-by-config-rule --config-rule-name "unused-resources-identification"
aws configservice describe-compliance-by-config-rule --config-rule-names "resource-lifecycle-compliance"
# Validar funciones Lambda para automatización de procesos
aws lambda list-functions --query 'Functions[?contains(FunctionName, `decommission`) || contains(FunctionName, `resource-cleanup`)]'
aws lambda get-function --function-name "resource-decommission-coordinator"
aws lambda list-event-source-mappings --function-name "unused-resource-detector"
# Verificar SNS para notificaciones de desmantelamiento
aws sns list-topics --query 'Topics[?contains(TopicArn, `decommission`) || contains(TopicArn, `resource-cleanup`)]'
aws sns list-subscriptions-by-topic --topic-arn arn:aws:sns:region:123456789012:resource-decommission-notifications
aws sns get-topic-attributes --topic-arn arn:aws:sns:region:123456789012:decommission-approvals
# Validar procesos automatizados de identificación
aws events list-rules --query 'Rules[?contains(Name, `decommission`) || contains(Name, `resource-cleanup`)]'
aws events describe-rule --name "daily-unused-resource-scan"
aws events list-targets-by-rule --rule "weekly-decommission-process"
# Verificar documentación y procedimientos
aws ssm get-parameter --name "/decommission-process/standard-procedure"
aws ssm describe-parameters --query 'Parameters[?contains(Name, `decommission`) || contains(Name, `cleanup`)]'
# Validar métricas y monitoreo del proceso
aws cloudwatch list-metrics --namespace "DecommissionProcess"
aws cloudwatch get-metric-statistics --namespace "DecommissionProcess" --metric-name "ResourcesIdentified" --start-time 2024-01-01T00:00:00Z --end-time 2024-02-01T00:00:00Z --period 86400 --statistics Sum
# Verificar logs de procesos de desmantelamiento
aws logs describe-log-groups --query 'logGroups[?contains(logGroupName, `decommission`) || contains(logGroupName, `resource-cleanup`)]'
aws logs filter-log-events --log-group-name "/aws/lambda/resource-decommission-coordinator" --start-time 1704067200000
# Validar aprobaciones y workflow
aws stepfunctions list-state-machines --query 'stateMachines[?contains(name, `decommission`) || contains(name, `resource-cleanup`)]'
aws stepfunctions describe-state-machine --state-machine-arn arn:aws:states:region:123456789012:stateMachine:ResourceDecommissionWorkflow
# Verificar backups antes de desmantelamiento
aws backup list-backup-plans --query 'BackupPlansList[?contains(BackupPlanName, `decommission`) || contains(BackupPlanName, `pre-cleanup`)]'
aws backup describe-backup-plan --backup-plan-id backup-plan-id-example
# Validar compliance y auditoría del proceso
aws iam list-policies --query 'Policies[?contains(PolicyName, `Decommission`) || contains(PolicyName, `ResourceCleanup`)]'
aws iam get-policy --policy-arn arn:aws:iam::123456789012:policy/DecommissionProcessPolicy
# Verificar integración con herramientas de gestión
aws servicecatalog list-portfolios --query 'PortfolioDetails[?contains(DisplayName, `Decommission`) || contains(DisplayName, `Cleanup`)]'
aws organizations list-policies --filter SERVICE_CONTROL_POLICY --query 'Policies[?contains(Name, `decommission`) || contains(Name, `resource-cleanup`)]'
</t>
  </si>
  <si>
    <r>
      <rPr>
        <b/>
        <sz val="11"/>
        <color rgb="FF000000"/>
        <rFont val="Montserrat"/>
      </rPr>
      <t>COST04-BP03</t>
    </r>
    <r>
      <rPr>
        <sz val="11"/>
        <color rgb="FF000000"/>
        <rFont val="Montserrat"/>
      </rPr>
      <t xml:space="preserve"> Recursos de desmantelamiento</t>
    </r>
  </si>
  <si>
    <t>Retire los recursos que algunos eventos inician, como las auditorías periódicas o los cambios en el uso. La retirada se suele llevar a cabo periódicamente y es manual o automática.</t>
  </si>
  <si>
    <t>AWS Trusted Advisor.
AWS Backup Recurso: Servicio de backup para crear snapshots y backups antes del desmantelamiento Configuración: AWS Backup configurado con planes de backup automáticos para crear copias de seguridad de recursos antes de su eliminación, incluyendo EBS snapshots, RDS snapshots, y backups de datos críticos
Amazon EBS Snapshots Recurso: Snapshots de volúmenes EBS antes de terminación de instancias Configuración: EBS configurado con políticas de snapshot automáticas y lifecycle management para crear backups antes del desmantelamiento de instancias EC2
AWS CloudFormation Recurso: Gestión de infraestructura como código para desmantelamiento controlado Configuración: CloudFormation configurado con stacks que permiten eliminación controlada de recursos con DeletionPolicy y retain options para recursos críticos
AWS Systems Manager Maintenance Windows Recurso: Ventanas de mantenimiento programadas para ejecutar desmantelamiento Configuración: Systems Manager configurado con maintenance windows para ejecutar tareas de desmantelamiento durante períodos de bajo impacto
Amazon S3 Lifecycle Policies Recurso: Políticas de ciclo de vida para transición y eliminación automática de objetos Configuración: S3 configurado con lifecycle policies que mueven objetos a storage classes más económicas antes de eliminación final</t>
  </si>
  <si>
    <t>1. Verificar si las alertas de Trusted Advisor (recursos inactivos) desencadenan retiros manuales o automáticos.
+1
AWS Backup Verificar que AWS Backup está configurado para crear backups automáticos antes del desmantelamiento de recursos. El cumplimiento indica backup plans configurados que crean snapshots y backups de recursos críticos antes de eliminación. El incumplimiento se evidencia por falta de backups o procesos manuales de backup antes del desmantelamiento.
Amazon EBS Snapshots Verificar que EBS está configurado con políticas automáticas de snapshot antes de terminación. El cumplimiento indica Data Lifecycle Manager configurado para crear snapshots automáticos antes de eliminación de volúmenes. El incumplimiento se evidencia por falta de snapshots automáticos o creación manual únicamente.
AWS CloudFormation Verificar que CloudFormation está configurado para desmantelamiento controlado con políticas de retención apropiadas. El cumplimiento indica stacks con DeletionPolicy configuradas y capacidad de eliminación controlada de recursos. El incumplimiento se evidencia por eliminación manual de recursos o falta de control sobre el proceso de desmantelamiento.
AWS Systems Manager Maintenance Windows Verificar que Systems Manager está configurado con ventanas de mantenimiento para desmantelamiento programado. El cumplimiento indica maintenance windows configuradas para ejecutar tareas de desmantelamiento durante períodos apropiados. El incumplimiento se evidencia por desmantelamiento ad-hoc o falta de programación controlada.
Amazon S3 Lifecycle Policies Verificar que S3 está configurado con lifecycle policies para gestión automática del ciclo de vida de objetos. El cumplimiento indica policies configuradas que transicionan y eliminan objetos según políticas organizacionales. El incumplimiento se evidencia por gestión manual del ciclo de vida de objetos o falta de políticas automáticas.</t>
  </si>
  <si>
    <t xml:space="preserve"># Verificar configuración de AWS Backup
aws backup list-backup-plans
aws backup describe-backup-plan --backup-plan-id backup-plan-id-example
aws backup list-backup-jobs --by-state COMPLETED --query 'BackupJobs[?contains(BackupJobId, `decommission`) || contains(ResourceArn, `pre-deletion`)]'
# Validar EBS Snapshots y Data Lifecycle Manager
aws ec2 describe-snapshots --owner-ids self --query 'Snapshots[?contains(Description, `pre-decommission`) || contains(Description, `backup-before-deletion`)]'
aws dlm get-lifecycle-policies
aws dlm get-lifecycle-policy --policy-id policy-0123456789abcdef0
# Verificar CloudFormation para desmantelamiento controlado
aws cloudformation list-stacks --stack-status-filter DELETE_IN_PROGRESS DELETE_COMPLETE
aws cloudformation describe-stacks --stack-name decommission-stack-example
aws cloudformation get-template --stack-name production-workload --query 'TemplateBody.Resources.*.DeletionPolicy'
# Validar Systems Manager Maintenance Windows
aws ssm describe-maintenance-windows --query 'WindowIdentities[?contains(Name, `decommission`) || contains(Name, `cleanup`)]'
aws ssm describe-maintenance-window-tasks --window-id mw-0123456789abcdef0
aws ssm describe-maintenance-window-executions --window-id mw-0123456789abcdef0
# Verificar S3 Lifecycle Policies
aws s3api list-buckets --query 'Buckets[].Name' | xargs -I {} aws s3api get-bucket-lifecycle-configuration --bucket {}
aws s3api get-bucket-lifecycle-configuration --bucket example-bucket
aws s3 ls s3://example-bucket --recursive --query 'Contents[?LastModified&lt;`2024-01-01`]'
# Validar recursos marcados para desmantelamiento
aws resourcegroupstaggingapi get-resources --tag-filters Key=ScheduledForDecommission,Values=* Key=DecommissionDate,Values=*
aws resourcegroupstaggingapi get-resources --tag-filters Key=Status,Values=ToBeDeleted,Deprecated
# Verificar procesos de desmantelamiento en ejecución
aws lambda list-functions --query 'Functions[?contains(FunctionName, `decommission`) || contains(FunctionName, `resource-deletion`)]'
aws lambda get-function --function-name "resource-decommission-executor"
# Validar logs de desmantelamiento
aws logs describe-log-groups --query 'logGroups[?contains(logGroupName, `decommission`) || contains(logGroupName, `resource-deletion`)]'
aws logs filter-log-events --log-group-name "/aws/lambda/resource-decommission" --start-time 1704067200000
# Verificar métricas de desmantelamiento
aws cloudwatch list-metrics --namespace "ResourceDecommission"
aws cloudwatch get-metric-statistics --namespace "ResourceDecommission" --metric-name "ResourcesDecommissioned" --start-time 2024-01-01T00:00:00Z --end-time 2024-02-01T00:00:00Z --period 86400 --statistics Sum
# Validar recursos eliminados recientemente
aws ec2 describe-instances --query 'Reservations[].Instances[?State.Name==`terminated`]'
aws rds describe-db-instances --query 'DBInstances[?DBInstanceStatus==`deleting`]'
aws elasticloadbalancing describe-load-balancers --query 'LoadBalancers[?State.Code==`provisioning` || Scheme==`internal`]'
# Verificar compliance con políticas de desmantelamiento
aws config describe-compliance-by-config-rule --config-rule-name "decommission-process-compliance"
aws config get-compliance-details-by-config-rule --config-rule-name "backup-before-deletion"
# Validar notificaciones de desmantelamiento
aws sns list-subscriptions --query 'Subscriptions[?contains(TopicArn, `decommission`) || contains(TopicArn, `resource-deletion`)]'
aws ses list-identities --query 'Identities[?contains(@, `decommission`) || contains(@, `cleanup`)]'
# Verificar auditoría de desmantelamiento
aws cloudtrail lookup-events --lookup-attributes AttributeKey=EventName,AttributeValue=TerminateInstances --start-time 2024-01-01T00:00:00Z --end-time 2024-02-01T00:00:00Z
aws cloudtrail lookup-events --lookup-attributes AttributeKey=EventName,AttributeValue=DeleteStack --start-time 2024-01-01T00:00:00Z --end-time 2024-02-01T00:00:00Z
</t>
  </si>
  <si>
    <r>
      <rPr>
        <b/>
        <sz val="11"/>
        <color rgb="FF000000"/>
        <rFont val="Montserrat"/>
      </rPr>
      <t>COST04-BP04</t>
    </r>
    <r>
      <rPr>
        <sz val="11"/>
        <color rgb="FF000000"/>
        <rFont val="Montserrat"/>
      </rPr>
      <t xml:space="preserve"> Retirar recursos automáticamente</t>
    </r>
  </si>
  <si>
    <t>Diseñe su carga de trabajo para que gestione de manera sencilla la finalización de recursos a medida que identifica y retira recursos que no son críticos, recursos innecesarios o recursos con poco uso.</t>
  </si>
  <si>
    <t>AWS Auto Scaling, AWS Lambda (Scripts de limpieza).
Amazon EC2 Auto Scaling Recurso: Escalado automático para eliminar capacidad excesiva cuando la demanda disminuye Configuración: EC2 Auto Scaling configurado con políticas de scaling que automáticamente terminan instancias cuando la demanda baja, optimizando utilización y eficiencia de costos
Application Auto Scaling Recurso: Escalado automático para servicios como ECS, DynamoDB, Lambda, y otros servicios AWS Configuración: Application Auto Scaling configurado para servicios soportados que automáticamente ajustan capacidad basado en métricas de utilización
Amazon CloudWatch Alarms Recurso: Alarmas que automáticamente terminan instancias basadas en métricas de desmantelamiento Configuración: CloudWatch configurado con alarmas que ejecutan acciones de terminación de EC2 cuando métricas indican recursos no utilizados
AWS Lambda Recurso: Funciones serverless para implementar lógica de desmantelamiento automático Configuración: Lambda configurado con funciones que integran AWS SDK/CLI para terminar o eliminar recursos automáticamente cuando no están en uso
Servicios Serverless (Lambda, Fargate, etc.) Recurso: Arquitecturas serverless que proporcionan optimización automática de recursos y desmantelamiento Configuración: Servicios serverless configurados que inherentemente proporcionan utilización optimizada de recursos y scale-in/scale-out automático</t>
  </si>
  <si>
    <t>1. Evaluar si la carga de trabajo tiene mecanismos para apagar recursos con poco uso de manera automática.
+1
Amazon EC2 Auto Scaling Verificar que EC2 Auto Scaling está configurado para eliminar automáticamente capacidad excesiva cuando la demanda disminuye. El cumplimiento indica Auto Scaling Groups configurados con políticas que terminan instancias automáticamente durante períodos de baja demanda. El incumplimiento se evidencia por capacidad fija o scaling manual únicamente.
Application Auto Scaling Verificar que Application Auto Scaling está configurado para servicios soportados que requieren ajuste automático de capacidad. El cumplimiento indica políticas de scaling configuradas para DynamoDB, ECS, Lambda, y otros servicios que ajustan capacidad automáticamente. El incumplimiento se evidencia por capacidad fija en servicios que soportan auto scaling.
Amazon CloudWatch Alarms Verificar que CloudWatch está configurado con alarmas que automáticamente terminan recursos basados en métricas de utilización. El cumplimiento indica alarmas configuradas con acciones de terminación de EC2 cuando métricas indican recursos no utilizados. El incumplimiento se evidencia por monitoreo sin acciones automáticas de terminación.
AWS Lambda Verificar que Lambda está configurado con funciones que implementan lógica de desmantelamiento automático. El cumplimiento indica funciones que integran AWS SDK/CLI para terminar recursos automáticamente basado en criterios definidos. El incumplimiento se evidencia por procesos manuales o falta de automatización de desmantelamiento.
Servicios Serverless Verificar que la arquitectura utiliza servicios serverless que proporcionan optimización automática de recursos. El cumplimiento indica uso de Lambda, Fargate, y otros servicios serverless que automáticamente optimizan utilización de recursos. El incumplimiento se evidencia por arquitecturas tradicionales sin capacidades de scaling automático.</t>
  </si>
  <si>
    <t xml:space="preserve"># Verificar configuración de EC2 Auto Scaling
aws autoscaling describe-auto-scaling-groups
aws autoscaling describe-policies --auto-scaling-group-name production-asg
aws autoscaling describe-scaling-activities --auto-scaling-group-name production-asg --max-items 10
# Validar Application Auto Scaling
aws application-autoscaling describe-scalable-targets
aws application-autoscaling describe-scaling-policies --service-namespace ecs
aws application-autoscaling describe-scaling-activities --service-namespace dynamodb --max-items 10
# Verificar CloudWatch Alarms para terminación automática
aws cloudwatch describe-alarms --query 'MetricAlarms[?contains(AlarmActions[0], `terminate`) || contains(AlarmActions[0], `autoscaling`)]'
aws cloudwatch describe-alarms --alarm-names "HighCPUUtilization-TerminateInstance"
aws cloudwatch get-metric-statistics --namespace "AWS/EC2" --metric-name CPUUtilization --start-time 2024-01-01T00:00:00Z --end-time 2024-02-01T00:00:00Z --period 3600 --statistics Average
# Validar funciones Lambda para desmantelamiento automático
aws lambda list-functions --query 'Functions[?contains(FunctionName, `auto-decommission`) || contains(FunctionName, `resource-terminator`)]'
aws lambda get-function --function-name "auto-resource-terminator"
aws lambda list-event-source-mappings --function-name "scheduled-resource-cleanup"
# Verificar servicios serverless y su configuración
aws lambda list-functions --query 'Functions[].{Name:FunctionName,Runtime:Runtime,Timeout:Timeout}'
aws ecs list-services --cluster production-cluster --query 'serviceArns[?contains(@, `fargate`)]'
aws ecs describe-services --cluster production-cluster --services service-name
# Validar eventos programados para desmantelamiento automático
aws events list-rules --query 'Rules[?contains(Name, `auto-scale`) || contains(Name, `resource-cleanup`)]'
aws events describe-rule --name "nightly-resource-cleanup"
aws events list-targets-by-rule --rule "auto-decommission-schedule"
# Verificar Step Functions para workflows de desmantelamiento
aws stepfunctions list-state-machines --query 'stateMachines[?contains(name, `auto-decommission`) || contains(name, `resource-cleanup`)]'
aws stepfunctions describe-state-machine --state-machine-arn arn:aws:states:region:123456789012:stateMachine:AutoResourceCleanup
# Validar métricas de desmantelamiento automático
aws cloudwatch list-metrics --namespace "AutoScaling"
aws cloudwatch list-metrics --namespace "AWS/ApplicationELB" --metric-name TargetResponseTime
aws cloudwatch get-metric-statistics --namespace "AutoScaling" --metric-name GroupTotalInstances --start-time 2024-01-01T00:00:00Z --end-time 2024-02-01T00:00:00Z --period 3600 --statistics Average
# Verificar configuración de DynamoDB Auto Scaling
aws dynamodb describe-table --table-name production-table --query 'Table.BillingModeSummary'
aws application-autoscaling describe-scalable-targets --service-namespace dynamodb --resource-ids table/production-table
# Validar ECS Auto Scaling
aws ecs describe-services --cluster production-cluster --services web-service --query 'services[].deploymentConfiguration'
aws application-autoscaling describe-scalable-targets --service-namespace ecs --resource-ids service/production-cluster/web-service
# Verificar logs de actividades de auto scaling
aws logs describe-log-groups --query 'logGroups[?contains(logGroupName, `autoscaling`) || contains(logGroupName, `auto-decommission`)]'
aws logs filter-log-events --log-group-name "/aws/lambda/auto-resource-terminator" --start-time 1704067200000
# Validar políticas de terminación y protección
aws ec2 describe-instances --query 'Reservations[].Instances[?DisableApiTermination==`false`]'
aws autoscaling describe-auto-scaling-groups --query 'AutoScalingGroups[].{Name:AutoScalingGroupName,TerminationPolicies:TerminationPolicies}'
# Verificar configuración de Spot Instances para cost optimization
aws ec2 describe-spot-fleet-requests
aws ec2 describe-spot-instance-requests --query 'SpotInstanceRequests[?State==`active`]'
</t>
  </si>
  <si>
    <r>
      <rPr>
        <b/>
        <sz val="11"/>
        <color rgb="FF000000"/>
        <rFont val="Montserrat"/>
      </rPr>
      <t>COST04-BP05</t>
    </r>
    <r>
      <rPr>
        <sz val="11"/>
        <color rgb="FF000000"/>
        <rFont val="Montserrat"/>
      </rPr>
      <t xml:space="preserve"> Aplicación de políticas de retención de datos</t>
    </r>
  </si>
  <si>
    <t>Defina políticas de retención de datos en los recursos admitidos para gestionar la eliminación de objetos según los requisitos de su organización. Identifique y elimine los recursos y objetos innecesarios o huérfanos que ya no sean necesarios.</t>
  </si>
  <si>
    <t>Amazon S3 Lifecycle, Políticas de Snapshots en EBS.
Amazon Data Lifecycle Manager (DLM) Recurso: Automatización de creación y eliminación de EBS snapshots y AMIs basado en políticas de retención Configuración: DLM configurado con políticas de lifecycle que automatizan la creación, retención, y eliminación de EBS snapshots y EBS-backed AMIs según períodos de retención definidos
Amazon S3 Lifecycle Configuration Recurso: Políticas de ciclo de vida para transición automática y eliminación de objetos S3 Configuración: S3 configurado con lifecycle rules que automatizan la transición entre storage classes y eliminación de objetos al final de su ciclo de vida según políticas de retención
Amazon S3 Intelligent-Tiering Recurso: Optimización automática de costos de storage moviendo objetos entre access tiers Configuración: S3 Intelligent-Tiering configurado para mover automáticamente objetos entre tiers basado en patrones de acceso para optimizar costos de storage
AWS Backup Recurso: Gestión centralizada de políticas de backup y retención para múltiples servicios AWS Configuración: AWS Backup configurado con planes de backup que incluyen políticas de retención automática y eliminación de backups según requisitos de compliance
Amazon CloudWatch Logs Recurso: Retención automática de logs con políticas de eliminación configurables Configuración: CloudWatch Logs configurado con retention policies que automáticamente eliminan log data después de períodos de retención especificados</t>
  </si>
  <si>
    <t>1. Revisar las políticas de retención en S3 para confirmar que los objetos se eliminan según los requisitos de la organización.
+1
Amazon Data Lifecycle Manager (DLM) Verificar que DLM está configurado con políticas que automatizan la gestión del ciclo de vida de EBS snapshots y AMIs. El cumplimiento indica políticas DLM configuradas que crean, retienen, y eliminan snapshots/AMIs automáticamente según períodos de retención definidos. El incumplimiento se evidencia por gestión manual de snapshots o falta de políticas de retención automática.
Amazon S3 Lifecycle Configuration Verificar que S3 buckets están configurados con lifecycle rules que automatizan transiciones y eliminaciones. El cumplimiento indica lifecycle configurations que mueven objetos entre storage classes y eliminan objetos automáticamente según políticas de retención. El incumplimiento se evidencia por gestión manual del ciclo de vida de objetos o falta de lifecycle rules.
Amazon S3 Intelligent-Tiering Verificar que S3 Intelligent-Tiering está configurado para optimización automática de costos de storage. El cumplimiento indica buckets configurados con Intelligent-Tiering que mueven objetos automáticamente entre access tiers. El incumplimiento se evidencia por storage classes fijas o gestión manual de tiering.
AWS Backup Verificar que AWS Backup está configurado con políticas de retención centralizadas para múltiples servicios. El cumplimiento indica backup plans con políticas de retención automática que eliminan backups según períodos definidos. El incumplimiento se evidencia por gestión manual de backups o falta de políticas de retención centralizadas.
Amazon CloudWatch Logs Verificar que CloudWatch Logs está configurado con retention policies para eliminación automática de logs. El cumplimiento indica log groups con retention periods configurados que eliminan automáticamente log data antigua. El incumplimiento se evidencia por retención indefinida de logs o gestión manual de log retention.</t>
  </si>
  <si>
    <t xml:space="preserve"># Verificar Amazon Data Lifecycle Manager políticas
aws dlm get-lifecycle-policies
aws dlm get-lifecycle-policy --policy-id policy-0123456789abcdef0
aws ec2 describe-snapshots --owner-ids self --query 'Snapshots[?contains(Description, `DLM`) || contains(Description, `automated`)]'
# Validar S3 Lifecycle Configuration
aws s3api list-buckets --query 'Buckets[].Name' | xargs -I {} aws s3api get-bucket-lifecycle-configuration --bucket {} 2&gt;/dev/null
aws s3api get-bucket-lifecycle-configuration --bucket production-data-bucket
aws s3api get-bucket-intelligent-tiering-configuration --bucket production-data-bucket --id intelligent-tiering-config
# Verificar S3 Intelligent-Tiering
aws s3api list-bucket-intelligent-tiering-configurations --bucket production-data-bucket
aws s3api get-bucket-intelligent-tiering-configuration --bucket production-data-bucket --id default-config
# Validar AWS Backup políticas de retención
aws backup list-backup-plans
aws backup describe-backup-plan --backup-plan-id backup-plan-id-example
aws backup list-backup-jobs --by-state COMPLETED --query 'BackupJobs[?DeletionDate!=null]'
# Verificar CloudWatch Logs retention policies
aws logs describe-log-groups --query 'logGroups[?retentionInDays!=null]'
aws logs describe-log-groups --log-group-name-prefix "/aws/lambda/" --query 'logGroups[].{Name:logGroupName,Retention:retentionInDays}'
aws logs put-retention-policy --log-group-name "/aws/lambda/example-function" --retention-in-days 30
# Validar EBS snapshots con políticas de retención
aws ec2 describe-snapshots --owner-ids self --query 'Snapshots[?Tags[?Key==`RetentionPolicy`]]'
aws ec2 describe-snapshots --owner-ids self --query 'Snapshots[?StartTime&lt;=`2024-01-01`]'
# Verificar AMIs con políticas de lifecycle
aws ec2 describe-images --owners self --query 'Images[?Tags[?Key==`RetentionPolicy`]]'
aws ec2 describe-images --owners self --query 'Images[?CreationDate&lt;=`2024-01-01`]'
# Validar RDS automated backups retention
aws rds describe-db-instances --query 'DBInstances[].{DBName:DBName,BackupRetention:BackupRetentionPeriod}'
aws rds describe-db-snapshots --snapshot-type automated --query 'DBSnapshots[?SnapshotCreateTime&lt;=`2024-01-01`]'
# Verificar políticas de retención de datos en DynamoDB
aws dynamodb list-tables --query 'TableNames' | xargs -I {} aws dynamodb describe-table --table-name {} --query 'Table.{Name:TableName,TTL:TimeToLiveDescription}'
aws dynamodb describe-time-to-live --table-name production-table
# Validar Glacier y Deep Archive lifecycle policies
aws s3api get-bucket-lifecycle-configuration --bucket archive-bucket --query 'Rules[?Transitions[?StorageClass==`GLACIER` || StorageClass==`DEEP_ARCHIVE`]]'
# Verificar compliance con políticas de retención
aws config describe-config-rules --query 'ConfigRules[?contains(ConfigRuleName, `retention`) || contains(ConfigRuleName, `lifecycle`)]'
aws config get-compliance-details-by-config-rule --config-rule-name "s3-lifecycle-policy-check"
# Validar automatización de políticas de retención
aws lambda list-functions --query 'Functions[?contains(FunctionName, `retention`) || contains(FunctionName, `lifecycle`) || contains(FunctionName, `cleanup`)]'
aws events list-rules --query 'Rules[?contains(Name, `retention`) || contains(Name, `lifecycle`)]'
# Verificar métricas de storage y retención
aws cloudwatch list-metrics --namespace "AWS/S3" --metric-name BucketSizeBytes
aws cloudwatch get-metric-statistics --namespace "AWS/S3" --metric-name NumberOfObjects --start-time 2024-01-01T00:00:00Z --end-time 2024-02-01T00:00:00Z --period 86400 --statistics Average
# Validar costos de storage por lifecycle policies
aws ce get-cost-and-usage --time-period Start=2024-01-01,End=2024-02-01 --granularity MONTHLY --metrics BlendedCost --group-by Type=DIMENSION,Key=USAGE_TYPE --filter '{"Dimensions":{"Key":"SERVICE","Values":["Amazon Simple Storage Service"]}}'
</t>
  </si>
  <si>
    <t>Recursos rentables
COST 5. ¿Cómo evalúa el costo cuando selecciona servicios?</t>
  </si>
  <si>
    <r>
      <rPr>
        <b/>
        <sz val="11"/>
        <color rgb="FF000000"/>
        <rFont val="Montserrat"/>
      </rPr>
      <t>COST05-BP01</t>
    </r>
    <r>
      <rPr>
        <sz val="11"/>
        <color rgb="FF000000"/>
        <rFont val="Montserrat"/>
      </rPr>
      <t xml:space="preserve"> Identificar los requisitos de la organización para el costo</t>
    </r>
  </si>
  <si>
    <t>Trabaje con los miembros del equipo para definir el equilibrio entre la optimización de costos y otros pilares, como el rendimiento y la fiabilidad, de la carga de trabajo.</t>
  </si>
  <si>
    <t>Matriz de SLA vs Costo.
AWS Organizations Recurso: Estructura organizacional para gestión centralizada de políticas de costos y governance Configuración: Organizations configurado con Service Control Policies (SCPs) que reflejan prioridades organizacionales y restricciones de costos por unidades de negocio
AWS Budgets Recurso: Presupuestos organizacionales que reflejan prioridades y límites de gasto por pilares del Well-Architected Framework Configuración: Budgets configurado con presupuestos específicos que balancean cost optimization con performance, reliability, security, y operational excellence
AWS Cost Categories Recurso: Categorización de costos que refleja prioridades organizacionales y estructura de toma de decisiones Configuración: Cost Categories configurado para agrupar costos según prioridades organizacionales, departamentos, y objetivos de negocio
AWS Well-Architected Tool Recurso: Evaluación y documentación de prioridades de pilares para workloads específicos Configuración: Well-Architected Tool configurado con workload reviews que documentan priorización de pilares y trade-offs entre cost y otros pilares
AWS Systems Manager Parameter Store Recurso: Almacenamiento de requisitos organizacionales, prioridades, y políticas de cost optimization Configuración: Parameter Store configurado con parámetros que documentan requisitos organizacionales, pesos de pilares, y políticas de trade-offs</t>
  </si>
  <si>
    <t>1. Trabajar con el equipo para validar si se discutió el equilibrio (trade-off) entre costo, rendimiento y fiabilidad.
+1
AWS Organizations Verificar que Organizations está configurado con estructura que refleja prioridades organizacionales para cost management. El cumplimiento indica SCPs configuradas que implementan políticas de costos alineadas con objetivos organizacionales y governance. El incumplimiento se evidencia por falta de governance centralizada o políticas que no reflejan prioridades organizacionales.
AWS Budgets Verificar que Budgets está configurado con presupuestos que balancean cost optimization con otros pilares del Well-Architected Framework. El cumplimiento indica presupuestos que reflejan prioridades organizacionales y permiten trade-offs apropiados entre pilares. El incumplimiento se evidencia por presupuestos únicamente enfocados en costo sin considerar otros pilares.
AWS Cost Categories Verificar que Cost Categories está configurado para reflejar estructura organizacional y prioridades de toma de decisiones. El cumplimiento indica categorías que mapean a departamentos, proyectos, y objetivos de negocio con prioridades claras. El incumplimiento se evidencia por categorización que no refleja estructura organizacional o prioridades.
AWS Well-Architected Tool Verificar que Well-Architected Tool está siendo utilizado para documentar prioridades de pilares y trade-offs organizacionales. El cumplimiento indica workload reviews completadas que documentan priorización de pilares y justificación de trade-offs. El incumplimiento se evidencia por falta de reviews o documentación insuficiente de prioridades.
AWS Systems Manager Parameter Store Verificar que Parameter Store contiene documentación clara de requisitos organizacionales y políticas de cost optimization. El cumplimiento indica parámetros que documentan prioridades, pesos de pilares, y políticas de trade-offs organizacionales. El incumplimiento se evidencia por falta de documentación o requisitos organizacionales no claramente definidos.</t>
  </si>
  <si>
    <t xml:space="preserve"># Verificar configuración de AWS Organizations y SCPs
aws organizations describe-organization
aws organizations list-policies --filter SERVICE_CONTROL_POLICY
aws organizations describe-policy --policy-id p-xxxxxxxxxx
aws organizations list-targets-for-policy --policy-id p-xxxxxxxxxx
# Validar AWS Budgets alineados con prioridades organizacionales
aws budgets describe-budgets --account-id 123456789012
aws budgets describe-budget --account-id 123456789012 --budget-name "Performance-vs-Cost-Balance"
aws budgets describe-budget-performance --account-id 123456789012 --budget-name "Organizational-Priorities"
# Verificar AWS Cost Categories para estructura organizacional
aws ce list-cost-category-definitions
aws ce describe-cost-category-definition --cost-category-arn arn:aws:ce::123456789012:costcategory/xxxxxxxxxx-xxxx-xxxx-xxxx-xxxxxxxxxxxx
aws ce get-cost-categories --time-period Start=2024-01-01,End=2024-02-01
# Validar Well-Architected Tool reviews y prioridades
aws wellarchitected list-workloads
aws wellarchitected get-workload --workload-id workload-id-example
aws wellarchitected list-lens-reviews --workload-id workload-id-example
# Verificar Parameter Store para requisitos organizacionales
aws ssm describe-parameters --query 'Parameters[?contains(Name, `organizational`) || contains(Name, `cost-requirements`) || contains(Name, `pillar-priorities`)]'
aws ssm get-parameter --name "/organizational-requirements/cost-priorities"
aws ssm get-parameters-by-path --path "/organizational-requirements/"
# Validar políticas IAM que reflejan prioridades organizacionales
aws iam list-policies --query 'Policies[?contains(PolicyName, `Cost`) || contains(PolicyName, `Organizational`)]'
aws iam get-policy --policy-arn arn:aws:iam::123456789012:policy/OrganizationalCostRequirements
aws iam list-entities-for-policy --policy-arn arn:aws:iam::aws:policy/job-function/Billing
# Verificar tags que reflejan prioridades organizacionales
aws resourcegroupstaggingapi get-tag-keys --query 'TagKeys[?contains(@, `Priority`) || contains(@, `CostCenter`) || contains(@, `BusinessUnit`)]'
aws resourcegroupstaggingapi get-resources --tag-filters Key=CostPriority,Values=* Key=PillarWeight,Values=*
# Validar configuración de Cost Allocation Tags
aws ce list-cost-allocation-tags
aws ce get-cost-allocation-tags --tag-keys BusinessPriority CostCenter PillarWeight
aws ce update-cost-allocation-tags-status --cost-allocation-tags-status TagKey=BusinessPriority,Status=Active
# Verificar métricas organizacionales y KPIs
aws cloudwatch list-metrics --namespace "OrganizationalRequirements"
aws cloudwatch get-metric-statistics --namespace "OrganizationalRequirements" --metric-name "CostVsPerformanceBalance" --start-time 2024-01-01T00:00:00Z --end-time 2024-02-01T00:00:00Z --period 86400 --statistics Average
# Validar documentación de trade-offs y decisiones
aws s3api list-objects-v2 --bucket organizational-documentation --prefix "cost-requirements/"
aws dynamodb scan --table-name OrganizationalRequirements --projection-expression "RequirementType, Priority, TradeOffPolicy"
# Verificar compliance con requisitos organizacionales
aws config describe-config-rules --query 'ConfigRules[?contains(ConfigRuleName, `organizational`) || contains(ConfigRuleName, `cost-requirements`)]'
aws config get-compliance-details-by-config-rule --config-rule-name "organizational-cost-compliance"
# Validar reportes de alineación con prioridades
aws ce get-cost-and-usage --time-period Start=2024-01-01,End=2024-02-01 --granularity MONTHLY --metrics BlendedCost --group-by Type=TAG,Key=BusinessPriority
aws ce get-cost-and-usage --time-period Start=2024-01-01,End=2024-02-01 --granularity MONTHLY --metrics BlendedCost --group-by Type=COST_CATEGORY,Key=OrganizationalPriority
# Verificar automatización de políticas organizacionales
aws lambda list-functions --query 'Functions[?contains(FunctionName, `organizational-policy`) || contains(FunctionName, `cost-governance`)]'
aws events list-rules --query 'Rules[?contains(Name, `organizational`) || contains(Name, `cost-governance`)]'
</t>
  </si>
  <si>
    <r>
      <rPr>
        <b/>
        <u/>
        <sz val="11"/>
        <color rgb="FF000000"/>
        <rFont val="Montserrat"/>
      </rPr>
      <t>COST05-BP02</t>
    </r>
    <r>
      <rPr>
        <u/>
        <sz val="11"/>
        <color rgb="FF000000"/>
        <rFont val="Montserrat"/>
      </rPr>
      <t xml:space="preserve"> Analizar todos los componentes de la carga de trabajo</t>
    </r>
  </si>
  <si>
    <t>Asegúrese de que se analice cada componente de la carga de trabajo, independientemente del tamaño o del costo actuales. El esfuerzo de revisión debería reflejar el beneficio potencial, como los costos actuales y previstos.</t>
  </si>
  <si>
    <t>Diagramas de arquitectura.
AWS Cost Explorer Recurso: Análisis detallado de costos por servicio y componente del workload Configuración: Cost Explorer configurado con reportes que desglosan costos por cada componente del workload, identificando servicios con costos inesperados y patrones de uso
AWS Cost and Usage Report (CUR) Recurso: Datos granulares de costos y uso para análisis detallado de componentes Configuración: CUR configurado para proporcionar datos detallados de cada componente del workload, incluyendo pricing models, usage patterns, y cost drivers
AWS Pricing Calculator Recurso: Estimación de costos para diferentes opciones de servicios y configuraciones Configuración: Pricing Calculator utilizado para comparar costos de diferentes opciones de servicios para cada componente del workload
Amazon CloudWatch Recurso: Monitoreo de métricas de uso y performance para análisis de componentes Configuración: CloudWatch configurado con métricas personalizadas y alarmas que monitorizan utilización y performance de cada componente del workload
AWS Budgets Recurso: Presupuestos específicos por componente para control y análisis de costos Configuración: Budgets configurado con presupuestos granulares por componente del workload y alertas para costos inesperados</t>
  </si>
  <si>
    <t>1. Asegurar que se analizó cada componente evaluando los costos actuales y previstos.
+1
AWS Cost Explorer Verificar que Cost Explorer está configurado para análisis detallado de todos los componentes del workload. El cumplimiento indica reportes configurados que desglosan costos por servicio, identifican outliers, y proporcionan visibilidad de cada componente. El incumplimiento se evidencia por análisis de costos agregados sin desglose por componente.
AWS Cost and Usage Report (CUR) Verificar que CUR está configurado para proporcionar datos granulares de cada componente del workload. El cumplimiento indica CUR con suficiente detalle para analizar pricing models, usage patterns, y cost drivers de cada componente. El incumplimiento se evidencia por datos insuficientes para análisis detallado de componentes.
AWS Pricing Calculator Verificar que Pricing Calculator está siendo utilizado para comparar opciones de servicios para cada componente. El cumplimiento indica uso sistemático del calculator para evaluar diferentes opciones de servicios y configuraciones. El incumplimiento se evidencia por selección de servicios sin análisis comparativo de costos.
Amazon CloudWatch Verificar que CloudWatch está configurado para monitorear utilización y performance de cada componente del workload. El cumplimiento indica métricas configuradas que proporcionan visibilidad de uso y efficiency de cada componente. El incumplimiento se evidencia por monitoreo agregado sin visibilidad de componentes individuales.
AWS Budgets Verificar que Budgets está configurado con presupuestos específicos por componente del workload. El cumplimiento indica presupuestos granulares que permiten control y análisis de costos por componente. El incumplimiento se evidencia por presupuestos únicamente a nivel de workload sin desglose por componente.</t>
  </si>
  <si>
    <t xml:space="preserve"># Verificar análisis de costos por componente en Cost Explorer
aws ce get-cost-and-usage --time-period Start=2024-01-01,End=2024-02-01 --granularity MONTHLY --metrics BlendedCost --group-by Type=DIMENSION,Key=SERVICE
aws ce get-cost-and-usage --time-period Start=2024-01-01,End=2024-02-01 --granularity DAILY --metrics BlendedCost --group-by Type=TAG,Key=Component Type=TAG,Key=WorkloadTier
# Validar Cost and Usage Report para análisis granular
aws cur describe-report-definitions
aws s3api list-objects-v2 --bucket cost-usage-reports --prefix "workload-analysis/"
aws athena list-named-queries --query 'NamedQueries[?contains(Name, `component`) || contains(Name, `workload-analysis`)]'
# Verificar componentes del workload etiquetados apropiadamente
aws resourcegroupstaggingapi get-resources --tag-filters Key=Component,Values=* Key=WorkloadTier,Values=* Key=Function,Values=*
aws resourcegroupstaggingapi get-tag-keys --query 'TagKeys[?contains(@, `Component`) || contains(@, `Tier`) || contains(@, `Function`)]'
# Validar CloudWatch métricas por componente
aws cloudwatch list-metrics --namespace "AWS/EC2" --query 'Metrics[?Dimensions[?Name==`InstanceId`]]'
aws cloudwatch list-metrics --namespace "AWS/RDS" --query 'Metrics[?Dimensions[?Name==`DBInstanceIdentifier`]]'
aws cloudwatch list-metrics --namespace "WorkloadComponents"
# Verificar presupuestos por componente
aws budgets describe-budgets --account-id 123456789012 --query 'Budgets[?contains(BudgetName, `Component`) || contains(BudgetName, `Tier`)]'
aws budgets describe-budget --account-id 123456789012 --budget-name "Database-Component-Budget"
# Validar inventario de componentes del workload
aws ec2 describe-instances --query 'Reservations[].Instances[].{InstanceId:InstanceId,Tags:Tags[?Key==`Component`].Value}'
aws rds describe-db-instances --query 'DBInstances[].{DBInstanceId:DBInstanceIdentifier,Tags:TagList[?Key==`Component`].Value}'
aws elasticloadbalancing describe-load-balancers --query 'LoadBalancers[].{Name:LoadBalancerName,Tags:Tags[?Key==`Component`].Value}'
# Verificar análisis de pricing models por servicio
aws ce get-cost-and-usage --time-period Start=2024-01-01,End=2024-02-01 --granularity MONTHLY --metrics BlendedCost UnblendedCost --group-by Type=DIMENSION,Key=USAGE_TYPE
aws ce get-cost-and-usage --time-period Start=2024-01-01,End=2024-02-01 --granularity MONTHLY --metrics BlendedCost --group-by Type=DIMENSION,Key=PURCHASE_TYPE
# Validar documentación de componentes y análisis
aws ssm describe-parameters --query 'Parameters[?contains(Name, `workload-components`) || contains(Name, `component-analysis`)]'
aws ssm get-parameter --name "/workload-analysis/component-inventory"
aws s3api list-objects-v2 --bucket workload-documentation --prefix "component-analysis/"
# Verificar alarmas y monitoreo por componente
aws cloudwatch describe-alarms --query 'MetricAlarms[?contains(AlarmName, `Component`) || contains(AlarmName, `Tier`)]'
aws cloudwatch describe-alarms --state-value ALARM --query 'MetricAlarms[?Dimensions[?Name==`Component`]]'
# Validar Resource Groups para componentes
aws resource-groups list-groups --query 'GroupList[?contains(Name, `Component`) || contains(Name, `Tier`) || contains(Name, `Function`)]'
aws resource-groups get-group --group-name "Database-Components"
# Verificar análisis de utilización por componente
aws cloudwatch get-metric-statistics --namespace "AWS/EC2" --metric-name CPUUtilization --dimensions Name=InstanceId,Value=i-1234567890abcdef0 --start-time 2024-01-01T00:00:00Z --end-time 2024-02-01T00:00:00Z --period 3600 --statistics Average
aws cloudwatch get-metric-statistics --namespace "AWS/RDS" --metric-name DatabaseConnections --dimensions Name=DBInstanceIdentifier,Value=production-db --start-time 2024-01-01T00:00:00Z --end-time 2024-02-01T00:00:00Z --period 3600 --statistics Average
# Validar análisis de outliers y costos inesperados
aws ce get-anomaly-detectors --query 'AnomalyDetectors[?MonitorType==`DIMENSIONAL`]'
aws ce get-anomalies --date-interval Start=2024-01-01,End=2024-02-01 --query 'Anomalies[?Impact.MaxImpact&gt;`100`]'
# Verificar priorización de componentes por costo
aws ce get-cost-and-usage --time-period Start=2024-01-01,End=2024-02-01 --granularity MONTHLY --metrics BlendedCost --group-by Type=TAG,Key=Component --query 'ResultsByTime[].Groups[].{Component:Keys[0],Cost:Metrics.BlendedCost.Amount}' --output table
</t>
  </si>
  <si>
    <r>
      <rPr>
        <b/>
        <sz val="11"/>
        <color rgb="FF000000"/>
        <rFont val="Montserrat"/>
      </rPr>
      <t>COST05-BP03</t>
    </r>
    <r>
      <rPr>
        <sz val="11"/>
        <color rgb="FF000000"/>
        <rFont val="Montserrat"/>
      </rPr>
      <t xml:space="preserve"> Realizar un análisis exhaustivo de cada componente</t>
    </r>
  </si>
  <si>
    <t>Consulte el costo total que supone para la organización cada componente. Calcule el costo total de propiedad teniendo en cuenta el costo de las operaciones y la administración, sobre todo cuando utilice servicios administrados por el proveedor de servicios en la nube. El esfuerzo de revisión debe reflejar los posibles beneficios (por ejemplo, el tiempo empleado en analizar es proporcional al costo de los componentes).</t>
  </si>
  <si>
    <t>Análisis de TCO.
AWS Total Cost of Ownership (TCO) Calculator Recurso: Calculadora para comparar costos totales de propiedad entre servicios administrados y no administrados Configuración: TCO Calculator utilizado para evaluar costos operacionales completos incluyendo administración, mantenimiento, y overhead operacional para cada componente
AWS Managed Services (AMS) Recurso: Servicios administrados que reducen overhead operacional y costos de gestión Configuración: Evaluación de servicios administrados como RDS, ElastiCache, EMR, Redshift, y OpenSearch Service versus implementaciones auto-administradas
AWS Pricing Calculator Recurso: Estimación detallada de costos para diferentes configuraciones y opciones de servicios Configuración: Pricing Calculator configurado para comparar múltiples opciones de implementación para cada componente con análisis de impacto a largo plazo
AWS Cost Explorer Recurso: Análisis histórico de costos y patrones de uso para informar decisiones de componentes Configuración: Cost Explorer configurado con análisis detallado de costos operacionales, incluyendo tiempo de personal y overhead de gestión
AWS Migration Hub Recurso: Evaluación de opciones de migración y modernización para componentes existentes Configuración: Migration Hub configurado para evaluar opciones de migración de componentes auto-administrados a servicios administrados</t>
  </si>
  <si>
    <t>1. Revisar si se consideró el costo de las operaciones y administración. 2. Verificar que el tiempo de análisis fue proporcional al costo del componente.
AWS Total Cost of Ownership (TCO) Calculator Verificar que TCO Calculator está siendo utilizado para análisis completo de costos operacionales de cada componente. El cumplimiento indica uso sistemático del calculator para evaluar costos totales incluyendo overhead operacional y administrativo. El incumplimiento se evidencia por análisis de costos que solo considera pricing directo sin costos operacionales.
AWS Managed Services (AMS) Verificar que se está evaluando sistemáticamente el uso de servicios administrados versus implementaciones auto-administradas. El cumplimiento indica análisis comparativo entre servicios administrados (RDS, ElastiCache, EMR) y implementaciones en EC2. El incumplimiento se evidencia por selección de servicios sin considerar opciones administradas.
AWS Pricing Calculator Verificar que Pricing Calculator está siendo utilizado para análisis detallado de múltiples opciones para cada componente. El cumplimiento indica uso del calculator para evaluar diferentes configuraciones, instance types, y modelos de pricing. El incumplimiento se evidencia por estimaciones de costos superficiales o uso de pricing por defecto.
AWS Cost Explorer Verificar que Cost Explorer está configurado para análisis histórico que informe decisiones de componentes. El cumplimiento indica uso de datos históricos para entender patrones de costo y utilización que guíen selección de servicios. El incumplimiento se evidencia por decisiones basadas únicamente en estimaciones sin datos históricos.
AWS Migration Hub Verificar que Migration Hub está siendo utilizado para evaluar opciones de modernización de componentes. El cumplimiento indica evaluación sistemática de opciones de migración y modernización para optimizar costos. El incumplimiento se evidencia por falta de consideración de opciones de modernización o migración.</t>
  </si>
  <si>
    <t xml:space="preserve"># Verificar análisis de servicios administrados vs auto-administrados
aws rds describe-db-instances --query 'DBInstances[].{DBName:DBName,Engine:Engine,InstanceClass:DBInstanceClass,MultiAZ:MultiAZ}'
aws ec2 describe-instances --query 'Reservations[].Instances[?Tags[?Key==`Database` &amp;&amp; Value==`SelfManaged`]]'
aws elasticache describe-cache-clusters --query 'CacheClusters[].{ClusterId:CacheClusterId,Engine:Engine,NodeType:CacheNodeType}'
# Validar análisis de EMR vs Spark en EC2
aws emr list-clusters --active --query 'Clusters[].{Name:Name,Id:Id,Status:Status.State}'
aws ec2 describe-instances --filters "Name=tag:Application,Values=Spark" --query 'Reservations[].Instances[].{InstanceId:InstanceId,InstanceType:InstanceType,State:State.Name}'
# Verificar análisis de OpenSearch Service vs auto-administrado
aws opensearch list-domain-names
aws opensearch describe-domain --domain-name production-search
aws ec2 describe-instances --filters "Name=tag:Application,Values=Elasticsearch" --query 'Reservations[].Instances[].InstanceId'
# Validar análisis de Redshift vs data warehouse auto-administrado
aws redshift describe-clusters --query 'Clusters[].{ClusterIdentifier:ClusterIdentifier,NodeType:NodeType,NumberOfNodes:NumberOfNodes}'
aws ec2 describe-instances --filters "Name=tag:Application,Values=DataWarehouse" --query 'Reservations[].Instances[].InstanceType'
# Verificar documentación de análisis de componentes
aws ssm describe-parameters --query 'Parameters[?contains(Name, `component-analysis`) || contains(Name, `tco-analysis`)]'
aws ssm get-parameter --name "/component-analysis/database-comparison"
aws s3api list-objects-v2 --bucket component-analysis --prefix "tco-calculations/"
# Validar análisis de costos operacionales
aws ce get-cost-and-usage --time-period Start=2024-01-01,End=2024-02-01 --granularity MONTHLY --metrics BlendedCost --group-by Type=DIMENSION,Key=SERVICE --filter '{"Dimensions":{"Key":"SERVICE","Values":["Amazon Relational Database Service","Amazon EC2-Instance"]}}'
# Verificar análisis de capacidad y scaling para servicios administrados
aws rds describe-db-instances --query 'DBInstances[].{DBName:DBName,AllocatedStorage:AllocatedStorage,StorageEncrypted:StorageEncrypted,BackupRetentionPeriod:BackupRetentionPeriod}'
aws application-autoscaling describe-scalable-targets --service-namespace rds
# Validar análisis de migración y modernización
aws dms describe-replication-instances --query 'ReplicationInstances[].{InstanceId:ReplicationInstanceIdentifier,InstanceClass:ReplicationInstanceClass}'
aws migrationhub-config describe-home-region-controls
# Verificar análisis de shared responsibility model
aws iam list-policies --query 'Policies[?contains(PolicyName, `ManagedService`) || contains(PolicyName, `SharedResponsibility`)]'
aws config describe-config-rules --query 'ConfigRules[?contains(ConfigRuleName, `managed-service`) || contains(ConfigRuleName, `compliance`)]'
# Validar métricas de eficiencia operacional
aws cloudwatch list-metrics --namespace "AWS/RDS" --query 'Metrics[?MetricName==`DatabaseConnections` || MetricName==`CPUUtilization`]'
aws cloudwatch get-metric-statistics --namespace "AWS/RDS" --metric-name DatabaseConnections --dimensions Name=DBInstanceIdentifier,Value=production-db --start-time 2024-01-01T00:00:00Z --end-time 2024-02-01T00:00:00Z --period 3600 --statistics Average
# Verificar análisis de licensing y software costs
aws ce get-cost-and-usage --time-period Start=2024-01-01,End=2024-02-01 --granularity MONTHLY --metrics BlendedCost --group-by Type=DIMENSION,Key=USAGE_TYPE --filter '{"Dimensions":{"Key":"USAGE_TYPE","Values":["*License*","*BYOL*"]}}'
# Validar análisis de performance vs cost trade-offs
aws cloudwatch get-metric-statistics --namespace "AWS/EC2" --metric-name CPUUtilization --dimensions Name=InstanceId,Value=i-1234567890abcdef0 --start-time 2024-01-01T00:00:00Z --end-time 2024-02-01T00:00:00Z --period 3600 --statistics Average
aws cloudwatch get-metric-statistics --namespace "AWS/RDS" --metric-name CPUUtilization --dimensions Name=DBInstanceIdentifier,Value=production-db --start-time 2024-01-01T00:00:00Z --end-time 2024-02-01T00:00:00Z --period 3600 --statistics Average
# Verificar análisis de data migration costs
aws dms describe-replication-tasks --query 'ReplicationTasks[].{TaskId:ReplicationTaskIdentifier,Status:Status,SourceEndpoint:SourceEndpointArn,TargetEndpoint:TargetEndpointArn}'
aws datasync list-tasks --query 'Tasks[].{TaskArn:TaskArn,Status:Status}'
</t>
  </si>
  <si>
    <r>
      <rPr>
        <b/>
        <sz val="11"/>
        <color rgb="FF000000"/>
        <rFont val="Montserrat"/>
      </rPr>
      <t>COST05-BP04</t>
    </r>
    <r>
      <rPr>
        <sz val="11"/>
        <color rgb="FF000000"/>
        <rFont val="Montserrat"/>
      </rPr>
      <t xml:space="preserve"> Seleccionar software con licencias rentables</t>
    </r>
  </si>
  <si>
    <t>El software de código abierto elimina los costos de licencias de software, lo que puede repercutir enormemente en los costos de las cargas de trabajo. Si se requiere software con licencia, evite licencias vinculadas a atributos arbitrarios como las CPU y busque licencias vinculadas a los resultados. El costo de estas licencias está más vinculado al beneficio que aportan.</t>
  </si>
  <si>
    <t>AWS License Manager, Software Open Source.
AWS License Manager Recurso: Gestión centralizada y seguimiento de licencias de software para optimización de costos Configuración: License Manager configurado para rastrear, gestionar y optimizar el uso de licencias de software, incluyendo BYOL (Bring Your Own License) y modelos de licenciamiento flexibles
Amazon EC2 con diferentes sistemas operativos Recurso: Comparación de costos entre sistemas operativos (Linux vs Windows) y opciones de licenciamiento Configuración: EC2 configurado con análisis comparativo de costos entre Linux (open source) y Windows, mostrando ahorros significativos con opciones open source
AWS Pricing Calculator Recurso: Comparación de costos de recursos con diferentes opciones de licenciamiento Configuración: Pricing Calculator utilizado para comparar costos de diferentes engines de base de datos, sistemas operativos, y modelos de licenciamiento
Amazon RDS con diferentes engines Recurso: Comparación de costos entre engines de base de datos open source y comerciales Configuración: RDS configurado con análisis comparativo entre engines open source (MySQL, PostgreSQL) y comerciales (Oracle, SQL Server)
AWS Cost Explorer Recurso: Análisis de costos existentes de workloads con diferentes licencias para optimización Configuración: Cost Explorer configurado para analizar impacto de costos de licenciamiento en workloads existentes y identificar oportunidades de optimización</t>
  </si>
  <si>
    <t>1. Evaluar si se optó por software de código abierto para evitar costos de licencia. 2. Evitar licencias vinculadas a atributos arbitrarios como CPUs.
AWS License Manager Verificar que License Manager está configurado para gestión optimizada de licencias de software. El cumplimiento indica uso de License Manager para rastrear utilización de licencias, optimizar asignaciones, y gestionar BYOL apropiadamente. El incumplimiento se evidencia por gestión manual de licencias o falta de optimización de uso de licencias.
Amazon EC2 con diferentes sistemas operativos Verificar que se está realizando análisis comparativo de costos entre diferentes opciones de sistema operativo. El cumplimiento indica evaluación sistemática de Linux vs Windows y selección basada en requirements funcionales vs costos. El incumplimiento se evidencia por selección de SO sin análisis de costo-beneficio.
AWS Pricing Calculator Verificar que Pricing Calculator está siendo utilizado para comparar opciones de licenciamiento. El cumplimiento indica uso sistemático del calculator para evaluar diferentes engines, SO, y modelos de licenciamiento. El incumplimiento se evidencia por selección de software sin análisis comparativo de costos de licenciamiento.
Amazon RDS con diferentes engines Verificar que se está evaluando el uso de engines de base de datos open source versus comerciales. El cumplimiento indica análisis comparativo entre MySQL/PostgreSQL y Oracle/SQL Server basado en requirements vs costos. El incumplimiento se evidencia por selección de engines comerciales sin considerar alternativas open source.
AWS Cost Explorer Verificar que Cost Explorer está configurado para analizar impacto de costos de licenciamiento. El cumplimiento indica análisis regular de costos de licencias y identificación de oportunidades de optimización. El incumplimiento se evidencia por falta de visibilidad o análisis de costos de licenciamiento.</t>
  </si>
  <si>
    <t xml:space="preserve"># Verificar configuración de AWS License Manager
aws license-manager list-license-configurations
aws license-manager get-license-configuration --license-configuration-arn arn:aws:license-manager:region:123456789012:license-configuration:lic-xxxxxxxxxx
aws license-manager list-usage-for-license-configuration --license-configuration-arn arn:aws:license-manager:region:123456789012:license-configuration:lic-xxxxxxxxxx
# Validar análisis de sistemas operativos en EC2
aws ec2 describe-instances --query 'Reservations[].Instances[].{InstanceId:InstanceId,Platform:Platform,InstanceType:InstanceType}' --output table
aws ec2 describe-instances --filters "Name=platform,Values=windows" --query 'Reservations[].Instances[].{InstanceId:InstanceId,InstanceType:InstanceType}'
aws ec2 describe-instances --query 'Reservations[].Instances[?Platform==null].{InstanceId:InstanceId,InstanceType:InstanceType}' # Linux instances
# Verificar análisis de engines de RDS
aws rds describe-db-instances --query 'DBInstances[].{DBName:DBName,Engine:Engine,LicenseModel:LicenseModel,DBInstanceClass:DBInstanceClass}' --output table
aws rds describe-db-instances --query 'DBInstances[?Engine==`mysql` || Engine==`postgres`]'
aws rds describe-db-instances --query 'DBInstances[?Engine==`oracle-ee` || Engine==`sqlserver-ee`]'
# Validar costos por tipo de licenciamiento
aws ce get-cost-and-usage --time-period Start=2024-01-01,End=2024-02-01 --granularity MONTHLY --metrics BlendedCost --group-by Type=DIMENSION,Key=PLATFORM --filter '{"Dimensions":{"Key":"SERVICE","Values":["Amazon Elastic Compute Cloud - Compute"]}}'
aws ce get-cost-and-usage --time-period Start=2024-01-01,End=2024-02-01 --granularity MONTHLY --metrics BlendedCost --group-by Type=DIMENSION,Key=DATABASE_ENGINE
# Verificar uso de BYOL (Bring Your Own License)
aws ec2 describe-instances --query 'Reservations[].Instances[?Tags[?Key==`LicenseType` &amp;&amp; Value==`BYOL`]]'
aws rds describe-db-instances --query 'DBInstances[?LicenseModel==`bring-your-own-license`]'
# Validar documentación de análisis de licenciamiento
aws ssm describe-parameters --query 'Parameters[?contains(Name, `license-analysis`) || contains(Name, `software-costs`)]'
aws ssm get-parameter --name "/license-analysis/cost-comparison"
aws s3api list-objects-v2 --bucket license-analysis --prefix "cost-comparisons/"
# Verificar análisis de software open source vs comercial
aws resourcegroupstaggingapi get-resources --tag-filters Key=SoftwareType,Values=OpenSource,Commercial Key=LicenseModel,Values=*
aws ce get-cost-and-usage --time-period Start=2024-01-01,End=2024-02-01 --granularity MONTHLY --metrics BlendedCost --group-by Type=TAG,Key=SoftwareType
# Validar análisis histórico de cambios de licenciamiento
aws logs describe-log-groups --query 'logGroups[?contains(logGroupName, `license`) || contains(logGroupName, `software-audit`)]'
aws cloudtrail lookup-events --lookup-attributes AttributeKey=EventName,AttributeValue=ModifyDBInstance --start-time 2024-01-01T00:00:00Z --end-time 2024-02-01T00:00:00Z
# Verificar compliance con políticas de licenciamiento
aws config describe-config-rules --query 'ConfigRules[?contains(ConfigRuleName, `license`) || contains(ConfigRuleName, `software-compliance`)]'
aws config get-compliance-details-by-config-rule --config-rule-name "approved-software-licenses"
# Validar métricas de optimización de licencias
aws cloudwatch list-metrics --namespace "LicenseOptimization"
aws cloudwatch get-metric-statistics --namespace "LicenseOptimization" --metric-name "LicenseCostSavings" --start-time 2024-01-01T00:00:00Z --end-time 2024-02-01T00:00:00Z --period 86400 --statistics Sum
# Verificar análisis de vendor licensing terms
aws ssm get-parameter --name "/vendor-analysis/oracle-licensing-terms"
aws ssm get-parameter --name "/vendor-analysis/microsoft-licensing-history"
aws dynamodb scan --table-name VendorLicenseAnalysis --projection-expression "Vendor, LicenseModel, CostTrend, AuditRisk"
# Validar automatización de license management
aws lambda list-functions --query 'Functions[?contains(FunctionName, `license`) || contains(FunctionName, `software-audit`)]'
aws events list-rules --query 'Rules[?contains(Name, `license`) || contains(Name, `software-compliance`)]'
# Verificar alertas de license compliance
aws cloudwatch describe-alarms --query 'MetricAlarms[?contains(AlarmName, `License`) || contains(AlarmName, `Software`)]'
aws sns list-subscriptions --query 'Subscriptions[?contains(TopicArn, `license`) || contains(TopicArn, `software-compliance`)]'
</t>
  </si>
  <si>
    <r>
      <rPr>
        <b/>
        <sz val="11"/>
        <color rgb="FF000000"/>
        <rFont val="Montserrat"/>
      </rPr>
      <t>COST05-BP05</t>
    </r>
    <r>
      <rPr>
        <sz val="11"/>
        <color rgb="FF000000"/>
        <rFont val="Montserrat"/>
      </rPr>
      <t xml:space="preserve"> Seleccione los componentes de esta carga de trabajo para optimizar el costo de acuerdo con las prioridades de la organización</t>
    </r>
  </si>
  <si>
    <t>Tenga en cuenta el costo al seleccionar los componentes de su carga de trabajo. Esto incluye el uso de servicios administrados y por aplicación o de una arquitectura sin servidor, de contenedores o basada en eventos para reducir el costo global. Minimice los costos de licencia con software de código abierto, software que no tenga costos de licencia o alternativas para reducir el costo.</t>
  </si>
  <si>
    <t>AWS Lambda (Sin servidor), ECS/EKS (Contenedores), RDS.
AWS Lambda (Serverless) Recurso: Servicios serverless para eliminación de gestión de recursos y escalado automático basado en uso Configuración: Lambda configurado para workloads event-driven que eliminan necesidad de gestión de infraestructura y proporcionan escalado automático con pago por uso
Amazon RDS y servicios administrados Recurso: Servicios administrados que reducen overhead operacional versus implementaciones auto-administradas Configuración: RDS, DynamoDB, SNS, SES configurados como servicios administrados que eliminan gestión de infraestructura y reducen costos operacionales totales
Amazon ECS/EKS (Containers) Recurso: Servicios de contenedores administrados para optimización de densidad y utilización de recursos Configuración: ECS/EKS configurados para containerización que mejora densidad de recursos y permite escalado eficiente basado en demanda
Amazon S3 y servicios de almacenamiento Recurso: Servicios de almacenamiento con diferentes clases para optimización de costos basada en patrones de acceso Configuración: S3 configurado con storage classes apropiadas (Standard, IA, Glacier) basadas en patrones de acceso y requirements de disponibilidad
Amazon Aurora y alternativas open source Recurso: Servicios de base de datos que minimizan costos de licenciamiento versus opciones comerciales Configuración: Aurora, MySQL, PostgreSQL configurados como alternativas open source que eliminan costos de licenciamiento comercial</t>
  </si>
  <si>
    <t>1. Auditar si la arquitectura minimiza costos utilizando servicios administrados, arquitecturas sin servidor o basadas en eventos.
AWS Lambda (Serverless) Verificar que Lambda está siendo utilizado apropiadamente para workloads event-driven que se benefician de serverless. El cumplimiento indica uso de Lambda para funciones que eliminan gestión de servidores y escalan automáticamente con pago por uso. El incumplimiento se evidencia por uso de EC2 para workloads que podrían beneficiarse de serverless.
Amazon RDS y servicios administrados Verificar que servicios administrados están siendo seleccionados versus implementaciones auto-administradas cuando es apropiado. El cumplimiento indica uso de RDS, DynamoDB, SNS, SES que reducen overhead operacional total. El incumplimiento se evidencia por implementaciones auto-administradas sin justificación basada en prioridades organizacionales.
Amazon ECS/EKS (Containers) Verificar que contenedores están siendo utilizados para mejorar densidad de recursos y eficiencia operacional. El cumplimiento indica uso de ECS/EKS para containerización que optimiza utilización de recursos. El incumplimiento se evidencia por aplicaciones que podrían beneficiarse de containerización ejecutándose en instancias dedicadas.
Amazon S3 y servicios de almacenamiento Verificar que storage classes apropiadas están siendo seleccionadas basadas en patrones de acceso. El cumplimiento indica uso de S3 Standard, IA, Glacier basado en frequency de acceso y requirements. El incumplimiento se evidencia por uso de storage classes costosas para datos con acceso infrecuente.
Amazon Aurora y alternativas open source Verificar que alternativas open source están siendo consideradas versus opciones comerciales costosas. El cumplimiento indica uso de Aurora, MySQL, PostgreSQL que eliminan costos de licenciamiento cuando es funcionalmente apropiado. El incumplimiento se evidencia por uso de bases de datos comerciales sin justificación basada en requirements únicos.</t>
  </si>
  <si>
    <t xml:space="preserve"># Verificar uso de servicios serverless vs tradicionales
aws lambda list-functions --query 'Functions[].{Name:FunctionName,Runtime:Runtime,Timeout:Timeout,MemorySize:MemorySize}'
aws ec2 describe-instances --query 'Reservations[].Instances[?Tags[?Key==`WorkloadType` &amp;&amp; Value==`EventDriven`]]'
aws apigateway get-rest-apis --query 'items[].{Name:name,Id:id}'
# Validar uso de servicios administrados vs auto-administrados
aws rds describe-db-instances --query 'DBInstances[].{DBName:DBName,Engine:Engine,DBInstanceClass:DBInstanceClass}'
aws ec2 describe-instances --filters "Name=tag:Application,Values=Database" --query 'Reservations[].Instances[].{InstanceId:InstanceId,InstanceType:InstanceType}'
aws dynamodb list-tables
# Verificar uso de contenedores para optimización de densidad
aws ecs list-clusters
aws ecs describe-clusters --clusters default --query 'clusters[].{Name:clusterName,ActiveServices:activeServicesCount,RunningTasks:runningTasksCount}'
aws eks list-clusters --query 'clusters'
# Validar selección de storage classes apropiadas
aws s3api list-buckets --query 'Buckets[].Name' | xargs -I {} aws s3api get-bucket-lifecycle-configuration --bucket {} 2&gt;/dev/null
aws s3api get-bucket-intelligent-tiering-configuration --bucket production-bucket --id default-config 2&gt;/dev/null
# Verificar uso de alternativas open source vs comerciales
aws rds describe-db-instances --query 'DBInstances[?Engine==`mysql` || Engine==`postgres` || Engine==`aurora-mysql` || Engine==`aurora-postgresql`]'
aws rds describe-db-instances --query 'DBInstances[?Engine==`oracle-ee` || Engine==`sqlserver-ee`]'
# Validar arquitectura event-driven
aws sqs list-queues
aws sns list-topics
aws events list-rules --query 'Rules[].{Name:Name,State:State,EventPattern:EventPattern}'
# Verificar optimización basada en prioridades organizacionales
aws resourcegroupstaggingapi get-resources --tag-filters Key=Priority,Values=* Key=CostOptimization,Values=*
aws ce get-cost-and-usage --time-period Start=2024-01-01,End=2024-02-01 --granularity MONTHLY --metrics BlendedCost --group-by Type=TAG,Key=Priority
# Validar análisis de cost vs performance trade-offs
aws ssm describe-parameters --query 'Parameters[?contains(Name, `cost-optimization`) || contains(Name, `service-selection`)]'
aws ssm get-parameter --name "/cost-optimization/service-selection-criteria"
# Verificar métricas de eficiencia de servicios seleccionados
aws cloudwatch list-metrics --namespace "AWS/Lambda" --query 'Metrics[?MetricName==`Duration` || MetricName==`Invocations`]'
aws cloudwatch get-metric-statistics --namespace "AWS/Lambda" --metric-name Duration --dimensions Name=FunctionName,Value=cost-optimized-function --start-time 2024-01-01T00:00:00Z --end-time 2024-02-01T00:00:00Z --period 3600 --statistics Average
# Validar uso de managed services vs overhead operacional
aws ce get-cost-and-usage --time-period Start=2024-01-01,End=2024-02-01 --granularity MONTHLY --metrics BlendedCost --group-by Type=DIMENSION,Key=SERVICE --filter '{"Dimensions":{"Key":"SERVICE","Values":["Amazon Relational Database Service","Amazon DynamoDB","Amazon Simple Notification Service"]}}'
# Verificar compliance con políticas de selección de servicios
aws config describe-config-rules --query 'ConfigRules[?contains(ConfigRuleName, `service-selection`) || contains(ConfigRuleName, `cost-optimization`)]'
aws config get-compliance-details-by-config-rule --config-rule-name "approved-service-types"
# Validar automatización de selección de servicios
aws lambda list-functions --query 'Functions[?contains(FunctionName, `service-selector`) || contains(FunctionName, `cost-optimizer`)]'
aws stepfunctions list-state-machines --query 'stateMachines[?contains(name, `service-selection`) || contains(name, `cost-optimization`)]'
# Verificar análisis de event-driven architecture benefits
aws cloudwatch get-metric-statistics --namespace "AWS/SQS" --metric-name NumberOfMessagesSent --start-time 2024-01-01T00:00:00Z --end-time 2024-02-01T00:00:00Z --period 3600 --statistics Sum
aws cloudwatch get-metric-statistics --namespace "AWS/SNS" --metric-name NumberOfMessagesPublished --start-time 2024-01-01T00:00:00Z --end-time 2024-02-01T00:00:00Z --period 3600 --statistics Sum
</t>
  </si>
  <si>
    <r>
      <rPr>
        <b/>
        <sz val="11"/>
        <color rgb="FF000000"/>
        <rFont val="Montserrat"/>
      </rPr>
      <t xml:space="preserve">COST05-BP06 </t>
    </r>
    <r>
      <rPr>
        <sz val="11"/>
        <color rgb="FF000000"/>
        <rFont val="Montserrat"/>
      </rPr>
      <t>Realizar análisis de costes para diferentes usos a lo largo del tiempo</t>
    </r>
  </si>
  <si>
    <t>Las cargas de trabajo pueden cambiar con el tiempo. Algunos servicios o características son más rentables en diferentes niveles de uso. Al analizar cada componente a lo largo del tiempo, así como el uso previsto, la carga de trabajo se mantiene rentable durante su vida útil.</t>
  </si>
  <si>
    <t>Previsiones en Cost Explorer.
AWS Cost Explorer Recurso: Análisis histórico y forecasting de costos para diferentes patrones de uso a lo largo del tiempo Configuración: Cost Explorer configurado con forecasting habilitado para predecir costos futuros basados en patrones de uso históricos y proyecciones de crecimiento
AWS Budgets Recurso: Presupuestos dinámicos que se ajustan a patrones de uso cambiantes y alertas proactivas Configuración: Budgets configurado con presupuestos que reflejan patrones de uso estacionales y alertas para cambios significativos en patrones de gasto
Amazon CloudWatch Recurso: Monitoreo de métricas de uso y performance para identificar cambios en patrones de utilización Configuración: CloudWatch configurado con métricas personalizadas que rastrean patrones de uso y triggers para análisis de cost-effectiveness
AWS Cost Anomaly Detection Recurso: Detección automática de anomalías en costos que pueden indicar cambios en patrones de uso Configuración: Cost Anomaly Detection configurado para identificar automáticamente desviaciones en costos que requieren análisis de optimización
Amazon EC2 Auto Scaling Recurso: Escalado automático que se ajusta a patrones de demanda cambiantes para optimización continua de costos Configuración: Auto Scaling configurado con políticas que se adaptan a patrones de uso históricos y proyectados para optimización de costos</t>
  </si>
  <si>
    <t>1. Analizar el uso previsto a lo largo de la vida útil del componente para ver qué niveles de uso son más rentables.
AWS Cost Explorer Verificar que Cost Explorer está configurado para análisis temporal de costos con forecasting habilitado. El cumplimiento indica uso regular de Cost Explorer para analizar tendencias históricas y proyectar costos futuros basados en diferentes escenarios de uso. El incumplimiento se evidencia por análisis de costos únicamente reactivos sin forecasting proactivo.
AWS Budgets Verificar que Budgets está configurado con presupuestos que reflejan patrones de uso estacionales y cambiantes. El cumplimiento indica presupuestos dinámicos que se ajustan a patrones de uso conocidos y alertas configuradas para cambios significativos. El incumplimiento se evidencia por presupuestos estáticos que no consideran variaciones temporales de uso.
Amazon CloudWatch Verificar que CloudWatch está configurado para monitorear patrones de uso que impactan cost-effectiveness. El cumplimiento indica métricas configuradas que rastrean utilización a lo largo del tiempo y triggers para revisiones de optimización. El incumplimiento se evidencia por monitoreo que no considera impacto temporal en costos.
AWS Cost Anomaly Detection Verificar que Cost Anomaly Detection está configurado para identificar cambios significativos en patrones de costo. El cumplimiento indica detección automática configurada que alerta sobre anomalías que requieren análisis de optimización. El incumplimiento se evidencia por falta de detección proactiva de cambios en patrones de costo.
Amazon EC2 Auto Scaling Verificar que Auto Scaling está configurado para adaptarse a patrones de demanda cambiantes a lo largo del tiempo. El cumplimiento indica políticas de scaling que consideran patrones históricos y proyectados para optimización continua. El incumplimiento se evidencia por scaling que no se adapta a patrones temporales de uso.</t>
  </si>
  <si>
    <t xml:space="preserve"># Verificar configuración de Cost Explorer para análisis temporal
aws ce get-cost-and-usage --time-period Start=2023-01-01,End=2024-01-01 --granularity MONTHLY --metrics BlendedCost --group-by Type=DIMENSION,Key=SERVICE
aws ce get-cost-forecast --time-period Start=2024-03-01,End=2024-06-01 --metric BLENDED_COST --granularity MONTHLY
# Validar análisis de patrones estacionales
aws ce get-cost-and-usage --time-period Start=2023-01-01,End=2024-01-01 --granularity MONTHLY --metrics BlendedCost --group-by Type=TAG,Key=Season Type=TAG,Key=BusinessCycle
# Verificar presupuestos dinámicos y alertas
aws budgets describe-budgets --account-id 123456789012 --query 'Budgets[?contains(BudgetName, `Seasonal`) || contains(BudgetName, `Dynamic`)]'
aws budgets describe-budget --account-id 123456789012 --budget-name "Seasonal-Usage-Budget"
# Validar Cost Anomaly Detection
aws ce get-anomaly-detectors
aws ce get-anomalies --date-interval Start=2024-01-01,End=2024-02-01 --query 'Anomalies[?Impact.MaxImpact&gt;`50`]'
# Verificar análisis de scaling patterns
aws autoscaling describe-auto-scaling-groups --query 'AutoScalingGroups[].{Name:AutoScalingGroupName,MinSize:MinSize,MaxSize:MaxSize,DesiredCapacity:DesiredCapacity}'
aws autoscaling describe-scaling-activities --auto-scaling-group-name production-asg --max-items 20
# Validar métricas de uso temporal
aws cloudwatch get-metric-statistics --namespace "AWS/EC2" --metric-name CPUUtilization --start-time 2023-01-01T00:00:00Z --end-time 2024-01-01T00:00:00Z --period 86400 --statistics Average
aws cloudwatch get-metric-statistics --namespace "AWS/ApplicationELB" --metric-name RequestCount --start-time 2023-01-01T00:00:00Z --end-time 2024-01-01T00:00:00Z --period 86400 --statistics Sum
# Verificar documentación de patrones de uso predichos
aws ssm describe-parameters --query 'Parameters[?contains(Name, `usage-patterns`) || contains(Name, `seasonal-analysis`)]'
aws ssm get-parameter --name "/usage-patterns/seasonal-forecast"
aws s3api list-objects-v2 --bucket usage-analysis --prefix "temporal-patterns/"
# Validar análisis de cost-effectiveness por período
aws ce get-cost-and-usage --time-period Start=2024-01-01,End=2024-02-01 --granularity DAILY --metrics BlendedCost UsageQuantity --group-by Type=DIMENSION,Key=USAGE_TYPE
# Verificar triggers para revisiones de optimización
aws cloudwatch describe-alarms --query 'MetricAlarms[?contains(AlarmName, `Usage`) || contains(AlarmName, `Cost-Threshold`)]'
aws events list-rules --query 'Rules[?contains(Name, `cost-review`) || contains(Name, `usage-analysis`)]'
# Validar análisis de nuevos servicios y features
aws ssm get-parameter --name "/service-analysis/new-features-impact"
aws lambda list-functions --query 'Functions[?contains(FunctionName, `service-analyzer`) || contains(FunctionName, `cost-optimizer`)]'
# Verificar análisis de migración de datos y servicios
aws dms describe-replication-tasks --query 'ReplicationTasks[].{TaskId:ReplicationTaskIdentifier,Status:Status}'
aws datasync list-tasks --query 'Tasks[].{TaskArn:TaskArn,Status:Status}'
# Validar monitoreo de usage level triggers
aws cloudwatch list-metrics --namespace "UsageAnalysis"
aws cloudwatch get-metric-statistics --namespace "UsageAnalysis" --metric-name "ServiceUsageThreshold" --start-time 2024-01-01T00:00:00Z --end-time 2024-02-01T00:00:00Z --period 3600 --statistics Average
# Verificar análisis de purchase options por tiempo
aws ce get-cost-and-usage --time-period Start=2024-01-01,End=2024-02-01 --granularity MONTHLY --metrics BlendedCost --group-by Type=DIMENSION,Key=PURCHASE_TYPE
aws ec2 describe-reserved-instances --query 'ReservedInstances[].{InstanceType:InstanceType,State:State,End:End}'
# Validar reportes de optimización temporal
aws ce get-cost-and-usage --time-period Start=2024-01-01,End=2024-02-01 --granularity WEEKLY --metrics BlendedCost --group-by Type=TAG,Key=OptimizationPeriod
aws quicksight list-dashboards --aws-account-id 123456789012 --query 'DashboardSummaryList[?contains(Name, `Cost`) || contains(Name, `Usage`)]'
</t>
  </si>
  <si>
    <t>Recursos rentables
COST 6. ¿Cómo cumple con los objetivos de costos cuando selecciona el tipo de recurso, el tamaño y el número?</t>
  </si>
  <si>
    <r>
      <rPr>
        <b/>
        <u/>
        <sz val="11"/>
        <color rgb="FF000000"/>
        <rFont val="Montserrat"/>
      </rPr>
      <t>COST06-BP01</t>
    </r>
    <r>
      <rPr>
        <u/>
        <sz val="11"/>
        <color rgb="FF000000"/>
        <rFont val="Montserrat"/>
      </rPr>
      <t xml:space="preserve"> Realizar modelado de costes</t>
    </r>
  </si>
  <si>
    <t>Identifique los requisitos de la organización (como las necesidades empresariales y los compromisos existentes) y lleve a cabo un modelado de costos (costos generales) de la carga de trabajo y de cada uno de sus componentes. Lleve a cabo actividades de referencia para la carga de trabajo bajo diferentes cargas previstas y compare los costos. El esfuerzo para llevar a cabo el modelado debería reflejar la ventaja potencial. Por ejemplo, el tiempo dedicado debe ser proporcional al costo del componente.</t>
  </si>
  <si>
    <t>Herramientas de pruebas de carga, Modelado de datos.
AWS Compute Optimizer Recurso: Recomendaciones de right-sizing basadas en datos históricos de utilización para optimización de costos Configuración: Compute Optimizer configurado para analizar patrones de uso históricos y proporcionar recomendaciones de tipos y tamaños de recursos óptimos
AWS Pricing Calculator Recurso: Estimación de costos para diferentes configuraciones de recursos planificados Configuración: Pricing Calculator utilizado para modelar costos de diferentes tipos, tamaños, y números de recursos bajo varios escenarios de uso
Amazon CloudWatch Recurso: Métricas detalladas de utilización y performance para informar decisiones de modelado de costos Configuración: CloudWatch configurado con métricas personalizadas que reflejan experiencia del usuario, incluyendo percentiles 99 en lugar de promedios
AWS Cost Explorer Recurso: Análisis histórico de costos y patrones de uso para validar modelos de costos Configuración: Cost Explorer configurado para analizar costos históricos por tipo de recurso, tamaño, y utilización para validar modelos predictivos
AWS Trusted Advisor Recurso: Recomendaciones automatizadas de optimización de costos basadas en mejores prácticas Configuración: Trusted Advisor configurado para proporcionar recomendaciones continuas de right-sizing y optimización de recursos</t>
  </si>
  <si>
    <t>1. Llevar a cabo actividades de referencia bajo diferentes cargas previstas y comparar los costos generales.
AWS Compute Optimizer Verificar que Compute Optimizer está habilitado y proporcionando recomendaciones basadas en datos históricos. El cumplimiento indica uso activo de Compute Optimizer para generar recomendaciones de right-sizing basadas en patrones de utilización reales. El incumplimiento se evidencia por selección de recursos sin considerar recomendaciones basadas en datos.
AWS Pricing Calculator Verificar que Pricing Calculator está siendo utilizado para modelar costos de diferentes configuraciones de recursos. El cumplimiento indica uso sistemático del calculator para evaluar múltiples opciones de tipos, tamaños, y números de recursos. El incumplimiento se evidencia por selección de recursos sin modelado previo de costos.
Amazon CloudWatch Verificar que CloudWatch está configurado con métricas apropiadas que reflejan experiencia del usuario. El cumplimiento indica métricas configuradas con granularidad correcta y uso de percentiles apropiados. El incumplimiento se evidencia por monitoreo que no refleja accurately la experiencia del usuario o ciclos de workload.
AWS Cost Explorer Verificar que Cost Explorer está siendo utilizado para validar modelos de costos con datos históricos. El cumplimiento indica análisis regular de costos históricos para validar y refinar modelos predictivos. El incumplimiento se evidencia por modelado sin validación con datos históricos reales.
AWS Trusted Advisor Verificar que Trusted Advisor está configurado y sus recomendaciones están siendo consideradas en el modelado. El cumplimiento indica revisión regular de recomendaciones de Trusted Advisor para informar decisiones de modelado. El incumplimiento se evidencia por falta de consideración de recomendaciones automatizadas.</t>
  </si>
  <si>
    <t xml:space="preserve"># Verificar configuración de AWS Compute Optimizer
aws compute-optimizer get-enrollment-status
aws compute-optimizer describe-recommendation-export-jobs
aws compute-optimizer get-ec2-instance-recommendations --max-results 10
# Validar recomendaciones de right-sizing
aws compute-optimizer get-ec2-instance-recommendations --query 'instanceRecommendations[].{InstanceArn:instanceArn,CurrentInstanceType:currentInstanceType,RecommendedInstanceType:recommendationOptions[0].instanceType,EstimatedMonthlySavings:recommendationOptions[0].estimatedMonthlySavings}'
# Verificar métricas de CloudWatch para modelado
aws cloudwatch list-metrics --namespace "AWS/EC2" --query 'Metrics[?MetricName==`CPUUtilization` || MetricName==`NetworkIn` || MetricName==`NetworkOut`]'
aws cloudwatch get-metric-statistics --namespace "AWS/EC2" --metric-name CPUUtilization --dimensions Name=InstanceId,Value=i-1234567890abcdef0 --start-time 2024-01-01T00:00:00Z --end-time 2024-02-01T00:00:00Z --period 3600 --statistics Maximum,Average --extended-statistics p99
# Validar análisis histórico de costos para modelado
aws ce get-cost-and-usage --time-period Start=2024-01-01,End=2024-02-01 --granularity DAILY --metrics BlendedCost UsageQuantity --group-by Type=DIMENSION,Key=INSTANCE_TYPE
aws ce get-cost-and-usage --time-period Start=2024-01-01,End=2024-02-01 --granularity MONTHLY --metrics BlendedCost --group-by Type=DIMENSION,Key=USAGE_TYPE
# Verificar documentación de modelado de costos
aws ssm describe-parameters --query 'Parameters[?contains(Name, `cost-modeling`) || contains(Name, `resource-sizing`)]'
aws ssm get-parameter --name "/cost-modeling/resource-requirements"
aws s3api list-objects-v2 --bucket cost-modeling --prefix "analysis/"
# Validar configuración de Trusted Advisor
aws support describe-trusted-advisor-checks --language en --query 'checks[?contains(name, `Cost`) || contains(name, `Utilization`)]'
aws support describe-trusted-advisor-check-result --check-id Qch7DwouX1 --language en # EC2 instances
# Verificar análisis de diferentes tipos de recursos
aws ec2 describe-instances --query 'Reservations[].Instances[].{InstanceId:InstanceId,InstanceType:InstanceType,State:State.Name}' --output table
aws rds describe-db-instances --query 'DBInstances[].{DBInstanceId:DBInstanceIdentifier,DBInstanceClass:DBInstanceClass,Engine:Engine}'
# Validar análisis de utilización por ciclos de workload
aws cloudwatch get-metric-statistics --namespace "AWS/EC2" --metric-name CPUUtilization --start-time 2024-01-01T00:00:00Z --end-time 2024-02-01T00:00:00Z --period 86400 --statistics Average,Maximum --query 'Datapoints[].{Date:Timestamp,Avg:Average,Max:Maximum}' --output table
# Verificar modelado de diferentes escenarios de carga
aws ssm get-parameter --name "/cost-modeling/load-scenarios"
aws dynamodb scan --table-name CostModeling --projection-expression "Scenario, ResourceType, EstimatedCost, ActualCost"
# Validar análisis de commitments y pricing models
aws ce get-cost-and-usage --time-period Start=2024-01-01,End=2024-02-01 --granularity MONTHLY --metrics BlendedCost --group-by Type=DIMENSION,Key=PURCHASE_TYPE
aws ec2 describe-reserved-instances --query 'ReservedInstances[].{InstanceType:InstanceType,InstanceCount:InstanceCount,State:State}'
# Verificar análisis de costos operacionales
aws ce get-cost-and-usage --time-period Start=2024-01-01,End=2024-02-01 --granularity MONTHLY --metrics BlendedCost --group-by Type=TAG,Key=OperationalCost Type=TAG,Key=LicenseCost
# Validar automatización de modelado de costos
aws lambda list-functions --query 'Functions[?contains(FunctionName, `cost-modeling`) || contains(FunctionName, `resource-optimizer`)]'
aws events list-rules --query 'Rules[?contains(Name, `cost-modeling`) || contains(Name, `resource-analysis`)]'
# Verificar análisis de granularidad temporal
aws cloudwatch get-metric-statistics --namespace "AWS/ApplicationELB" --metric-name RequestCount --start-time 2024-01-01T00:00:00Z --end-time 2024-01-07T00:00:00Z --period 3600 --statistics Sum --query 'Datapoints[].{Hour:Timestamp,Requests:Sum}' --output table
# Validar proof of concept y testing environments
aws organizations list-accounts --query 'Accounts[?contains(Name, `test`) || contains(Name, `poc`) || contains(Name, `modeling`)]'
aws resourcegroupstaggingapi get-resources --tag-filters Key=Environment,Values=Testing,POC,CostModeling
</t>
  </si>
  <si>
    <r>
      <rPr>
        <b/>
        <sz val="11"/>
        <color rgb="FF000000"/>
        <rFont val="Montserrat"/>
      </rPr>
      <t>COST06-BP02</t>
    </r>
    <r>
      <rPr>
        <sz val="11"/>
        <color rgb="FF000000"/>
        <rFont val="Montserrat"/>
      </rPr>
      <t xml:space="preserve"> Seleccione el tipo, el tamaño y el número de recursos en función de los datos</t>
    </r>
  </si>
  <si>
    <t>Seleccione el tamaño o tipo de recurso en función de los datos sobre las características de la carga de trabajo y de los recursos. Por ejemplo, computación, memoria, rendimiento o uso intensivo de escritura. Para llevar a cabo esta selección, suele utilizarse una versión anterior (en las instalaciones) de la carga de trabajo, la documentación u otras fuentes de información sobre la carga de trabajo.</t>
  </si>
  <si>
    <t>AWS Compute Optimizer, Métricas históricas.
Amazon EC2 Instance Types Recurso: Selección de familias de instancias apropiadas basada en características del workload (compute, memory, storage, network) Configuración: EC2 configurado con tipos de instancia seleccionados basados en datos de requirements del workload: General Purpose, Compute Optimized, Memory Optimized, Storage Optimized, Accelerated Computing, HPC Optimized
AWS Compute Optimizer Recurso: Recomendaciones basadas en datos históricos de utilización para right-sizing de recursos Configuración: Compute Optimizer configurado para analizar patrones de uso y proporcionar recomendaciones específicas de tipos y tamaños de instancia
Amazon CloudWatch Recurso: Métricas detalladas de utilización de recursos para informar decisiones de sizing Configuración: CloudWatch configurado con métricas que capturan CPU, memoria, red, y storage utilization para análisis de requirements reales
AWS Pricing Calculator Recurso: Análisis comparativo de costos para diferentes configuraciones de recursos Configuración: Pricing Calculator utilizado para comparar costos de diferentes tipos y tamaños de recursos basado en requirements específicos
Amazon EBS Volume Types Recurso: Selección de tipos de volúmenes de storage basada en performance requirements y patrones de acceso Configuración: EBS configurado con tipos de volumen apropiados (gp3, io2, st1, sc1) basados en IOPS, throughput, y cost requirements</t>
  </si>
  <si>
    <t>1. Revisar datos de uso (computación, memoria) o de versiones en las instalaciones para seleccionar correctamente el tipo/tamaño.
Amazon EC2 Instance Types Verificar que tipos de instancia están seleccionados basados en análisis de características del workload. El cumplimiento indica selección de familias de instancia apropiadas basada en requirements de CPU, memoria, storage, y network. El incumplimiento se evidencia por uso de tipos de instancia genéricos sin análisis de requirements específicos.
AWS Compute Optimizer Verificar que Compute Optimizer está habilitado y sus recomendaciones están siendo utilizadas para decisiones de sizing. El cumplimiento indica uso activo de recomendaciones basadas en datos históricos de utilización. El incumplimiento se evidencia por sizing de recursos sin considerar datos de utilización histórica.
Amazon CloudWatch Verificar que CloudWatch está configurado para capturar métricas relevantes para decisiones de sizing. El cumplimiento indica métricas configuradas que proporcionan datos precisos sobre utilización de recursos. El incumplimiento se evidencia por decisiones de sizing sin datos de utilización detallados.
AWS Pricing Calculator Verificar que Pricing Calculator está siendo utilizado para análisis comparativo de costos. El cumplimiento indica uso sistemático del calculator para evaluar diferentes opciones de recursos. El incumplimiento se evidencia por selección de recursos sin análisis comparativo de costos.
Amazon EBS Volume Types Verificar que tipos de volúmenes EBS están seleccionados basados en requirements de performance y costo. El cumplimiento indica selección de tipos de volumen apropiados basada en IOPS, throughput, y cost analysis. El incumplimiento se evidencia por uso de tipos de volumen por defecto sin análisis de requirements.</t>
  </si>
  <si>
    <t xml:space="preserve"># Verificar tipos de instancia seleccionados y su justificación
aws ec2 describe-instances --query 'Reservations[].Instances[].{InstanceId:InstanceId,InstanceType:InstanceType,Tags:Tags[?Key==`WorkloadType`].Value}' --output table
aws ec2 describe-instances --query 'Reservations[].Instances[?Tags[?Key==`SizingJustification`]]'
# Validar recomendaciones de Compute Optimizer
aws compute-optimizer get-ec2-instance-recommendations --query 'instanceRecommendations[].{InstanceArn:instanceArn,Current:currentInstanceType,Recommended:recommendationOptions[0].instanceType,Reason:finding}'
aws compute-optimizer get-ebs-volume-recommendations --query 'volumeRecommendations[].{VolumeArn:volumeArn,Current:currentConfiguration.volumeType,Recommended:recommendationOptions[0].configuration.volumeType}'
# Verificar métricas de CloudWatch para análisis de sizing
aws cloudwatch get-metric-statistics --namespace "AWS/EC2" --metric-name CPUUtilization --dimensions Name=InstanceId,Value=i-1234567890abcdef0 --start-time 2024-01-01T00:00:00Z --end-time 2024-02-01T00:00:00Z --period 3600 --statistics Average,Maximum
aws cloudwatch get-metric-statistics --namespace "AWS/EC2" --metric-name MemoryUtilization --dimensions Name=InstanceId,Value=i-1234567890abcdef0 --start-time 2024-01-01T00:00:00Z --end-time 2024-02-01T00:00:00Z --period 3600 --statistics Average,Maximum
# Validar documentación de requirements del workload
aws ssm describe-parameters --query 'Parameters[?contains(Name, `workload-requirements`) || contains(Name, `sizing-analysis`)]'
aws ssm get-parameter --name "/workload-requirements/compute-specifications"
aws ssm get-parameter --name "/sizing-analysis/instance-selection-criteria"
# Verificar análisis de familias de instancia por workload
aws resourcegroupstaggingapi get-resources --tag-filters Key=WorkloadType,Values=* Key=InstanceFamily,Values=*
aws ec2 describe-instances --query 'Reservations[].Instances[?Tags[?Key==`WorkloadType` &amp;&amp; Value==`ComputeIntensive`]].InstanceType' --output table
# Validar configuración de EBS basada en requirements
aws ec2 describe-volumes --query 'Volumes[].{VolumeId:VolumeId,VolumeType:VolumeType,Size:Size,Iops:Iops,Tags:Tags[?Key==`PerformanceRequirement`].Value}'
aws ec2 describe-volumes --query 'Volumes[?Tags[?Key==`SizingJustification`]]'
# Verificar análisis de network performance requirements
aws ec2 describe-instances --query 'Reservations[].Instances[].{InstanceId:InstanceId,InstanceType:InstanceType,SriovNetSupport:SriovNetSupport,EnaSupport:EnaSupport}'
aws cloudwatch get-metric-statistics --namespace "AWS/EC2" --metric-name NetworkPacketsIn --dimensions Name=InstanceId,Value=i-1234567890abcdef0 --start-time 2024-01-01T00:00:00Z --end-time 2024-02-01T00:00:00Z --period 3600 --statistics Average,Maximum
# Validar análisis de storage requirements
aws ec2 describe-instances --query 'Reservations[].Instances[].{InstanceId:InstanceId,InstanceStoragePolicy:InstanceStoragePolicy,BlockDeviceMappings:BlockDeviceMappings}'
aws ssm get-parameter --name "/storage-requirements/iops-analysis"
# Verificar análisis de memory requirements
aws cloudwatch list-metrics --namespace "CWAgent" --query 'Metrics[?MetricName==`mem_used_percent`]'
aws cloudwatch get-metric-statistics --namespace "CWAgent" --metric-name mem_used_percent --dimensions Name=InstanceId,Value=i-1234567890abcdef0 --start-time 2024-01-01T00:00:00Z --end-time 2024-02-01T00:00:00Z --period 3600 --statistics Average,Maximum
# Validar análisis de GPU requirements para workloads especializados
aws ec2 describe-instances --query 'Reservations[].Instances[?InstanceType==`p3.2xlarge` || InstanceType==`g4dn.xlarge`]'
aws ssm get-parameter --name "/workload-requirements/gpu-specifications"
# Verificar análisis de placement groups y networking
aws ec2 describe-placement-groups --query 'PlacementGroups[].{GroupName:GroupName,Strategy:Strategy,State:State}'
aws ec2 describe-instances --query 'Reservations[].Instances[?Placement.GroupName!=null]'
# Validar análisis de licensing requirements
aws ec2 describe-instances --query 'Reservations[].Instances[].{InstanceId:InstanceId,Platform:Platform,Tags:Tags[?Key==`LicenseRequirement`].Value}'
aws ssm get-parameter --name "/licensing-requirements/software-specifications"
# Verificar análisis de availability requirements
aws ec2 describe-instances --query 'Reservations[].Instances[].{InstanceId:InstanceId,Placement:Placement.AvailabilityZone,Tags:Tags[?Key==`AvailabilityRequirement`].Value}'
aws rds describe-db-instances --query 'DBInstances[].{DBInstanceId:DBInstanceIdentifier,MultiAZ:MultiAZ,AvailabilityZone:AvailabilityZone}'
# Validar documentación de decisiones de sizing
aws s3api list-objects-v2 --bucket sizing-documentation --prefix "resource-selection/"
aws dynamodb scan --table-name ResourceSizing --projection-expression "ResourceId, SelectedType, Justification, DataSource"
</t>
  </si>
  <si>
    <r>
      <rPr>
        <b/>
        <sz val="11"/>
        <color rgb="FF000000"/>
        <rFont val="Montserrat"/>
      </rPr>
      <t>COST06-BP03</t>
    </r>
    <r>
      <rPr>
        <sz val="11"/>
        <color rgb="FF000000"/>
        <rFont val="Montserrat"/>
      </rPr>
      <t xml:space="preserve"> Seleccione el tipo, el tamaño y el número de recursos automáticamente en función de las métricas</t>
    </r>
  </si>
  <si>
    <t>Use métricas de la carga de trabajo actual para seleccionar el tamaño y tipo correctos para optimizar el costo. Aprovisione de forma adecuada el rendimiento, el tamaño y el almacenamiento para los servicios de computación, almacenamiento, datos y redes. Esto puede hacerse con un bucle de retroalimentación, como el escalado automático, o mediante un código personalizado en la carga de trabajo.</t>
  </si>
  <si>
    <t>Amazon EC2 Auto Scaling.
AWS Auto Scaling Recurso: Escalado automático de recursos basado en métricas de utilización para optimización continua de costos Configuración: Auto Scaling configurado con políticas que ajustan automáticamente el número y tipo de recursos basado en métricas de CPU, memoria, y demanda de aplicación
AWS Compute Optimizer Recurso: Recomendaciones automáticas de right-sizing basadas en análisis continuo de métricas de utilización Configuración: Compute Optimizer configurado para proporcionar recomendaciones automáticas de tipos y tamaños de instancia basadas en patrones de uso históricos
Amazon S3 Intelligent-Tiering Recurso: Movimiento automático de objetos entre clases de storage basado en patrones de acceso Configuración: S3 Intelligent-Tiering configurado para mover automáticamente datos entre tiers de acceso frecuente e infrecuente basado en métricas de uso
Amazon CloudWatch Recurso: Métricas en tiempo real para triggers automáticos de cambios de recursos Configuración: CloudWatch configurado con métricas personalizadas y alarmas que triggean automáticamente cambios en tipos y tamaños de recursos
Amazon EFS Intelligent-IA Recurso: Transición automática de archivos a clases de storage de menor costo basada en patrones de acceso Configuración: EFS configurado con Intelligent-IA que mueve automáticamente archivos no accedidos a storage de menor costo</t>
  </si>
  <si>
    <t>1. Comprobar si existe un bucle de retroalimentación (como escalado automático o código personalizado) para aprovisionar rendimiento y tamaño.
AWS Auto Scaling Verificar que Auto Scaling está configurado para ajustar automáticamente recursos basado en métricas. El cumplimiento indica políticas de scaling configuradas que responden automáticamente a métricas de utilización para optimizar costos. El incumplimiento se evidencia por scaling manual o falta de automatización basada en métricas.
AWS Compute Optimizer Verificar que Compute Optimizer está habilitado y proporcionando recomendaciones automáticas implementadas. El cumplimiento indica uso de recomendaciones automáticas para right-sizing continuo basado en métricas. El incumplimiento se evidencia por recomendaciones no implementadas o falta de automatización de right-sizing.
Amazon S3 Intelligent-Tiering Verificar que S3 Intelligent-Tiering está configurado para optimización automática de costos de storage. El cumplimiento indica configuración que mueve automáticamente objetos entre tiers basado en métricas de acceso. El incumplimiento se evidencia por gestión manual de storage classes o falta de optimización automática.
Amazon CloudWatch Verificar que CloudWatch está configurado con alarmas que triggean cambios automáticos de recursos. El cumplimiento indica métricas y alarmas configuradas que automáticamente inician cambios de recursos. El incumplimiento se evidencia por monitoreo sin automatización de respuestas.
Amazon EFS Intelligent-IA Verificar que EFS Intelligent-IA está configurado para transiciones automáticas de storage. El cumplimiento indica configuración que mueve automáticamente archivos a storage de menor costo basado en métricas de acceso. El incumplimiento se evidencia por gestión manual de lifecycle de archivos.</t>
  </si>
  <si>
    <t xml:space="preserve"># Verificar configuración de AWS Auto Scaling
aws autoscaling describe-auto-scaling-groups --query 'AutoScalingGroups[].{Name:AutoScalingGroupName,MinSize:MinSize,MaxSize:MaxSize,DesiredCapacity:DesiredCapacity,HealthCheckType:HealthCheckType}'
aws autoscaling describe-policies --query 'ScalingPolicies[].{PolicyName:PolicyName,PolicyType:PolicyType,MetricType:TargetTrackingConfiguration.PredefinedMetricSpecification.PredefinedMetricType}'
# Validar métricas de CloudWatch para automatización
aws cloudwatch describe-alarms --query 'MetricAlarms[?ActionsEnabled==`true`].{AlarmName:AlarmName,MetricName:MetricName,ComparisonOperator:ComparisonOperator,AlarmActions:AlarmActions}'
aws cloudwatch list-metrics --namespace "AWS/EC2" --query 'Metrics[?MetricName==`CPUUtilization` || MetricName==`MemoryUtilization`]'
# Verificar configuración de S3 Intelligent-Tiering
aws s3api list-bucket-intelligent-tiering-configurations --bucket production-bucket
aws s3api get-bucket-intelligent-tiering-configuration --bucket production-bucket --id default-config
aws s3api list-buckets --query 'Buckets[].Name' | xargs -I {} aws s3api get-bucket-intelligent-tiering-configuration --bucket {} --id default-config 2&gt;/dev/null
# Validar configuración de EFS Intelligent-IA
aws efs describe-file-systems --query 'FileSystems[].{FileSystemId:FileSystemId,LifecyclePolicies:LifecyclePolicies}'
aws efs describe-lifecycle-configuration --file-system-id fs-1234567890abcdef0
# Verificar recomendaciones automáticas de Compute Optimizer
aws compute-optimizer get-ec2-instance-recommendations --query 'instanceRecommendations[?finding==`Underprovisioned` || finding==`Overprovisioned`]'
aws compute-optimizer get-auto-scaling-group-recommendations --query 'autoScalingGroupRecommendations[].{GroupArn:autoScalingGroupArn,Finding:finding}'
# Validar automatización de DynamoDB Auto Scaling
aws application-autoscaling describe-scalable-targets --service-namespace dynamodb --query 'ScalableTargets[].{ResourceId:ResourceId,MinCapacity:MinCapacity,MaxCapacity:MaxCapacity}'
aws application-autoscaling describe-scaling-policies --service-namespace dynamodb --query 'ScalingPolicies[].{PolicyName:PolicyName,PolicyType:PolicyType}'
# Verificar automatización de RDS storage scaling
aws rds describe-db-instances --query 'DBInstances[?StorageEncrypted==`true`].{DBInstanceId:DBInstanceIdentifier,StorageType:StorageType,AllocatedStorage:AllocatedStorage,MaxAllocatedStorage:MaxAllocatedStorage}'
# Validar configuración de Lambda concurrency scaling
aws lambda list-functions --query 'Functions[?ReservedConcurrencyExecutions!=null]'
aws lambda get-provisioned-concurrency-config --function-name production-function --qualifier LIVE 2&gt;/dev/null
# Verificar automatización de ECS/Fargate scaling
aws ecs list-services --cluster production-cluster --query 'serviceArns'
aws ecs describe-services --cluster production-cluster --services production-service --query 'services[].{ServiceName:serviceName,DesiredCount:desiredCount,RunningCount:runningCount}'
aws application-autoscaling describe-scalable-targets --service-namespace ecs --query 'ScalableTargets[].ResourceId'
# Validar métricas personalizadas para automatización
aws cloudwatch list-metrics --namespace "Custom/Application" --query 'Metrics[].{MetricName:MetricName,Dimensions:Dimensions}'
aws logs describe-metric-filters --query 'metricFilters[].{FilterName:filterName,MetricTransformations:metricTransformations}'
# Verificar automatización de spot fleet scaling
aws ec2 describe-spot-fleet-requests --query 'SpotFleetRequestConfigs[].{SpotFleetRequestId:SpotFleetRequestId,SpotFleetRequestState:SpotFleetRequestState}'
aws autoscaling describe-auto-scaling-groups --query 'AutoScalingGroups[?MixedInstancesPolicy!=null]'
# Validar automatización de storage optimization
aws s3api get-bucket-lifecycle-configuration --bucket production-bucket --query 'Rules[?Status==`Enabled`]'
aws s3api list-buckets --query 'Buckets[].Name' | xargs -I {} aws s3api get-bucket-lifecycle-configuration --bucket {} 2&gt;/dev/null
# Verificar feedback loops y custom automation
aws lambda list-functions --query 'Functions[?contains(FunctionName, `auto-scaling`) || contains(FunctionName, `resource-optimizer`)]'
aws events list-rules --query 'Rules[?contains(Name, `auto-scaling`) || contains(Name, `cost-optimization`)]'
# Validar automatización de network optimization
aws ec2 describe-nat-gateways --query 'NatGateways[].{NatGatewayId:NatGatewayId,State:State,Tags:Tags[?Key==`AutoScaling`].Value}'
aws elasticloadbalancingv2 describe-load-balancers --query 'LoadBalancers[].{LoadBalancerName:LoadBalancerName,Type:Type,Scheme:Scheme}'
</t>
  </si>
  <si>
    <r>
      <rPr>
        <b/>
        <sz val="11"/>
        <color rgb="FF000000"/>
        <rFont val="Montserrat"/>
      </rPr>
      <t xml:space="preserve">COST06-BP04 </t>
    </r>
    <r>
      <rPr>
        <sz val="11"/>
        <color rgb="FF000000"/>
        <rFont val="Montserrat"/>
      </rPr>
      <t>Considere el uso de recursos compartidos</t>
    </r>
  </si>
  <si>
    <t>En el caso de los servicios ya implementados en la organización para varias unidades de negocio, plantéese la posibilidad de usar los recursos compartidos para aumentar su uso y reducir el costo total de propiedad (TCO). El uso de recursos compartidos puede ser una opción rentable para centralizar la administración y los costos mediante el uso de las soluciones existentes, el uso compartido de componentes o ambas opciones. Administre funciones comunes, como la supervisión, las copias de seguridad y la conectividad, ya sea dentro de los límites de una cuenta o en una cuenta dedicada. También puede reducir los costos mediante la implementación de la estandarización y la reducción de la duplicación y la complejidad.</t>
  </si>
  <si>
    <t>Amazon VPC Compartidas, Transit Gateway.
AWS Resource Access Manager (RAM) Recurso: Compartición segura de recursos entre cuentas de AWS para reducir duplicación y costos operacionales Configuración: AWS RAM configurado para compartir recursos como subnets, Route 53 Resolver rules, y Transit Gateway entre múltiples cuentas de la organización
AWS Organizations Recurso: Gestión centralizada de múltiples cuentas para facilitar compartición de recursos y consolidación de costos Configuración: Organizations configurado con estructura que facilita compartición de recursos comunes y consolidación de billing para optimización de costos
Amazon VPC Shared Subnets Recurso: Subnets compartidas que permiten múltiples cuentas usar la misma infraestructura de red Configuración: VPC configurado con subnets compartidas que reducen duplicación de infraestructura de red entre cuentas y workloads
AWS Cost Categories Recurso: Categorización de costos compartidos para showback y chargeback apropiados Configuración: Cost Categories configurado para rastrear y asignar costos de recursos compartidos a las unidades de negocio apropiadas
Amazon RDS Shared Instances Recurso: Instancias de base de datos compartidas para workloads no críticos que no requieren recursos dedicados Configuración: RDS configurado con instancias compartidas para entornos de desarrollo, testing, y workloads no críticos con separación apropiada</t>
  </si>
  <si>
    <t>1. Plantear centralizar la supervisión, copias de seguridad o redes para varias unidades de negocio, reduciendo duplicación.
AWS Resource Access Manager (RAM) Verificar que AWS RAM está configurado para compartir recursos apropiados entre cuentas. El cumplimiento indica uso de RAM para compartir recursos como subnets, resolver rules, y transit gateways que reducen duplicación. El incumplimiento se evidencia por duplicación de recursos similares entre cuentas sin compartición.
AWS Organizations Verificar que Organizations está configurado para facilitar compartición de recursos y consolidación de costos. El cumplimiento indica estructura organizacional que permite compartición eficiente de recursos comunes. El incumplimiento se evidencia por cuentas aisladas sin aprovechamiento de recursos compartidos.
Amazon VPC Shared Subnets Verificar que VPC está configurado con subnets compartidas donde es apropiado. El cumplimiento indica uso de subnets compartidas que reducen duplicación de infraestructura de red. El incumplimiento se evidencia por VPCs duplicadas cuando subnets compartidas serían más eficientes.
AWS Cost Categories Verificar que Cost Categories está configurado para rastrear costos de recursos compartidos. El cumplimiento indica categorización que permite showback/chargeback apropiado de costos compartidos. El incumplimiento se evidencia por falta de visibilidad de costos de recursos compartidos.
Amazon RDS Shared Instances Verificar que RDS está configurado con instancias compartidas para workloads apropiados. El cumplimiento indica uso de instancias compartidas para entornos no críticos que no requieren recursos dedicados. El incumplimiento se evidencia por instancias dedicadas para todos los workloads sin considerar compartición.</t>
  </si>
  <si>
    <t xml:space="preserve"># Verificar configuración de AWS Resource Access Manager
aws ram get-resource-shares --resource-owner SELF --query 'resourceShares[].{Name:name,Status:status,ResourceShareArn:resourceShareArn}'
aws ram get-resource-share-associations --association-type RESOURCE --query 'resourceShareAssociations[].{ResourceArn:associatedEntity,Status:status}'
# Validar recursos compartidos activos
aws ram get-resource-shares --resource-owner OTHER-ACCOUNTS --query 'resourceShares[].{Name:name,OwningAccountId:owningAccountId,Status:status}'
aws ec2 describe-subnets --query 'Subnets[?OwnerId!=`123456789012`].{SubnetId:SubnetId,OwnerId:OwnerId,SharedWithMe:true}'
# Verificar configuración de Organizations para compartición
aws organizations describe-organization --query 'Organization.{Id:Id,MasterAccountId:MasterAccountId,FeatureSet:FeatureSet}'
aws organizations list-accounts --query 'Accounts[].{Id:Id,Name:Name,Status:Status}'
# Validar VPC y subnets compartidas
aws ec2 describe-vpcs --query 'Vpcs[?Tags[?Key==`SharedResource` &amp;&amp; Value==`true`]]'
aws ec2 describe-subnets --query 'Subnets[?Tags[?Key==`SharedResource` &amp;&amp; Value==`true`]].{SubnetId:SubnetId,VpcId:VpcId,AvailabilityZone:AvailabilityZone}'
# Verificar Transit Gateway compartido
aws ec2 describe-transit-gateways --query 'TransitGateways[].{TransitGatewayId:TransitGatewayId,OwnerId:OwnerId,State:State}'
aws ram get-resource-share-associations --association-type RESOURCE --query 'resourceShareAssociations[?contains(associatedEntity, `tgw-`)]'
# Validar Route 53 Resolver rules compartidas
aws route53resolver list-resolver-rules --query 'ResolverRules[?ShareStatus==`SHARED_WITH_ME` || ShareStatus==`SHARED_BY_ME`]'
aws ram get-resource-share-associations --association-type RESOURCE --query 'resourceShareAssociations[?contains(associatedEntity, `resolver-rule`)]'
# Verificar Cost Categories para recursos compartidos
aws ce list-cost-category-definitions --query 'CostCategoryReferences[?contains(Name, `Shared`) || contains(Name, `Common`)]'
aws ce describe-cost-category-definition --cost-category-arn arn:aws:ce::123456789012:costcategory/shared-resources
# Validar tagging de recursos compartidos
aws resourcegroupstaggingapi get-resources --tag-filters Key=SharedResource,Values=true Key=CostCenter,Values=*
aws resourcegroupstaggingapi get-resources --tag-filters Key=Chargeback,Values=* Key=SharedService,Values=*
# Verificar instancias RDS compartidas
aws rds describe-db-instances --query 'DBInstances[?Tags[?Key==`SharedResource` &amp;&amp; Value==`true`]].{DBInstanceId:DBInstanceIdentifier,DBInstanceClass:DBInstanceClass,Engine:Engine}'
aws rds describe-db-instances --query 'DBInstances[?contains(DBInstanceIdentifier, `shared`) || contains(DBInstanceIdentifier, `common`)]'
# Validar análisis de costos de recursos compartidos
aws ce get-cost-and-usage --time-period Start=2024-01-01,End=2024-02-01 --granularity MONTHLY --metrics BlendedCost --group-by Type=TAG,Key=SharedResource Type=TAG,Key=CostCenter
# Verificar documentación de recursos compartidos
aws ssm describe-parameters --query 'Parameters[?contains(Name, `shared-resources`) || contains(Name, `resource-sharing`)]'
aws ssm get-parameter --name "/shared-resources/configuration"
aws s3api list-objects-v2 --bucket shared-resources-docs --prefix "sharing-policies/"
# Validar políticas de compartición y seguridad
aws iam list-policies --query 'Policies[?contains(PolicyName, `SharedResource`) || contains(PolicyName, `ResourceSharing`)]'
aws iam get-policy --policy-arn arn:aws:iam::123456789012:policy/SharedResourceAccess
# Verificar workloads usando recursos compartidos
aws ec2 describe-instances --query 'Reservations[].Instances[?Tags[?Key==`UsesSharedResources` &amp;&amp; Value==`true`]].{InstanceId:InstanceId,SubnetId:SubnetId}'
aws lambda list-functions --query 'Functions[?Tags.UsesSharedResources==`true`]'
# Validar métricas de utilización de recursos compartidos
aws cloudwatch list-metrics --namespace "SharedResources" --query 'Metrics[].{MetricName:MetricName,Dimensions:Dimensions}'
aws cloudwatch get-metric-statistics --namespace "SharedResources" --metric-name "UtilizationRate" --start-time 2024-01-01T00:00:00Z --end-time 2024-02-01T00:00:00Z --period 86400 --statistics Average
# Verificar chargeback y showback de recursos compartidos
aws ce get-cost-and-usage --time-period Start=2024-01-01,End=2024-02-01 --granularity MONTHLY --metrics BlendedCost --group-by Type=COST_CATEGORY,Key=SharedServices
aws dynamodb scan --table-name ChargebackAllocation --projection-expression "ResourceId, BusinessUnit, AllocatedCost, SharedPercentage"
</t>
  </si>
  <si>
    <t>Recursos rentables
COST 7. ¿Cómo utiliza los modelos de precios para reducir los costos?</t>
  </si>
  <si>
    <r>
      <rPr>
        <b/>
        <sz val="11"/>
        <color rgb="FF000000"/>
        <rFont val="Montserrat"/>
      </rPr>
      <t xml:space="preserve">COST07-BP01 </t>
    </r>
    <r>
      <rPr>
        <sz val="11"/>
        <color rgb="FF000000"/>
        <rFont val="Montserrat"/>
      </rPr>
      <t>Realizar análisis del modelo de precios</t>
    </r>
  </si>
  <si>
    <t>Analice cada componente de la carga de trabajo. Determine si el componente y los recursos se ejecutarán durante periodos extensos (por descuentos por compromiso) o periodos dinámicos y de corta ejecución (para spot o bajo demanda). Haga un análisis de la carga de trabajo mediante las recomendaciones de las herramientas de administración de costos y aplique las reglas empresariales a dichas recomendaciones para conseguir un alto rendimiento.</t>
  </si>
  <si>
    <t>Cost Explorer (Recomendaciones).
AWS Cost Explorer Recurso: Análisis de patrones de uso y recomendaciones de Savings Plans y Reserved Instances Configuración: Cost Explorer configurado para analizar elasticidad del workload con granularidad horaria, identificar patrones de uso regulares, y proporcionar recomendaciones de commitment discounts
AWS Savings Plans Recurso: Compromisos de uso consistente para EC2, Lambda, y Fargate con descuentos significativos Configuración: Savings Plans configurado basado en análisis de uso histórico para recursos de producción, calidad, y desarrollo con compromisos de 1 o 3 años
Amazon EC2 Spot Instances Recurso: Capacidad de cómputo spare con descuentos de hasta 90% para workloads flexibles Configuración: Spot Instances configurado para workloads que pueden tolerar interrupciones, incluyendo servidores web stateless, big data, analytics, y CI/CD
Amazon EC2 Reserved Instances Recurso: Instancias reservadas con descuentos de hasta 75% mediante prepago de capacidad Configuración: Reserved Instances configurado para workloads con patrones de uso predecibles y estables a largo plazo
AWS Enterprise Agreements Recurso: Acuerdos empresariales personalizados que proporcionan descuentos contractuales Configuración: Enterprise Agreements configurado para aprovechar descuentos contractuales pre-existentes y términos personalizados basados en volumen de uso</t>
  </si>
  <si>
    <t>1. Determinar si los recursos se ejecutan por periodos extensos o cortos para aplicar reglas empresariales de descuento.
AWS Cost Explorer Verificar que Cost Explorer está configurado para análisis de elasticidad del workload y recomendaciones de pricing models. El cumplimiento indica uso regular de Cost Explorer para analizar patrones horarios de uso y generar recomendaciones de Savings Plans/Reserved Instances. El incumplimiento se evidencia por falta de análisis de elasticidad o no seguimiento de recomendaciones.
AWS Savings Plans Verificar que Savings Plans están implementados basados en análisis de patrones de uso para recursos apropiados. El cumplimiento indica Savings Plans activos para recursos de producción con uso consistente y análisis de commitment discount apropiado. El incumplimiento se evidencia por recursos elegibles ejecutándose en On-Demand sin Savings Plans.
Amazon EC2 Spot Instances Verificar que Spot Instances están siendo utilizadas para workloads apropiados que pueden tolerar interrupciones. El cumplimiento indica uso de Spot Instances para workloads flexibles como batch processing, CI/CD, y analytics. El incumplimiento se evidencia por uso exclusivo de On-Demand para workloads que podrían beneficiarse de Spot.
Amazon EC2 Reserved Instances Verificar que Reserved Instances están implementadas para workloads con patrones de uso predecibles. El cumplimiento indica Reserved Instances activas para recursos con uso estable y predecible a largo plazo. El incumplimiento se evidencia por recursos con uso consistente ejecutándose en On-Demand.
AWS Enterprise Agreements Verificar que Enterprise Agreements están siendo aprovechados para descuentos contractuales cuando están disponibles. El cumplimiento indica uso de descuentos contractuales pre-existentes y términos negociados. El incumplimiento se evidencia por no aprovechar acuerdos empresariales disponibles.</t>
  </si>
  <si>
    <t xml:space="preserve"># Verificar recomendaciones de Savings Plans en Cost Explorer
aws ce get-savings-plans-purchase-recommendation --lookback-period-in-days 60 --term-in-years ONE_YEAR --payment-option NO_UPFRONT --service-specification EC2
aws ce get-savings-plans-purchase-recommendation --lookback-period-in-days 60 --term-in-years THREE_YEARS --payment-option PARTIAL_UPFRONT --service-specification EC2
# Validar Savings Plans activos
aws savingsplans describe-savings-plans --query 'savingsPlans[].{SavingsPlanId:savingsPlanId,SavingsPlanType:savingsPlanType,State:state,Commitment:commitment,UpfrontPaymentAmount:upfrontPaymentAmount}'
aws savingsplans describe-savings-plans-offering-rates --savings-plan-offering-ids sp-offering-12345678 --query 'searchResults[].{Rate:rate,Unit:unit,ProductType:productType}'
# Verificar utilización de Savings Plans
aws ce get-savings-plans-utilization --time-period Start=2024-01-01,End=2024-02-01 --query 'SavingsPlansUtilizationsByTime[].{TimePeriod:TimePeriod,Utilization:Utilization}'
aws ce get-savings-plans-coverage --time-period Start=2024-01-01,End=2024-02-01 --query 'SavingsPlansCoverages[].{TimePeriod:TimePeriod,Coverage:Coverage}'
# Validar Reserved Instances
aws ec2 describe-reserved-instances --query 'ReservedInstances[].{ReservedInstancesId:ReservedInstancesId,InstanceType:InstanceType,State:State,InstanceCount:InstanceCount,End:End}'
aws ce get-reserved-instance-coverage --time-period Start=2024-01-01,End=2024-02-01 --query 'CoveragesByTime[].{TimePeriod:TimePeriod,Coverage:Coverage}'
# Verificar recomendaciones de Reserved Instances
aws ce get-reservation-purchase-recommendation --service EC2-Instance --lookback-period-in-days 60 --term-in-years ONE_YEAR --payment-option NO_UPFRONT
aws ce get-reservation-utilization --time-period Start=2024-01-01,End=2024-02-01 --query 'UtilizationsByTime[].{TimePeriod:TimePeriod,Utilization:Utilization}'
# Validar uso de Spot Instances
aws ec2 describe-spot-instance-requests --query 'SpotInstanceRequests[].{SpotInstanceRequestId:SpotInstanceRequestId,State:State,InstanceId:InstanceId,SpotPrice:SpotPrice}'
aws ec2 describe-instances --query 'Reservations[].Instances[?InstanceLifecycle==`spot`].{InstanceId:InstanceId,InstanceType:InstanceType,SpotInstanceRequestId:SpotInstanceRequestId}'
# Verificar análisis de elasticidad del workload
aws ce get-cost-and-usage --time-period Start=2024-01-01,End=2024-02-01 --granularity HOURLY --metrics UsageQuantity --group-by Type=DIMENSION,Key=INSTANCE_TYPE --filter '{"Dimensions":{"Key":"SERVICE","Values":["Amazon Elastic Compute Cloud - Compute"]}}'
# Validar análisis de patrones de uso
aws cloudwatch get-metric-statistics --namespace "AWS/EC2" --metric-name CPUUtilization --start-time 2024-01-01T00:00:00Z --end-time 2024-02-01T00:00:00Z --period 3600 --statistics Average --query 'Datapoints[].{Timestamp:Timestamp,Value:Average}' --output table
# Verificar documentación de análisis de pricing models
aws ssm describe-parameters --query 'Parameters[?contains(Name, `pricing-analysis`) || contains(Name, `commitment-analysis`)]'
aws ssm get-parameter --name "/pricing-analysis/workload-elasticity"
aws s3api list-objects-v2 --bucket pricing-analysis --prefix "commitment-discounts/"
# Validar análisis de contratos existentes
aws ssm get-parameter --name "/enterprise-agreements/current-contracts"
aws dynamodb scan --table-name PricingContracts --projection-expression "ContractId, Vendor, DiscountRate, ExpirationDate"
# Verificar análisis de purchase options por workload
aws resourcegroupstaggingapi get-resources --tag-filters Key=PricingModel,Values=* Key=WorkloadType,Values=*
aws ce get-cost-and-usage --time-period Start=2024-01-01,End=2024-02-01 --granularity MONTHLY --metrics BlendedCost --group-by Type=DIMENSION,Key=PURCHASE_TYPE
# Validar análisis de Spot Fleet y Auto Scaling
aws ec2 describe-spot-fleet-requests --query 'SpotFleetRequestConfigs[].{SpotFleetRequestId:SpotFleetRequestId,SpotFleetRequestState:SpotFleetRequestState,TargetCapacity:TargetCapacity}'
aws autoscaling describe-auto-scaling-groups --query 'AutoScalingGroups[?MixedInstancesPolicy!=null].{AutoScalingGroupName:AutoScalingGroupName,MixedInstancesPolicy:MixedInstancesPolicy}'
# Verificar análisis de commitment discount ROI
aws ce get-cost-and-usage --time-period Start=2024-01-01,End=2024-02-01 --granularity MONTHLY --metrics NetUnblendedCost --group-by Type=TAG,Key=CommitmentType
aws dynamodb scan --table-name CommitmentAnalysis --projection-expression "ResourceType, CommitmentType, EstimatedSavings, ActualSavings, ROI"
# Validar análisis de capacity reservations
aws ec2 describe-capacity-reservations --query 'CapacityReservations[].{CapacityReservationId:CapacityReservationId,State:State,InstanceType:InstanceType,InstancePlatform:InstancePlatform}'
aws ce get-cost-and-usage --time-period Start=2024-01-01,End=2024-02-01 --granularity MONTHLY --metrics BlendedCost --filter '{"Dimensions":{"Key":"USAGE_TYPE","Values":["*Reservation*"]}}'
</t>
  </si>
  <si>
    <r>
      <rPr>
        <b/>
        <sz val="11"/>
        <color rgb="FF000000"/>
        <rFont val="Montserrat"/>
      </rPr>
      <t xml:space="preserve">COST07-BP02 </t>
    </r>
    <r>
      <rPr>
        <sz val="11"/>
        <color rgb="FF000000"/>
        <rFont val="Montserrat"/>
      </rPr>
      <t>Elija regiones en función del costo</t>
    </r>
  </si>
  <si>
    <t>Los precios de los recursos pueden variar según la región. Identifique las diferencias regionales de costos y efectúe la implementación solo en las regiones con costos más elevados para cumplir los requisitos de latencia, residencia de datos y soberanía de los datos. Si tiene en cuenta el costo de la región, podrá pagar el precio global más bajo por esta carga de trabajo.</t>
  </si>
  <si>
    <t>AWS Pricing Calculator.
AWS Pricing Calculator Recurso: Comparación de costos de recursos entre diferentes regiones de AWS para identificar oportunidades de ahorro Configuración: Pricing Calculator configurado para analizar costos de workloads en múltiples regiones y calcular diferencias de precios por servicio y tipo de uso
Amazon CloudFront Recurso: Red de distribución de contenido global para reducir costos de transferencia de datos y mejorar latencia Configuración: CloudFront configurado para servir contenido desde ubicaciones edge cercanas a usuarios, reduciendo costos de transferencia de datos entre regiones
AWS Direct Connect Recurso: Conexión de red dedicada para reducir costos de transferencia de datos y mejorar performance Configuración: Direct Connect configurado para establecer conexiones dedicadas que reducen costos de transferencia de datos hacia/desde AWS
AWS PrivateLink Recurso: Conectividad privada entre VPCs y servicios para reducir costos de transferencia de datos Configuración: PrivateLink configurado para mantener tráfico dentro de la red de AWS, evitando costos de transferencia de datos hacia internet
Multi-Region Deployment Analysis Recurso: Análisis de requirements de negocio para determinar necesidad de despliegues multi-región Configuración: Análisis configurado para evaluar requirements de latencia, residencia de datos, y soberanía de datos versus costos regionales</t>
  </si>
  <si>
    <t>1. Identificar diferencias regionales de precios e implementar en regiones costosas solo si hay requisitos de latencia o residencia de datos.
AWS Pricing Calculator Verificar que Pricing Calculator está siendo utilizado para comparar costos entre regiones. El cumplimiento indica análisis sistemático de costos por servicio y tipo de uso en diferentes regiones para identificar oportunidades de ahorro. El incumplimiento se evidencia por despliegue en regiones sin análisis comparativo de costos.
Amazon CloudFront Verificar que CloudFront está configurado para optimizar costos de transferencia de datos globalmente. El cumplimiento indica uso de CloudFront para reducir costos de transferencia de datos y mejorar performance global. El incumplimiento se evidencia por transferencia directa de datos entre regiones sin CDN.
AWS Direct Connect Verificar que Direct Connect está configurado donde es costo-efectivo para transferencia de datos. El cumplimiento indica uso de Direct Connect para reducir costos de transferencia de datos de alto volumen. El incumplimiento se evidencia por transferencia de datos de alto volumen a través de internet sin considerar Direct Connect.
AWS PrivateLink Verificar que PrivateLink está configurado para mantener tráfico dentro de la red de AWS. El cumplimiento indica uso de PrivateLink para evitar costos de transferencia de datos hacia internet. El incumplimiento se evidencia por tráfico entre servicios que sale a internet innecesariamente.
Multi-Region Deployment Analysis Verificar que se ha realizado análisis de requirements para despliegues multi-región. El cumplimiento indica análisis documentado de requirements de latencia, residencia de datos, y soberanía versus costos regionales. El incumplimiento se evidencia por despliegues multi-región sin justificación de requirements versus costos.</t>
  </si>
  <si>
    <t xml:space="preserve"># Verificar análisis de costos por región
aws ce get-cost-and-usage --time-period Start=2024-01-01,End=2024-02-01 --granularity MONTHLY --metrics BlendedCost --group-by Type=DIMENSION,Key=REGION
aws ce get-cost-and-usage --time-period Start=2024-01-01,End=2024-02-01 --granularity MONTHLY --metrics BlendedCost --group-by Type=DIMENSION,Key=SERVICE Type=DIMENSION,Key=REGION
# Validar recursos desplegados por región
aws ec2 describe-regions --query 'Regions[].{RegionName:RegionName,Endpoint:Endpoint}'
aws ec2 describe-instances --query 'Reservations[].Instances[].{InstanceId:InstanceId,InstanceType:InstanceType,Placement:Placement.AvailabilityZone}' --region us-east-1
aws ec2 describe-instances --query 'Reservations[].Instances[].{InstanceId:InstanceId,InstanceType:InstanceType,Placement:Placement.AvailabilityZone}' --region eu-west-1
# Verificar configuración de CloudFront
aws cloudfront list-distributions --query 'DistributionList.Items[].{Id:Id,DomainName:DomainName,Status:Status,Origins:Origins[0].DomainName}'
aws ce get-cost-and-usage --time-period Start=2024-01-01,End=2024-02-01 --granularity MONTHLY --metrics BlendedCost --filter '{"Dimensions":{"Key":"SERVICE","Values":["Amazon CloudFront"]}}'
# Validar configuración de Direct Connect
aws directconnect describe-connections --query 'connections[].{connectionId:connectionId,connectionState:connectionState,location:location,bandwidth:bandwidth}'
aws ce get-cost-and-usage --time-period Start=2024-01-01,End=2024-02-01 --granularity MONTHLY --metrics BlendedCost --filter '{"Dimensions":{"Key":"SERVICE","Values":["AWS Direct Connect"]}}'
# Verificar configuración de PrivateLink
aws ec2 describe-vpc-endpoints --query 'VpcEndpoints[].{VpcEndpointId:VpcEndpointId,ServiceName:ServiceName,State:State,VpcId:VpcId}'
aws ce get-cost-and-usage --time-period Start=2024-01-01,End=2024-02-01 --granularity MONTHLY --metrics BlendedCost --filter '{"Dimensions":{"Key":"USAGE_TYPE","Values":["*VpcEndpoint*"]}}'
# Validar análisis de transferencia de datos entre regiones
aws ce get-cost-and-usage --time-period Start=2024-01-01,End=2024-02-01 --granularity MONTHLY --metrics BlendedCost --filter '{"Dimensions":{"Key":"USAGE_TYPE","Values":["*DataTransfer-Regional*","*DataTransfer-Out*"]}}'
# Verificar documentación de análisis regional
aws ssm describe-parameters --query 'Parameters[?contains(Name, `region-analysis`) || contains(Name, `regional-costs`)]'
aws ssm get-parameter --name "/region-analysis/cost-comparison"
aws s3api list-objects-v2 --bucket regional-analysis --prefix "cost-comparisons/"
# Validar requirements de residencia de datos
aws ssm get-parameter --name "/compliance/data-residency-requirements"
aws resourcegroupstaggingapi get-resources --tag-filters Key=DataResidency,Values=* Key=DataSovereignty,Values=*
# Verificar análisis de latencia por región
aws ssm get-parameter --name "/performance/latency-requirements"
aws cloudwatch list-metrics --namespace "AWS/ApplicationELB" --query 'Metrics[?MetricName==`TargetResponseTime`]'
# Validar análisis de workloads por criticidad y región
aws resourcegroupstaggingapi get-resources --tag-filters Key=Criticality,Values=* Key=Region,Values=*
aws ec2 describe-instances --query 'Reservations[].Instances[?Tags[?Key==`Criticality` &amp;&amp; Value==`NonCritical`]].{InstanceId:InstanceId,Placement:Placement.AvailabilityZone}'
# Verificar análisis de migración de workloads
aws ssm get-parameter --name "/migration/regional-migration-analysis"
aws dynamodb scan --table-name RegionalMigration --projection-expression "WorkloadId, CurrentRegion, TargetRegion, EstimatedSavings, MigrationCost"
# Validar análisis de servicios disponibles por región
aws ssm get-parameter --name "/services/regional-availability"
aws ec2 describe-availability-zones --query 'AvailabilityZones[].{ZoneName:ZoneName,State:State,RegionName:RegionName}'
# Verificar análisis de compliance y regulaciones por región
aws ssm get-parameter --name "/compliance/regional-requirements"
aws resourcegroupstaggingapi get-resources --tag-filters Key=ComplianceRequirement,Values=* Key=RegionalCompliance,Values=*
# Validar métricas de performance por región
aws cloudwatch get-metric-statistics --namespace "AWS/ApplicationELB" --metric-name TargetResponseTime --start-time 2024-01-01T00:00:00Z --end-time 2024-02-01T00:00:00Z --period 3600 --statistics Average --region us-east-1
aws cloudwatch get-metric-statistics --namespace "AWS/ApplicationELB" --metric-name TargetResponseTime --start-time 2024-01-01T00:00:00Z --end-time 2024-02-01T00:00:00Z --period 3600 --statistics Average --region eu-west-1
# Verificar análisis de disaster recovery por región
aws ssm get-parameter --name "/disaster-recovery/regional-strategy"
aws backup list-backup-plans --query 'BackupPlansList[].{BackupPlanId:BackupPlanId,BackupPlanName:BackupPlanName}'
</t>
  </si>
  <si>
    <r>
      <rPr>
        <b/>
        <sz val="11"/>
        <color rgb="FF000000"/>
        <rFont val="Montserrat"/>
      </rPr>
      <t xml:space="preserve">COST07-BP03 </t>
    </r>
    <r>
      <rPr>
        <sz val="11"/>
        <color rgb="FF000000"/>
        <rFont val="Montserrat"/>
      </rPr>
      <t>Seleccionar acuerdos con terceros con términos rentables</t>
    </r>
  </si>
  <si>
    <t>Los acuerdos y condiciones rentables garantizan que el costo de estos servicios vaya a la par de los beneficios que proporcionan. Seleccione acuerdos y precios que se escalen cuando proporcionen beneficios adicionales a la organización.</t>
  </si>
  <si>
    <t>AWS Marketplace.
Third-Party Cost Management Tools Recurso: Herramientas de gestión de costos de terceros con modelos de precios que escalan con los beneficios proporcionados Configuración: Herramientas configuradas con modelos de precios basados en valor, como porcentaje de ahorros realizados en lugar de porcentaje del gasto total
AWS Marketplace Solutions Recurso: Soluciones de AWS Marketplace con términos de licenciamiento y precios optimizados Configuración: Marketplace solutions configuradas con modelos de precios que incluyen programas de optimización de costos y características que impulsan eficiencia
Managed Services Agreements Recurso: Acuerdos de servicios administrados que proporcionan valor adicional más allá de la gestión básica de recursos Configuración: Managed services configurados con términos que incluyen optimización proactiva de costos y no solo gestión de recursos
Software Licensing Agreements Recurso: Acuerdos de licenciamiento de software que escalan apropiadamente con el uso y proporcionan flexibilidad Configuración: Software licensing configurado con términos que permiten escalado eficiente y no penalizan por crecimiento o cambios en patrones de uso
Professional Services Contracts Recurso: Contratos de servicios profesionales que proporcionan valor medible y resultados específicos Configuración: Professional services configurados con términos basados en resultados y entregables específicos en lugar de tiempo y materiales únicamente</t>
  </si>
  <si>
    <t>1. Revisar que los acuerdos se escalen y proporcionen precios acordes a los beneficios que aportan a la organización.
Third-Party Cost Management Tools Verificar que herramientas de terceros tienen modelos de precios que escalan con beneficios proporcionados. El cumplimiento indica herramientas con precios basados en ahorros realizados o valor agregado específico. El incumplimiento se evidencia por herramientas que cobran porcentaje del gasto total sin proporcionar beneficios correspondientes.
AWS Marketplace Solutions Verificar que soluciones de Marketplace incluyen características de optimización de costos en sus términos. El cumplimiento indica soluciones que proporcionan programas de optimización y características que impulsan eficiencia. El incumplimiento se evidencia por soluciones que cobran sin proporcionar optimización proactiva.
Managed Services Agreements Verificar que acuerdos de servicios administrados proporcionan valor más allá de gestión básica. El cumplimiento indica servicios que incluyen optimización proactiva de costos y mejoras de eficiencia. El incumplimiento se evidencia por servicios que solo gestionan recursos sin optimización adicional.
Software Licensing Agreements Verificar que acuerdos de licenciamiento permiten escalado eficiente y flexibilidad. El cumplimiento indica términos que escalan apropiadamente con uso y permiten cambios en patrones de uso. El incumplimiento se evidencia por términos rígidos que penalizan crecimiento o cambios.
Professional Services Contracts Verificar que contratos de servicios profesionales están basados en resultados y valor entregado. El cumplimiento indica c</t>
  </si>
  <si>
    <t xml:space="preserve"># Verificar análisis de acuerdos de terceros documentados
aws ssm describe-parameters --query 'Parameters[?contains(Name, `third-party-agreements`) || contains(Name, `vendor-contracts`)]'
aws ssm get-parameter --name "/third-party-agreements/cost-analysis"
aws s3api list-objects-v2 --bucket vendor-agreements --prefix "cost-analysis/"
# Validar análisis de herramientas de gestión de costos
aws ssm get-parameter --name "/cost-management-tools/pricing-analysis"
aws dynamodb scan --table-name VendorAnalysis --projection-expression "VendorName, PricingModel, CostEfficiency, ValueProvided"
# Verificar análisis de AWS Marketplace subscriptions
aws marketplace-catalog list-entities --catalog AWSMarketplace --entity-type SaaSProduct --query 'EntitySummaryList[].{EntityId:EntityId,EntityType:EntityType,Name:Name}'
aws ce get-cost-and-usage --time-period Start=2024-01-01,End=2024-02-01 --granularity MONTHLY --metrics BlendedCost --filter '{"Dimensions":{"Key":"SERVICE","Values":["AWS Marketplace"]}}'
# Validar análisis de managed services costs
aws ce get-cost-and-usage --time-period Start=2024-01-01,End=2024-02-01 --granularity MONTHLY --metrics BlendedCost --group-by Type=TAG,Key=ManagedService Type=TAG,Key=ServiceProvider
# Verificar análisis de software licensing costs
aws ce get-cost-and-usage --time-period Start=2024-01-01,End=2024-02-01 --granularity MONTHLY --metrics BlendedCost --group-by Type=TAG,Key=SoftwareLicense Type=TAG,Key=LicenseType
aws resourcegroupstaggingapi get-resources --tag-filters Key=LicenseModel,Values=* Key=LicenseCost,Values=*
# Validar modelado de diferentes niveles de uso
aws ssm get-parameter --name "/vendor-analysis/usage-modeling"
aws dynamodb scan --table-name UsageModeling --projection-expression "VendorService, UsageLevel, EstimatedCost, ValueReceived"
# Verificar análisis de ROI de servicios de terceros
aws ssm get-parameter --name "/vendor-analysis/roi-analysis"
aws dynamodb scan --table-name VendorROI --projection-expression "ServiceName, Investment, Savings, ROI, TimeToValue"
# Validar análisis de términos contractuales
aws ssm get-parameter --name "/contracts/terms-analysis"
aws s3api list-objects-v2 --bucket contract-analysis --prefix "terms-review/"
# Verificar análisis de escalabilidad de precios
aws ssm get-parameter --name "/pricing-analysis/scalability-review"
aws dynamodb scan --table-name PricingScalability --projection-expression "Service, CurrentCost, ProjectedCost, ScalingEfficiency"
# Validar análisis de características de optimización
aws ssm get-parameter --name "/vendor-features/optimization-capabilities"
aws dynamodb scan --table-name VendorFeatures --projection-expression "VendorName, OptimizationFeatures, CostSavingsCapability"
# Verificar análisis de alternativas y competencia
aws ssm get-parameter --name "/vendor-analysis/competitive-analysis"
aws s3api list-objects-v2 --bucket vendor-comparison --prefix "competitive-analysis/"
# Validar métricas de performance de servicios de terceros
aws cloudwatch list-metrics --namespace "ThirdPartyServices" --query 'Metrics[].{MetricName:MetricName,Dimensions:Dimensions}'
aws cloudwatch get-metric-statistics --namespace "ThirdPartyServices" --metric-name "CostEfficiency" --start-time 2024-01-01T00:00:00Z --end-time 2024-02-01T00:00:00Z --period 86400 --statistics Average
# Verificar análisis de nuevos servicios y crecimiento
aws ssm get-parameter --name "/growth-analysis/service-expansion-costs"
aws dynamodb scan --table-name GrowthImpact --projection-expression "Service, CurrentUsage, ProjectedGrowth, CostImpact"
# Validar análisis de beneficios vs costos
aws ssm get-parameter --name "/cost-benefit-analysis/third-party-services"
aws dynamodb scan --table-name CostBenefitAnalysis --projection-expression "ServiceName, TotalCost, QuantifiedBenefits, NetValue"
# Verificar documentación de decisiones de renovación
aws ssm get-parameter --name "/contract-renewals/decision-criteria"
aws s3api list-objects-v2 --bucket contract-renewals --prefix "decision-analysis/"
# Validar análisis de términos de salida y flexibilidad
aws ssm get-parameter --name "/contracts/exit-terms-analysis"
aws dynamodb scan --table-name ContractFlexibility --projection-expression "VendorName, ExitTerms, FlexibilityScore, RiskAssessment"
</t>
  </si>
  <si>
    <r>
      <rPr>
        <b/>
        <sz val="11"/>
        <color rgb="FF000000"/>
        <rFont val="Montserrat"/>
      </rPr>
      <t xml:space="preserve">COST07-BP04 </t>
    </r>
    <r>
      <rPr>
        <sz val="11"/>
        <color rgb="FF000000"/>
        <rFont val="Montserrat"/>
      </rPr>
      <t>Implementar modelos de precios para todos los componentes de esta carga de trabajo</t>
    </r>
  </si>
  <si>
    <t>Al ejecutar recursos de forma permanente se debe utilizar la capacidad reservada como los Savings Plans o las instancias reservadas. La capacidad a corto plazo se configura con instancias o una flota de spot. Las instancias bajo demanda solo se usan para cargas de trabajo a corto plazo que no se pueden interrumpir y que no se ejecutan lo suficiente como para tener capacidad reservada, es decir, de un 25 a un 75 % del periodo, según el tipo de recurso.</t>
  </si>
  <si>
    <t>Savings Plans, Instancias Spot, Bajo Demanda.
AWS Savings Plans Recurso: Compromisos de uso para EC2, Lambda, y Fargate que proporcionan descuentos significativos para recursos permanentes Configuración: Savings Plans configurado para cubrir recursos de producción permanentes con compromisos de 1 o 3 años basados en análisis de uso histórico
Amazon EC2 Reserved Instances Recurso: Instancias reservadas para workloads con patrones de uso predecibles y estables Configuración: Reserved Instances configurado para instancias EC2, RDS, y otros servicios elegibles con uso consistente a largo plazo
Amazon EC2 Spot Instances Recurso: Capacidad de cómputo spare para workloads tolerantes a interrupciones con descuentos de hasta 90% Configuración: Spot Instances configurado para workloads de corta duración, batch processing, y aplicaciones fault-tolerant
Amazon RDS Reserved Instances Recurso: Instancias de base de datos reservadas para workloads de base de datos con uso predecible Configuración: RDS Reserved Instances configurado para bases de datos de producción con patrones de uso estables
Amazon S3 Storage Classes Recurso: Clases de almacenamiento optimizadas para diferentes patrones de acceso y requirements de costo Configuración: S3 configurado con clases de storage apropiadas (Standard, IA, Glacier, Deep Archive) basadas en patrones de acceso</t>
  </si>
  <si>
    <t>1. Validar que recursos permanentes usen Savings Plans o Reservas. 2. Revisar que la capacidad a corto plazo use flotas Spot y Bajo demanda solo para cargas no interrumpibles (25-75% del tiempo).
AWS Savings Plans Verificar que Savings Plans están implementados para todos los recursos elegibles permanentes. El cumplimiento indica cobertura de Savings Plans para recursos de producción con uso consistente y análisis regular de recomendaciones. El incumplimiento se evidencia por recursos permanentes ejecutándose en On-Demand sin Savings Plans.
Amazon EC2 Reserved Instances Verificar que Reserved Instances están implementadas para instancias con uso predecible. El cumplimiento indica Reserved Instances activas para workloads estables con análisis de utilización regular. El incumplimiento se evidencia por instancias con uso consistente sin Reserved Instances.
Amazon EC2 Spot Instances Verificar que Spot Instances están siendo utilizadas para workloads apropiados tolerantes a interrupciones. El cumplimiento indica uso de Spot para batch jobs, CI/CD, y workloads fault-tolerant. El incumplimiento se evidencia por uso exclusivo de On-Demand para workloads que podrían usar Spot.
Amazon RDS Reserved Instances Verificar que RDS Reserved Instances están implementadas para bases de datos con uso predecible. El cumplimiento indica Reserved Instances para bases de datos de producción con patrones estables. El incumplimiento se evidencia por bases de datos críticas ejecutándose en On-Demand.
Amazon S3 Storage Classes Verificar que S3 está configurado con clases de storage apropiadas para diferentes patrones de acceso. El cumplimiento indica uso de múltiples storage classes basado en análisis de patrones de acceso. El incumplimiento se evidencia por uso exclusivo de Standard storage sin optimización.</t>
  </si>
  <si>
    <t xml:space="preserve"># Verificar cobertura de Savings Plans por componente del workload
aws savingsplans describe-savings-plans --query 'savingsPlans[].{SavingsPlanId:savingsPlanId,SavingsPlanType:savingsPlanType,State:state,Commitment:commitment}'
aws ce get-savings-plans-coverage --time-period Start=2024-01-01,End=2024-02-01 --query 'SavingsPlansCoverages[].{TimePeriod:TimePeriod,Coverage:Coverage}'
# Validar utilización de Savings Plans
aws ce get-savings-plans-utilization --time-period Start=2024-01-01,End=2024-02-01 --query 'SavingsPlansUtilizationsByTime[].{TimePeriod:TimePeriod,Utilization:Utilization}'
aws ce get-savings-plans-utilization-details --time-period Start=2024-01-01,End=2024-02-01 --query 'SavingsPlansUtilizationDetails[].{SavingsPlanArn:SavingsPlanArn,Utilization:Utilization}'
# Verificar Reserved Instances por servicio
aws ec2 describe-reserved-instances --query 'ReservedInstances[].{ReservedInstancesId:ReservedInstancesId,InstanceType:InstanceType,State:State,InstanceCount:InstanceCount}'
aws rds describe-reserved-db-instances --query 'ReservedDBInstances[].{ReservedDBInstanceId:ReservedDBInstanceId,DBInstanceClass:DBInstanceClass,State:State}'
# Validar cobertura de Reserved Instances
aws ce get-reserved-instance-coverage --time-period Start=2024-01-01,End=2024-02-01 --query 'CoveragesByTime[].{TimePeriod:TimePeriod,Coverage:Coverage}'
aws ce get-reservation-utilization --time-period Start=2024-01-01,End=2024-02-01 --query 'UtilizationsByTime[].{TimePeriod:TimePeriod,Utilization:Utilization}'
# Verificar uso de Spot Instances por workload
aws ec2 describe-spot-instance-requests --query 'SpotInstanceRequests[].{SpotInstanceRequestId:SpotInstanceRequestId,State:State,InstanceId:InstanceId,Tags:Tags}'
aws ec2 describe-instances --query 'Reservations[].Instances[?InstanceLifecycle==`spot`].{InstanceId:InstanceId,InstanceType:InstanceType,Tags:Tags[?Key==`Workload`].Value}'
# Validar análisis de componentes del workload
aws resourcegroupstaggingapi get-resources --tag-filters Key=Workload,Values=* Key=PricingModel,Values=*
aws resourcegroupstaggingapi get-resources --tag-filters Key=Component,Values=* Key=CommitmentEligible,Values=*
# Verificar S3 storage classes por workload
aws s3api list-buckets --query 'Buckets[].Name' | xargs -I {} aws s3api get-bucket-lifecycle-configuration --bucket {} 2&gt;/dev/null
aws s3api list-buckets --query 'Buckets[].Name' | xargs -I {} aws s3api get-bucket-intelligent-tiering-configuration --bucket {} --id default 2&gt;/dev/null
# Validar análisis de requirements de disponibilidad
aws ssm describe-parameters --query 'Parameters[?contains(Name, `availability-requirements`) || contains(Name, `workload-components`)]'
aws ssm get-parameter --name "/workload-components/availability-analysis"
# Verificar análisis de pricing model por componente
aws ssm get-parameter --name "/pricing-models/component-analysis"
aws dynamodb scan --table-name WorkloadComponents --projection-expression "ComponentName, PricingModel, CostOptimization, Justification"
# Validar ciclo de revisión de pricing models
aws ssm get-parameter --name "/pricing-models/review-schedule"
aws events list-rules --query 'Rules[?contains(Name, `pricing-review`) || contains(Name, `commitment-analysis`)]'
# Verificar análisis de cambios en recursos
aws ssm get-parameter --name "/workload-analysis/resource-changes"
aws cloudtrail lookup-events --lookup-attributes AttributeKey=EventName,AttributeValue=RunInstances --start-time 2024-01-01 --end-time 2024-02-01 --query 'Events[].{EventTime:EventTime,EventName:EventName,Username:Username}'
# Validar análisis de múltiples recursos independientes
aws ssm get-parameter --name "/workload-architecture/redundancy-analysis"
aws resourcegroupstaggingapi get-resources --tag-filters Key=Redundancy,Values=* Key=IndependentResource,Values=*
# Verificar comparación de costos por modelo de precios
aws ce get-cost-and-usage --time-period Start=2024-01-01,End=2024-02-01 --granularity MONTHLY --metrics BlendedCost --group-by Type=DIMENSION,Key=PURCHASE_TYPE
aws ce get-cost-and-usage --time-period Start=2024-01-01,End=2024-02-01 --granularity MONTHLY --metrics BlendedCost --group-by Type=TAG,Key=PricingModel
# Validar implementación de Spot Fleet
aws ec2 describe-spot-fleet-requests --query 'SpotFleetRequestConfigs[].{SpotFleetRequestId:SpotFleetRequestId,SpotFleetRequestState:SpotFleetRequestState,Tags:Tags}'
aws autoscaling describe-auto-scaling-groups --query 'AutoScalingGroups[?MixedInstancesPolicy!=null].{AutoScalingGroupName:AutoScalingGroupName,MixedInstancesPolicy:MixedInstancesPolicy}'
# Verificar análisis de servicios adicionales elegibles
aws ce get-cost-and-usage --time-period Start=2024-01-01,End=2024-02-01 --granularity MONTHLY --metrics BlendedCost --filter '{"Dimensions":{"Key":"SERVICE","Values":["Amazon Route 53","AWS WAF","Amazon CloudFront"]}}'
aws elasticloadbalancingv2 describe-load-balancers --query 'LoadBalancers[].{LoadBalancerName:LoadBalancerName,Type:Type,Scheme:Scheme}'
# Validar documentación de decisiones de pricing model
aws s3api list-objects-v2 --bucket pricing-decisions --prefix "workload-components/"
aws dynamodb scan --table-name PricingDecisions --projection-expression "ComponentId, SelectedModel, Justification, ExpectedSavings"
</t>
  </si>
  <si>
    <r>
      <rPr>
        <b/>
        <sz val="11"/>
        <color rgb="FF000000"/>
        <rFont val="Montserrat"/>
      </rPr>
      <t xml:space="preserve">COST07-BP05 </t>
    </r>
    <r>
      <rPr>
        <sz val="11"/>
        <color rgb="FF000000"/>
        <rFont val="Montserrat"/>
      </rPr>
      <t>Realizar análisis del modelo de precios a nivel de cuenta de gestión</t>
    </r>
  </si>
  <si>
    <t>Consulte las herramientas de facturación y administración de costos y vea los descuentos recomendados con compromisos y reservas para hacer análisis periódicos en el nivel de la cuenta de administración.</t>
  </si>
  <si>
    <t>AWS Organizations (Cuenta raíz).
AWS Cost Explorer (Management Account) Recurso: Análisis consolidado de uso y recomendaciones de commitment discounts a través de todas las cuentas de la organización Configuración: Cost Explorer configurado a nivel de management account para analizar uso agregado y generar recomendaciones de Savings Plans y Reserved Instances considerando discount sharing
AWS Organizations Consolidated Billing Recurso: Facturación consolidada que permite optimización de costos a través de múltiples cuentas Configuración: Organizations configurado con consolidated billing habilitado para maximizar beneficios de commitment discounts a través de todas las cuentas
Savings Plans (Management Account Level) Recurso: Savings Plans comprados a nivel de management account para maximizar ahorros a través de toda la organización Configuración: Savings Plans configurado a nivel de management account con discount sharing habilitado para aplicar ahorros donde generen mayor descuento
Reserved Instances (Organization Level) Recurso: Reserved Instances que pueden ser compartidas a través de cuentas en la organización Configuración: Reserved Instances configurado con sharing habilitado para optimizar utilización a través de múltiples cuentas y workloads
AWS Cost and Usage Report (CUR) Recurso: Datos granulares de uso y costos a nivel organizacional para análisis detallado de pricing models Configuración: CUR configurado para proporcionar datos detallados de uso a través de todas las cuentas para análisis de commitment opportunities</t>
  </si>
  <si>
    <t>1. Consultar la facturación a nivel de cuenta de administración para aplicar reservas y descuentos consolidados.
AWS Cost Explorer (Management Account) Verificar que Cost Explorer está configurado para análisis a nivel de management account con recomendaciones regulares. El cumplimiento indica uso de Cost Explorer para generar recomendaciones de commitment discounts considerando uso agregado de toda la organización. El incumplimiento se evidencia por análisis solo a nivel de cuenta individual sin considerar optimización organizacional.
AWS Organizations Consolidated Billing Verificar que Organizations está configurado con consolidated billing para optimización de costos organizacional. El cumplimiento indica consolidated billing habilitado que permite sharing de discounts y optimización a través de cuentas. El incumplimiento se evidencia por cuentas separadas sin aprovechar beneficios de consolidación.
Savings Plans (Management Account Level) Verificar que Savings Plans están siendo comprados a nivel de management account cuando es apropiado. El cumplimiento indica Savings Plans a nivel organizacional que maximizan ahorros a través de múltiples cuentas. El incumplimiento se evidencia por Savings Plans solo a nivel de cuenta individual sin considerar optimización organizacional.
Reserved Instances (Organization Level) Verificar que Reserved Instances están configuradas con sharing habilitado para optimización organizacional. El cumplimiento indica RI sharing que permite utilización óptima a través de múltiples cuentas. El incumplimiento se evidencia por Reserved Instances sin sharing o subutilizadas.
AWS Cost and Usage Report (CUR) Verificar que CUR está configurado para análisis organizacional de pricing models. El cumplimiento indica CUR con datos suficientes para análisis de commitment opportunities a nivel organizacional. El incumplimiento se evidencia por falta de datos granulares para análisis organizacional.</t>
  </si>
  <si>
    <t xml:space="preserve"># Verificar configuración de AWS Organizations y consolidated billing
aws organizations describe-organization --query 'Organization.{Id:Id,MasterAccountId:MasterAccountId,FeatureSet:FeatureSet}'
aws organizations list-accounts --query 'Accounts[].{Id:Id,Name:Name,Status:Status,JoinedTimestamp:JoinedTimestamp}'
# Validar recomendaciones de Cost Explorer a nivel de management account
aws ce get-savings-plans-purchase-recommendation --lookback-period-in-days 60 --term-in-years ONE_YEAR --payment-option NO_UPFRONT --service-specification EC2 --account-scope PAYER
aws ce get-reservation-purchase-recommendation --service EC2-Instance --lookback-period-in-days 60 --term-in-years ONE_YEAR --payment-option NO_UPFRONT --account-scope PAYER
# Verificar Savings Plans a nivel organizacional
aws savingsplans describe-savings-plans --query 'savingsPlans[].{SavingsPlanId:savingsPlanId,SavingsPlanType:savingsPlanType,State:state,Commitment:commitment,Tags:tags}'
aws ce get-savings-plans-coverage --time-period Start=2024-01-01,End=2024-02-01 --group-by Type=DIMENSION,Key=LINKED_ACCOUNT
# Validar utilización de Savings Plans por cuenta
aws ce get-savings-plans-utilization --time-period Start=2024-01-01,End=2024-02-01 --group-by Type=DIMENSION,Key=LINKED_ACCOUNT
aws ce get-savings-plans-utilization-details --time-period Start=2024-01-01,End=2024-02-01 --query 'SavingsPlansUtilizationDetails[].{AccountId:AccountId,Utilization:Utilization}'
# Verificar Reserved Instances sharing
aws ec2 describe-reserved-instances --query 'ReservedInstances[].{ReservedInstancesId:ReservedInstancesId,InstanceType:InstanceType,State:State,Scope:Scope}'
aws ce get-reserved-instance-coverage --time-period Start=2024-01-01,End=2024-02-01 --group-by Type=DIMENSION,Key=LINKED_ACCOUNT
# Validar análisis de uso agregado por organización
aws ce get-cost-and-usage --time-period Start=2024-01-01,End=2024-02-01 --granularity MONTHLY --metrics BlendedCost UsageQuantity --group-by Type=DIMENSION,Key=LINKED_ACCOUNT Type=DIMENSION,Key=SERVICE
# Verificar configuración de Cost and Usage Report
aws cur describe-report-definitions --query 'ReportDefinitions[].{ReportName:ReportName,TimeUnit:TimeUnit,Format:Format,Compression:Compression,AdditionalSchemaElements:AdditionalSchemaElements}'
# Validar análisis de commitment discount opportunities
aws ce get-cost-and-usage --time-period Start=2024-01-01,End=2024-02-01 --granularity MONTHLY --metrics BlendedCost --group-by Type=DIMENSION,Key=PURCHASE_TYPE Type=DIMENSION,Key=LINKED_ACCOUNT
# Verificar ciclo de revisión regular de pricing models
aws ssm describe-parameters --query 'Parameters[?contains(Name, `pricing-review-cycle`) || contains(Name, `management-account-analysis`)]'
aws ssm get-parameter --name "/pricing-analysis/management-account-schedule"
# Validar análisis de discount sharing effectiveness
aws ce get-cost-and-usage --time-period Start=2024-01-01,End=2024-02-01 --granularity MONTHLY --metrics NetUnblendedCost --group-by Type=DIMENSION,Key=LINKED_ACCOUNT --filter '{"Dimensions":{"Key":"PURCHASE_TYPE","Values":["Savings Plans","Reserved Instance"]}}'
# Verificar análisis de riesgo agregado vs individual
aws ssm get-parameter --name "/risk-analysis/aggregate-vs-individual"
aws dynamodb scan --table-name RiskAnalysis --projection-expression "AnalysisType, RiskLevel, CommitmentAmount, ExpectedSavings"
# Validar documentación de decisiones de management account
aws ssm get-parameter --name "/management-account/pricing-decisions"
aws s3api list-objects-v2 --bucket management-account-analysis --prefix "pricing-decisions/"
# Verificar análisis de workloads múltiples
aws resourcegroupstaggingapi get-resources --tag-filters Key=Organization,Values=* Key=WorkloadGroup,Values=*
aws ce get-cost-and-usage --time-period Start=2024-01-01,End=2024-02-01 --granularity MONTHLY --metrics BlendedCost --group-by Type=TAG,Key=WorkloadGroup Type=DIMENSION,Key=LINKED_ACCOUNT
# Validar análisis de pequeños ajustes regulares
aws ssm get-parameter --name "/commitment-analysis/adjustment-schedule"
aws events list-rules --query 'Rules[?contains(Name, `commitment-review`) || contains(Name, `pricing-adjustment`)]'
# Verificar análisis de evolución de workloads
aws ssm get-parameter --name "/workload-evolution/pricing-impact"
aws dynamodb scan --table-name WorkloadEvolution --projection-expression "WorkloadId, PricingModelChanges, CostImpact, Timestamp"
# Validar métricas de optimización organizacional
aws cloudwatch list-metrics --namespace "CostOptimization" --query 'Metrics[?contains(MetricName, `Organization`) || contains(MetricName, `Management`)]'
aws cloudwatch get-metric-statistics --namespace "CostOptimization" --metric-name "OrganizationalSavings" --start-time 2024-01-01T00:00:00Z --end-time 2024-02-01T00:00:00Z --period 86400 --statistics Sum
</t>
  </si>
  <si>
    <t>Recursos rentables
COST 8. ¿Cómo planea los cargos de transferencia de datos?</t>
  </si>
  <si>
    <r>
      <rPr>
        <b/>
        <sz val="11"/>
        <color rgb="FF000000"/>
        <rFont val="Montserrat"/>
      </rPr>
      <t xml:space="preserve">COST08-BP01 </t>
    </r>
    <r>
      <rPr>
        <sz val="11"/>
        <color rgb="FF000000"/>
        <rFont val="Montserrat"/>
      </rPr>
      <t>Realizar modelado de transferencia de datos</t>
    </r>
  </si>
  <si>
    <t>Reúna los requisitos de la organización y haga un modelado de transferencia de datos de la carga de trabajo y de cada uno de sus componentes. Se identifica el punto de costo más bajo para los requisitos de transferencia de datos actuales.</t>
  </si>
  <si>
    <t>Cost Explorer (Agrupado por transferencia).
AWS Cost Explorer Recurso: Análisis detallado de costos de transferencia de datos para identificar patrones y oportunidades de optimización Configuración: Cost Explorer configurado para rastrear y analizar costos de transferencia de datos por servicio, región, y tipo de transferencia con granularidad horaria
AWS Cost and Usage Report (CUR) Recurso: Datos granulares de uso y costos de transferencia de datos para análisis detallado Configuración: CUR configurado con granularidad horaria incluyendo todos los identificadores y resource IDs para análisis completo de transferencia de datos
AWS Data Exports Recurso: Exportaciones personalizadas de datos de costos y uso para análisis específico de transferencia de datos Configuración: Data Exports configurado para crear reportes customizados de transferencia de datos con esquemas controlados y integración con herramientas de análisis
Amazon CloudWatch Recurso: Métricas de transferencia de datos en tiempo real para monitoreo y análisis de patrones Configuración: CloudWatch configurado con métricas personalizadas para rastrear volúmenes de transferencia de datos y correlacionar con costos
AWS Budgets Recurso: Presupuestos específicos para costos de transferencia de datos con alertas proactivas Configuración: Budgets configurado para monitorear gastos de transferencia de datos con umbrales y notificaciones automáticas</t>
  </si>
  <si>
    <t>1. Identificar el punto de costo más bajo reuniendo requisitos y modelando las transferencias de cada componente.
AWS Cost Explorer Verificar que Cost Explorer está configurado para análisis detallado de costos de transferencia de datos. El cumplimiento indica análisis regular de patrones de transferencia de datos, identificación de picos de costo, y análisis por dimensiones relevantes. El incumplimiento se evidencia por falta de visibilidad en costos de transferencia de datos.
AWS Cost and Usage Report (CUR) Verificar que CUR está configurado con granularidad suficiente para análisis de transferencia de datos. El cumplimiento indica CUR con datos horarios que incluyen detalles de transferencia de datos por recurso y región. El incumplimiento se evidencia por datos insuficientes para modelado preciso.
AWS Data Exports Verificar que Data Exports está configurado para análisis específico de transferencia de datos. El cumplimiento indica exportaciones personalizadas que facilitan análisis detallado de patrones de transferencia. El incumplimiento se evidencia por falta de datos estructurados para análisis.
Amazon CloudWatch Verificar que CloudWatch está configurado para monitorear métricas de transferencia de datos. El cumplimiento indica métricas que permiten correlación entre volumen de datos y costos. El incumplimiento se evidencia por falta de visibilidad en tiempo real de transferencias.
AWS Budgets Verificar que Budgets está configurado para monitorear costos de transferencia de datos. El cumplimiento indica presupuestos específicos con alertas que previenen sobrecostos. El incumplimiento se evidencia por falta de control proactivo de gastos de transferencia.</t>
  </si>
  <si>
    <t xml:space="preserve"># Verificar análisis de costos de transferencia de datos
aws ce get-cost-and-usage --time-period Start=2024-01-01,End=2024-02-01 --granularity DAILY --metrics BlendedCost UsageQuantity --filter '{"Dimensions":{"Key":"USAGE_TYPE","Values":["*DataTransfer*","*Data-Transfer*"]}}'
aws ce get-cost-and-usage --time-period Start=2024-01-01,End=2024-02-01 --granularity HOURLY --metrics BlendedCost --group-by Type=DIMENSION,Key=USAGE_TYPE --filter '{"Dimensions":{"Key":"USAGE_TYPE","Values":["*DataTransfer*"]}}'
# Validar configuración de Cost and Usage Report
aws cur describe-report-definitions --query 'ReportDefinitions[].{ReportName:ReportName,TimeUnit:TimeUnit,Format:Format,AdditionalSchemaElements:AdditionalSchemaElements}'
# Verificar Data Exports para transferencia de datos
aws bcm-data-exports list-exports --query 'Exports[].{Name:Name,Description:Description,DestinationConfigurations:DestinationConfigurations}'
# Validar métricas de CloudWatch para transferencia de datos
aws cloudwatch list-metrics --namespace "AWS/EC2" --query 'Metrics[?MetricName==`NetworkIn` || MetricName==`NetworkOut`]'
aws cloudwatch list-metrics --namespace "AWS/S3" --query 'Metrics[?MetricName==`BucketSizeBytes` || MetricName==`NumberOfObjects`]'
# Verificar presupuestos para transferencia de datos
aws budgets describe-budgets --account-id 123456789012 --query 'Budgets[?contains(BudgetName, `DataTransfer`) || contains(BudgetName, `Transfer`)]'
# Validar análisis de transferencia por región
aws ce get-cost-and-usage --time-period Start=2024-01-01,End=2024-02-01 --granularity MONTHLY --metrics BlendedCost --group-by Type=DIMENSION,Key=REGION --filter '{"Dimensions":{"Key":"USAGE_TYPE","Values":["*DataTransfer-Regional*","*DataTransfer-Out*"]}}'
# Verificar análisis de transferencia por servicio
aws ce get-cost-and-usage --time-period Start=2024-01-01,End=2024-02-01 --granularity MONTHLY --metrics BlendedCost --group-by Type=DIMENSION,Key=SERVICE --filter '{"Dimensions":{"Key":"USAGE_TYPE","Values":["*DataTransfer*"]}}'
# Validar documentación de modelado de transferencia
aws ssm describe-parameters --query 'Parameters[?contains(Name, `data-transfer-modeling`) || contains(Name, `transfer-analysis`)]'
aws ssm get-parameter --name "/data-transfer-modeling/analysis-results"
# Verificar análisis de patrones de transferencia
aws s3api list-objects-v2 --bucket data-transfer-analysis --prefix "modeling-results/"
aws dynamodb scan --table-name DataTransferModeling --projection-expression "TransferType, Volume, Cost, Timestamp"
# Validar análisis de picos y tendencias
aws cloudwatch get-metric-statistics --namespace "AWS/EC2" --metric-name NetworkOut --start-time 2024-01-01T00:00:00Z --end-time 2024-02-01T00:00:00Z --period 3600 --statistics Sum,Maximum --query 'Datapoints[].{Timestamp:Timestamp,Sum:Sum,Max:Maximum}' --output table
# Verificar análisis de transferencia entre AZ y regiones
aws ce get-cost-and-usage --time-period Start=2024-01-01,End=2024-02-01 --granularity DAILY --metrics BlendedCost --filter '{"Dimensions":{"Key":"USAGE_TYPE","Values":["*DataTransfer-Regional*","*DataTransfer-Out*","*DataTransfer-In*"]}}'
# Validar análisis de aplicaciones con alta transferencia
aws resourcegroupstaggingapi get-resources --tag-filters Key=DataTransferIntensive,Values=* Key=Application,Values=*
aws ce get-cost-and-usage --time-period Start=2024-01-01,End=2024-02-01 --granularity MONTHLY --metrics BlendedCost --group-by Type=TAG,Key=Application --filter '{"Dimensions":{"Key":"USAGE_TYPE","Values":["*DataTransfer*"]}}'
# Verificar modelado predictivo de transferencia
aws ssm get-parameter --name "/data-transfer-modeling/predictive-analysis"
aws forecast list-datasets --query 'Datasets[?contains(DatasetName, `DataTransfer`) || contains(DatasetName, `Transfer`)]'
# Validar análisis de optimización de transferencia
aws ssm get-parameter --name "/data-transfer-optimization/recommendations"
aws dynamodb scan --table-name TransferOptimization --projection-expression "OptimizationType, PotentialSavings, ImplementationComplexity"
</t>
  </si>
  <si>
    <r>
      <rPr>
        <b/>
        <sz val="11"/>
        <color rgb="FF000000"/>
        <rFont val="Montserrat"/>
      </rPr>
      <t>COST08-BP02</t>
    </r>
    <r>
      <rPr>
        <sz val="11"/>
        <color rgb="FF000000"/>
        <rFont val="Montserrat"/>
      </rPr>
      <t xml:space="preserve"> Seleccionar componentes para optimizar el coste de transferencia de datos</t>
    </r>
  </si>
  <si>
    <t>Se seleccionan todos los componentes y se diseña la arquitectura para reducir los costos de transferencia de datos. Incluye el uso de componentes como la optimización de la red de área extendida (WAN) y las configuraciones de varias zonas de disponibilidad (AZ).</t>
  </si>
  <si>
    <t>Redes Multi-AZ, Optimización WAN.
Amazon CloudFront Recurso: Red de distribución de contenido (CDN) para reducir transferencia de datos desde origen y mejorar latencia Configuración: CloudFront configurado con edge locations estratégicas, caching optimizado, y compresión para minimizar transferencia de datos desde servidores origen
VPC Endpoints Recurso: Endpoints privados para servicios de AWS que eliminan transferencia de datos a través de internet Configuración: VPC Endpoints configurado para servicios como S3, DynamoDB, y otros servicios AWS para mantener tráfico dentro de la red privada de AWS
AWS Direct Connect Recurso: Conexión de red dedicada que reduce costos de transferencia de datos de alto volumen Configuración: Direct Connect configurado para workloads con transferencia de datos consistente y de alto volumen entre on-premises y AWS
NAT Gateway Optimization Recurso: NAT Gateways optimizados para reducir costos de transferencia de datos salientes Configuración: NAT Gateways configurado con placement estratégico en AZ apropiadas para minimizar transferencia cross-AZ
Multi-AZ Architecture Optimization Recurso: Arquitecturas multi-AZ diseñadas para minimizar transferencia de datos innecesaria entre zonas Configuración: Multi-AZ configurado con placement inteligente de recursos para reducir transferencia cross-AZ mientras mantiene alta disponibilidad</t>
  </si>
  <si>
    <t>1. Diseñar la arquitectura para reducir el costo entre diferentes zonas de disponibilidad o redes amplias.
Amazon CloudFront Verificar que CloudFront está implementado para reducir transferencia de datos desde origen. El cumplimiento indica uso de CloudFront con configuración optimizada de caching que reduce significativamente la transferencia desde servidores origen. El incumplimiento se evidencia por servir contenido directamente desde origen sin CDN.
VPC Endpoints Verificar que VPC Endpoints están configurados para servicios AWS relevantes. El cumplimiento indica endpoints privados que eliminan transferencia de datos a través de internet para servicios como S3 y DynamoDB. El incumplimiento se evidencia por tráfico a servicios AWS que sale a internet innecesariamente.
AWS Direct Connect Verificar que Direct Connect está implementado donde es costo-efectivo para transferencia de datos. El cumplimiento indica uso de Direct Connect para workloads con transferencia consistente de alto volumen. El incumplimiento se evidencia por transferencia de alto volumen a través de internet sin considerar Direct Connect.
NAT Gateway Optimization Verificar que NAT Gateways están optimizados para minimizar costos de transferencia. El cumplimiento indica placement estratégico de NAT Gateways que minimiza transferencia cross-AZ. El incumplimiento se evidencia por NAT Gateways mal ubicados que generan transferencia innecesaria.
Multi-AZ Architecture Optimization Verificar que arquitecturas multi-AZ están diseñadas para minimizar transferencia innecesaria. El cumplimiento indica placement inteligente de recursos que reduce transferencia cross-AZ mientras mantiene disponibilidad. El incumplimiento se evidencia por arquitecturas que generan transferencia cross-AZ excesiva.</t>
  </si>
  <si>
    <t xml:space="preserve"># Verificar configuración de CloudFront
aws cloudfront list-distributions --query 'DistributionList.Items[].{Id:Id,DomainName:DomainName,Status:Status,Origins:Origins[0].DomainName,CacheBehaviors:DefaultCacheBehavior.CachePolicyId}'
aws cloudfront get-distribution-config --id E1234567890123 --query 'DistributionConfig.{CacheBehaviors:CacheBehaviors,Origins:Origins}'
# Validar análisis de costos de CloudFront vs transferencia directa
aws ce get-cost-and-usage --time-period Start=2024-01-01,End=2024-02-01 --granularity MONTHLY --metrics BlendedCost --filter '{"Dimensions":{"Key":"SERVICE","Values":["Amazon CloudFront"]}}'
aws ce get-cost-and-usage --time-period Start=2024-01-01,End=2024-02-01 --granularity MONTHLY --metrics BlendedCost --filter '{"Dimensions":{"Key":"USAGE_TYPE","Values":["*DataTransfer-Out*"]}}'
# Verificar configuración de VPC Endpoints
aws ec2 describe-vpc-endpoints --query 'VpcEndpoints[].{VpcEndpointId:VpcEndpointId,ServiceName:ServiceName,State:State,VpcId:VpcId,RouteTableIds:RouteTableIds}'
aws ec2 describe-vpc-endpoints --query 'VpcEndpoints[?ServiceName==`com.amazonaws.us-east-1.s3` || ServiceName==`com.amazonaws.us-east-1.dynamodb`]'
# Validar análisis de costos de VPC Endpoints
aws ce get-cost-and-usage --time-period Start=2024-01-01,End=2024-02-01 --granularity MONTHLY --metrics BlendedCost --filter '{"Dimensions":{"Key":"USAGE_TYPE","Values":["*VpcEndpoint*"]}}'
# Verificar configuración de Direct Connect
aws directconnect describe-connections --query 'connections[].{connectionId:connectionId,connectionState:connectionState,location:location,bandwidth:bandwidth,partnerName:partnerName}'
aws directconnect describe-virtual-interfaces --query 'virtualInterfaces[].{virtualInterfaceId:virtualInterfaceId,virtualInterfaceState:virtualInterfaceState,bandwidth:bandwidth}'
# Validar análisis de costos de Direct Connect vs internet
aws ce get-cost-and-usage --time-period Start=2024-01-01,End=2024-02-01 --granularity MONTHLY --metrics BlendedCost --filter '{"Dimensions":{"Key":"SERVICE","Values":["AWS Direct Connect"]}}'
# Verificar optimización de NAT Gateway placement
aws ec2 describe-nat-gateways --query 'NatGateways[].{NatGatewayId:NatGatewayId,State:State,SubnetId:SubnetId,VpcId:VpcId,Tags:Tags}'
aws ec2 describe-subnets --query 'Subnets[].{SubnetId:SubnetId,AvailabilityZone:AvailabilityZone,VpcId:VpcId,Tags:Tags[?Key==`NATGateway`].Value}'
# Validar análisis de transferencia cross-AZ
aws ce get-cost-and-usage --time-period Start=2024-01-01,End=2024-02-01 --granularity MONTHLY --metrics BlendedCost --filter '{"Dimensions":{"Key":"USAGE_TYPE","Values":["*DataTransfer-Regional*"]}}'
# Verificar análisis de arquitectura multi-AZ
aws ec2 describe-instances --query 'Reservations[].Instances[].{InstanceId:InstanceId,AvailabilityZone:Placement.AvailabilityZone,Tags:Tags[?Key==`Application`].Value}'
aws rds describe-db-instances --query 'DBInstances[].{DBInstanceId:DBInstanceIdentifier,AvailabilityZone:AvailabilityZone,MultiAZ:MultiAZ}'
# Validar configuración de caching y compresión
aws cloudfront get-distribution-config --id E1234567890123 --query 'DistributionConfig.DefaultCacheBehavior.{Compress:Compress,CachePolicyId:CachePolicyId,OriginRequestPolicyId:OriginRequestPolicyId}'
# Verificar análisis de WAN optimization
aws ssm describe-parameters --query 'Parameters[?contains(Name, `wan-optimization`) || contains(Name, `network-optimization`)]'
aws ssm get-parameter --name "/network-optimization/wan-analysis"
# Validar análisis de application optimization
aws ssm get-parameter --name "/application-optimization/data-transfer-analysis"
aws dynamodb scan --table-name ApplicationOptimization --projection-expression "ApplicationName, DataTransferOptimization, PotentialSavings"
# Verificar análisis de placement de recursos
aws resourcegroupstaggingapi get-resources --tag-filters Key=PlacementOptimized,Values=* Key=DataTransferOptimized,Values=*
# Validar métricas de VPC Flow Logs para análisis de transferencia
aws ec2 describe-flow-logs --query 'FlowLogs[].{FlowLogId:FlowLogId,ResourceId:ResourceId,TrafficType:TrafficType,LogDestination:LogDestination}'
aws logs describe-log-groups --query 'logGroups[?contains(logGroupName, `VPCFlowLogs`) || contains(logGroupName, `flowlogs`)]'
# Verificar análisis de alternative architectures
aws ssm get-parameter --name "/architecture-analysis/data-transfer-alternatives"
aws s3api list-objects-v2 --bucket architecture-analysis --prefix "data-transfer-optimization/"
# Validar análisis de componentes con mayor transferencia
aws ssm get-parameter --name "/data-transfer-analysis/high-cost-components"
aws dynamodb scan --table-name DataTransferAnalysis --projection-expression "ComponentName, TransferVolume, TransferCost, OptimizationOpportunity"
# Verificar implementación de edge computing
aws lambda list-functions --query 'Functions[?contains(FunctionName, `edge`) || contains(FunctionName, `cloudfront`)]'
aws cloudfront list-functions --query 'FunctionList.Items[].{Name:Name,Status:Status,FunctionConfig:FunctionConfig.Runtime}'
</t>
  </si>
  <si>
    <r>
      <rPr>
        <b/>
        <sz val="11"/>
        <color rgb="FF000000"/>
        <rFont val="Montserrat"/>
      </rPr>
      <t xml:space="preserve">COST08-BP03 </t>
    </r>
    <r>
      <rPr>
        <sz val="11"/>
        <color rgb="FF000000"/>
        <rFont val="Montserrat"/>
      </rPr>
      <t>Implementar servicios para reducir los costos de transferencia de datos</t>
    </r>
  </si>
  <si>
    <t>Implemente servicios para reducir la transferencia de datos. Por ejemplo, utilice ubicaciones periféricas o redes de entrega de contenido (CDN) para ofrecer contenido a los usuarios finales, cree capas de almacenamiento en caché delante de sus servidores de aplicaciones o bases de datos y utilice conexiones de red dedicadas en lugar de VPN para conectarse a la nube.</t>
  </si>
  <si>
    <t>Amazon CloudFront (CDN), AWS Direct Connect.
Amazon CloudFront Recurso: Red de distribución de contenido global que reduce transferencia de datos desde origen mediante caching en edge locations Configuración: CloudFront configurado con políticas de caching optimizadas, compresión habilitada, y edge locations estratégicas para minimizar transferencia desde servidores origen
AWS Direct Connect Recurso: Conexión de red dedicada que reduce costos de transferencia de datos de alto volumen entre on-premises y AWS Configuración: Direct Connect configurado para workloads con transferencia consistente de datos, proporcionando costos predecibles y reducidos comparado con internet
Amazon ElastiCache Recurso: Servicio de caching en memoria que reduce transferencia de datos repetitiva desde bases de datos Configuración: ElastiCache configurado para cachear datos frecuentemente accedidos, reduciendo consultas a bases de datos y transferencia de datos asociada
VPC Endpoints Recurso: Endpoints privados que eliminan transferencia de datos a través de internet para servicios AWS Configuración: VPC Endpoints configurado para servicios como S3, DynamoDB, y otros servicios AWS para mantener tráfico dentro de la red privada
AWS Snow Family Recurso: Dispositivos físicos para transferencia offline de grandes volúmenes de datos hacia AWS Configuración: Snow Family configurado para migración inicial de datos o transferencia periódica de petabytes de datos de manera costo-efectiva</t>
  </si>
  <si>
    <t>1. Implementar capas de caché, CDNs para entregar contenido o conexiones dedicadas en lugar de VPNs para internet.
Amazon CloudFront Verificar que CloudFront está implementado para contenido con acceso repetitivo. El cumplimiento indica uso de CloudFront con configuración optimizada que reduce significativamente la transferencia desde origen mediante caching efectivo. El incumplimiento se evidencia por servir contenido repetitivo directamente desde origen sin CDN.
AWS Direct Connect Verificar que Direct Connect está implementado para transferencia de datos de alto volumen. El cumplimiento indica uso de Direct Connect para workloads con transferencia consistente que justifica la inversión en conexión dedicada. El incumplimiento se evidencia por transferencia de alto volumen a través de internet sin considerar Direct Connect.
Amazon ElastiCache Verificar que ElastiCache está implementado para datos frecuentemente accedidos. El cumplimiento indica uso de caching que reduce consultas repetitivas a bases de datos y transferencia asociada. El incumplimiento se evidencia por consultas repetitivas sin caching que generan transferencia innecesaria.
VPC Endpoints Verificar que VPC Endpoints están implementados para servicios AWS relevantes. El cumplimiento indica endpoints que eliminan transferencia a través de internet para servicios como S3 y DynamoDB. El incumplimiento se evidencia por tráfico a servicios AWS que sale innecesariamente a internet.
AWS Snow Family Verificar que Snow Family está siendo considerado para transferencia de grandes volúmenes. El cumplimiento indica uso de Snow devices para migración inicial o transferencia periódica de petabytes de datos. El incumplimiento se evidencia por transferencia de grandes volúmenes a través de internet sin considerar alternativas offline.</t>
  </si>
  <si>
    <t xml:space="preserve"># Verificar implementación de CloudFront
aws cloudfront list-distributions --query 'DistributionList.Items[].{Id:Id,DomainName:DomainName,Status:Status,Origins:Origins[0].DomainName}'
aws cloudfront get-distribution-config --id E1234567890123 --query 'DistributionConfig.{CacheBehaviors:CacheBehaviors,DefaultCacheBehavior:DefaultCacheBehavior.Compress}'
# Validar efectividad de CloudFront en reducción de transferencia
aws cloudwatch get-metric-statistics --namespace "AWS/CloudFront" --metric-name OriginLatency --start-time 2024-01-01T00:00:00Z --end-time 2024-02-01T00:00:00Z --period 86400 --statistics Average --dimensions Name=DistributionId,Value=E1234567890123
aws cloudwatch get-metric-statistics --namespace "AWS/CloudFront" --metric-name CacheHitRate --start-time 2024-01-01T00:00:00Z --end-time 2024-02-01T00:00:00Z --period 86400 --statistics Average --dimensions Name=DistributionId,Value=E1234567890123
# Verificar implementación de Direct Connect
aws directconnect describe-connections --query 'connections[].{connectionId:connectionId,connectionState:connectionState,bandwidth:bandwidth,location:location}'
aws directconnect describe-virtual-interfaces --query 'virtualInterfaces[].{virtualInterfaceId:virtualInterfaceId,virtualInterfaceState:virtualInterfaceState,bandwidth:bandwidth}'
# Validar análisis de costos Direct Connect vs internet
aws ce get-cost-and-usage --time-period Start=2024-01-01,End=2024-02-01 --granularity MONTHLY --metrics BlendedCost --filter '{"Dimensions":{"Key":"SERVICE","Values":["AWS Direct Connect"]}}'
aws ce get-cost-and-usage --time-period Start=2024-01-01,End=2024-02-01 --granularity MONTHLY --metrics BlendedCost --filter '{"Dimensions":{"Key":"USAGE_TYPE","Values":["*DataTransfer-Out*"]}}'
# Verificar implementación de ElastiCache
aws elasticache describe-cache-clusters --query 'CacheClusters[].{CacheClusterId:CacheClusterId,CacheClusterStatus:CacheClusterStatus,Engine:Engine,CacheNodeType:CacheNodeType}'
aws elasticache describe-replication-groups --query 'ReplicationGroups[].{ReplicationGroupId:ReplicationGroupId,Status:Status,CacheNodeType:CacheNodeType}'
# Validar efectividad de ElastiCache en reducción de transferencia
aws cloudwatch get-metric-statistics --namespace "AWS/ElastiCache" --metric-name CacheHits --start-time 2024-01-01T00:00:00Z --end-time 2024-02-01T00:00:00Z --period 3600 --statistics Sum --dimensions Name=CacheClusterId,Value=my-cache-cluster
aws cloudwatch get-metric-statistics --namespace "AWS/ElastiCache" --metric-name CacheMisses --start-time 2024-01-01T00:00:00Z --end-time 2024-02-01T00:00:00Z --period 3600 --statistics Sum --dimensions Name=CacheClusterId,Value=my-cache-cluster
# Verificar implementación de VPC Endpoints
aws ec2 describe-vpc-endpoints --query 'VpcEndpoints[].{VpcEndpointId:VpcEndpointId,ServiceName:ServiceName,State:State,VpcId:VpcId}'
aws ec2 describe-vpc-endpoints --query 'VpcEndpoints[?ServiceName==`com.amazonaws.us-east-1.s3` || ServiceName==`com.amazonaws.us-east-1.dynamodb`]'
# Validar análisis de costos de VPC Endpoints
aws ce get-cost-and-usage --time-period Start=2024-01-01,End=2024-02-01 --granularity MONTHLY --metrics BlendedCost --filter '{"Dimensions":{"Key":"USAGE_TYPE","Values":["*VpcEndpoint*"]}}'
# Verificar implementación de Site-to-Site VPN
aws ec2 describe-vpn-connections --query 'VpnConnections[].{VpnConnectionId:VpnConnectionId,State:State,Type:Type,CustomerGatewayId:CustomerGatewayId}'
aws ec2 describe-customer-gateways --query 'CustomerGateways[].{CustomerGatewayId:CustomerGatewayId,State:State,Type:Type,IpAddress:IpAddress}'
# Validar análisis de Snow Family usage
aws ssm describe-parameters --query 'Parameters[?contains(Name, `snow-family`) || contains(Name, `data-migration`)]'
aws ssm get-parameter --name "/data-migration/snow-family-analysis"
# Verificar análisis de VPC Flow Logs para identificación de servicios
aws ec2 describe-flow-logs --query 'FlowLogs[].{FlowLogId:FlowLogId,ResourceId:ResourceId,TrafficType:TrafficType,LogDestination:LogDestination}'
aws logs describe-log-groups --query 'logGroups[?contains(logGroupName, `VPCFlowLogs`)]'
# Validar implementación de NAT Gateway optimization
aws ec2 describe-nat-gateways --query 'NatGateways[].{NatGatewayId:NatGatewayId,State:State,SubnetId:SubnetId,Tags:Tags}'
# Verificar análisis de caching services effectiveness
aws ssm get-parameter --name "/caching-analysis/effectiveness-metrics"
aws dynamodb scan --table-name CachingAnalysis --projection-expression "ServiceName, CacheHitRate, DataTransferReduction, CostSavings"
# Validar análisis de content delivery optimization
aws ssm get-parameter --name "/content-delivery/optimization-analysis"
aws cloudwatch get-metric-statistics --namespace "AWS/CloudFront" --metric-name BytesDownloaded --start-time 2024-01-01T00:00:00Z --end-time 2024-02-01T00:00:00Z --period 86400 --statistics Sum
# Verificar implementación de compression y optimization
aws cloudfront get-distribution-config --id E1234567890123 --query 'DistributionConfig.DefaultCacheBehavior.{Compress:Compress,ViewerProtocolPolicy:ViewerProtocolPolicy}'
# Validar análisis de network services selection
aws ssm get-parameter --name "/network-services/selection-analysis"
aws s3api list-objects-v2 --bucket network-optimization --prefix "service-selection/"
# Verificar análisis de largest cost flows
aws ssm get-parameter --name "/data-transfer-analysis/largest-cost-flows"
aws dynamodb scan --table-name DataFlowAnalysis --projection-expression "FlowType, Volume, Cost, OptimizationService, PotentialSavings"
</t>
  </si>
  <si>
    <t>Gestionar los recursos de oferta y demanda
COST 9. ¿Cómo gestiona la demanda y suministra recursos?</t>
  </si>
  <si>
    <r>
      <rPr>
        <b/>
        <sz val="11"/>
        <color rgb="FF000000"/>
        <rFont val="Montserrat"/>
      </rPr>
      <t xml:space="preserve">COST09-BP01 </t>
    </r>
    <r>
      <rPr>
        <sz val="11"/>
        <color rgb="FF000000"/>
        <rFont val="Montserrat"/>
      </rPr>
      <t>Realizar un análisis de la demanda de carga de trabajo</t>
    </r>
  </si>
  <si>
    <t>Analice la demanda de la carga de trabajo a lo largo del tiempo. Compruebe que el análisis cubra las tendencias estacionales y represente con precisión las condiciones de servicio durante toda la vida útil de la carga de trabajo. El análisis debe reflejar los posibles beneficios; por ejemplo, el tiempo empleado es proporcional al costo de la carga de trabajo.</t>
  </si>
  <si>
    <t>Amazon CloudWatch (Métricas de tráfico a largo plazo).
Amazon CloudWatch Recurso: Métricas y monitoreo para analizar patrones de demanda y utilización de recursos en tiempo real Configuración: CloudWatch configurado con métricas personalizadas, dashboards de demanda, y análisis de tendencias para entender patrones de uso del workload
AWS Auto Scaling Recurso: Análisis de políticas de escalado para entender patrones de demanda y optimizar aprovisionamiento de recursos Configuración: Auto Scaling configurado con métricas de demanda, políticas predictivas, y análisis histórico de escalado para optimizar recursos
AWS Cost Explorer Recurso: Análisis de costos y uso para correlacionar demanda con gastos y identificar patrones de utilización Configuración: Cost Explorer configurado para analizar patrones de uso por tiempo, servicio, y dimensiones relevantes para entender demanda del workload
Application Load Balancer (ALB) Recurso: Métricas de tráfico y distribución de carga para analizar patrones de demanda de aplicaciones Configuración: ALB configurado con métricas detalladas que proporcionan insights sobre patrones de tráfico, picos de demanda, y distribución de carga
Amazon RDS Performance Insights Recurso: Análisis de performance de base de datos para entender patrones de demanda de datos Configuración: RDS Performance Insights configurado para analizar patrones de consultas, carga de trabajo, y demanda de recursos de base de datos</t>
  </si>
  <si>
    <t>1. Analizar si la demanda cubre tendencias estacionales a lo largo de toda la vida útil.
Amazon CloudWatch Verificar que CloudWatch está configurado para análisis completo de demanda del workload. El cumplimiento indica métricas personalizadas que capturan patrones de demanda, dashboards que visualizan tendencias, y análisis histórico de utilización. El incumplimiento se evidencia por falta de visibilidad en patrones de demanda.
AWS Auto Scaling Verificar que Auto Scaling está configurado con análisis de demanda para optimización de recursos. El cumplimiento indica políticas basadas en análisis de demanda histórica y predictiva que optimizan aprovisionamiento. El incumplimiento se evidencia por escalado reactivo sin análisis de patrones.
AWS Cost Explorer Verificar que Cost Explorer está siendo utilizado para correlacionar demanda con costos. El cumplimiento indica análisis regular que correlaciona patrones de uso con gastos para optimizar recursos. El incumplimiento se evidencia por falta de correlación entre demanda y costos.
Application Load Balancer (ALB) Verificar que ALB está configurado para proporcionar insights de demanda de aplicaciones. El cumplimiento indica métricas que revelan patrones de tráfico y picos de demanda para optimización. El incumplimiento se evidencia por falta de visibilidad en patrones de tráfico.
Amazon RDS Performance Insights Verificar que RDS Performance Insights está habilitado para análisis de demanda de datos. El cumplimiento indica análisis de patrones de consultas y carga que informa decisiones de recursos. El incumplimiento se evidencia por falta de análisis de demanda de base de datos.</t>
  </si>
  <si>
    <t xml:space="preserve"># Verificar configuración de CloudWatch para análisis de demanda
aws cloudwatch list-metrics --namespace "AWS/EC2" --query 'Metrics[?MetricName==`CPUUtilization` || MetricName==`NetworkIn` || MetricName==`NetworkOut`]'
aws cloudwatch list-metrics --namespace "AWS/ApplicationELB" --query 'Metrics[?MetricName==`RequestCount` || MetricName==`TargetResponseTime`]'
# Validar dashboards de análisis de demanda
aws cloudwatch list-dashboards --query 'DashboardEntries[?contains(DashboardName, `demand`) || contains(DashboardName, `workload`)]'
aws cloudwatch get-dashboard --dashboard-name "WorkloadDemandAnalysis"
# Verificar métricas personalizadas para análisis de demanda
aws cloudwatch list-metrics --namespace "Custom/WorkloadDemand" --query 'Metrics[].{MetricName:MetricName,Dimensions:Dimensions}'
aws logs describe-metric-filters --query 'metricFilters[?contains(filterName, `demand`) || contains(filterName, `usage`)]'
# Validar configuración de Auto Scaling para análisis de demanda
aws autoscaling describe-auto-scaling-groups --query 'AutoScalingGroups[].{AutoScalingGroupName:AutoScalingGroupName,DesiredCapacity:DesiredCapacity,MinSize:MinSize,MaxSize:MaxSize}'
aws autoscaling describe-policies --query 'ScalingPolicies[].{PolicyName:PolicyName,PolicyType:PolicyType,MetricType:MetricType}'
# Verificar análisis histórico de escalado
aws autoscaling describe-scaling-activities --auto-scaling-group-name my-asg --query 'Activities[].{ActivityId:ActivityId,Cause:Cause,StartTime:StartTime,StatusCode:StatusCode}'
# Validar análisis de demanda en Cost Explorer
aws ce get-cost-and-usage --time-period Start=2024-01-01,End=2024-02-01 --granularity HOURLY --metrics UsageQuantity --group-by Type=DIMENSION,Key=SERVICE
aws ce get-usage-forecast --time-period Start=2024-02-01,End=2024-03-01 --metric UsageQuantity --granularity DAILY
# Verificar análisis de patrones de uso
aws ce get-cost-and-usage --time-period Start=2024-01-01,End=2024-02-01 --granularity DAILY --metrics UsageQuantity --group-by Type=DIMENSION,Key=USAGE_TYPE
# Validar métricas de Application Load Balancer
aws elbv2 describe-load-balancers --query 'LoadBalancers[].{LoadBalancerName:LoadBalancerName,Type:Type,Scheme:Scheme}'
aws cloudwatch get-metric-statistics --namespace "AWS/ApplicationELB" --metric-name RequestCount --start-time 2024-01-01T00:00:00Z --end-time 2024-02-01T00:00:00Z --period 3600 --statistics Sum
# Verificar análisis de Performance Insights para RDS
aws rds describe-db-instances --query 'DBInstances[].{DBInstanceId:DBInstanceIdentifier,PerformanceInsightsEnabled:PerformanceInsightsEnabled}'
aws pi get-resource-metrics --service-type RDS --identifier db-ABCDEFGHIJKLMNOP --metric-queries '[{"Metric":{"MetricType":"db.SQL.Innodb_rows_read.avg"},"GroupBy":{"Group":"db.sql_tokenized.statement"}}]' --start-time 2024-01-01T00:00:00Z --end-time 2024-02-01T00:00:00Z
# Validar análisis de patrones de demanda documentados
aws ssm describe-parameters --query 'Parameters[?contains(Name, `demand-analysis`) || contains(Name, `workload-patterns`)]'
aws ssm get-parameter --name "/workload-analysis/demand-patterns"
# Verificar análisis de predictibilidad de demanda
aws ssm get-parameter --name "/demand-analysis/predictability-assessment"
aws s3api list-objects-v2 --bucket demand-analysis --prefix "predictability-reports/"
# Validar análisis de tiempo de aprovisionamiento
aws ssm get-parameter --name "/provisioning-analysis/timing-metrics"
aws dynamodb scan --table-name ProvisioningAnalysis --projection-expression "ResourceType, ProvisioningTime, DemandPattern, OptimizationOpportunity"
# Verificar análisis de fluctuaciones de demanda
aws cloudwatch get-metric-statistics --namespace "Custom/WorkloadDemand" --metric-name DemandFluctuation --start-time 2024-01-01T00:00:00Z --end-time 2024-02-01T00:00:00Z --period 3600 --statistics Average,Maximum,Minimum
# Validar análisis de correlación demanda-recursos
aws ssm get-parameter --name "/demand-analysis/resource-correlation"
aws dynamodb scan --table-name DemandResourceCorrelation --projection-expression "TimeFrame, DemandLevel, ResourceUtilization, CostImpact"
# Verificar análisis de patrones estacionales
aws ssm get-parameter --name "/demand-analysis/seasonal-patterns"
aws forecast list-datasets --query 'Datasets[?contains(DatasetName, `Demand`) || contains(DatasetName, `Workload`)]'
# Validar análisis de picos de demanda
aws cloudwatch describe-alarms --query 'MetricAlarms[?contains(AlarmName, `demand`) || contains(AlarmName, `peak`)]'
aws cloudwatch get-metric-statistics --namespace "AWS/ApplicationELB" --metric-name RequestCount --start-time 2024-01-01T00:00:00Z --end-time 2024-02-01T00:00:00Z --period 300 --statistics Maximum --query 'Datapoints[].{Timestamp:Timestamp,Peak:Maximum}' --output table
# Verificar documentación de análisis de demanda
aws s3api list-objects-v2 --bucket workload-analysis --prefix "demand-analysis/"
aws dynamodb scan --table-name WorkloadDemandAnalysis --projection-expression "AnalysisDate, DemandPattern, ResourceRequirements, Recommendations"
</t>
  </si>
  <si>
    <r>
      <rPr>
        <b/>
        <sz val="11"/>
        <color rgb="FF000000"/>
        <rFont val="Montserrat"/>
      </rPr>
      <t xml:space="preserve">COST09-BP02 </t>
    </r>
    <r>
      <rPr>
        <sz val="11"/>
        <color rgb="FF000000"/>
        <rFont val="Montserrat"/>
      </rPr>
      <t>Implementación de un búfer o acelerador para gestionar la demanda</t>
    </r>
  </si>
  <si>
    <t>El almacenamiento en búfer y la limitación modifican la demanda de la carga de trabajo y suavizan los picos. Implemente limitaciones cuando sus clientes lleven a cabo reintentos. Implemente el almacenamiento en búfer para almacenar la solicitud y aplazar el procesamiento para más adelante. Verifique que las limitaciones y los búferes se hayan diseñado de tal manera que los clientes reciban una respuesta en el tiempo requerido.</t>
  </si>
  <si>
    <t>Amazon SQS, Búferes de procesamiento.
Amazon Simple Queue Service (SQS) Recurso: Colas de mensajes que actúan como buffer para suavizar picos de demanda y desacoplar componentes Configuración: SQS configurado con colas estándar o FIFO, dead letter queues, y políticas de retención apropiadas para absorber fluctuaciones de demanda
Amazon API Gateway Recurso: Throttling de API para controlar la tasa de solicitudes y prevenir sobrecarga de sistemas backend Configuración: API Gateway configurado con límites de throttling, burst limits, y usage plans para gestionar demanda de manera controlada
Amazon Kinesis Recurso: Streaming de datos que proporciona buffering para procesamiento de datos en tiempo real Configuración: Kinesis configurado con shards apropiados, retention period, y consumer applications para manejar flujos de datos variables
AWS Application Load Balancer (ALB) Recurso: Distribución de carga que ayuda a gestionar demanda distribuyendo tráfico entre múltiples targets Configuración: ALB configurado con algoritmos de balanceo, health checks, y connection draining para gestionar demanda de manera eficiente
Amazon ElastiCache Recurso: Caching que reduce demanda en sistemas backend almacenando datos frecuentemente accedidos Configuración: ElastiCache configurado con políticas de eviction apropiadas, clustering, y TTL para reducir carga en sistemas primarios</t>
  </si>
  <si>
    <t>Amazon Simple Queue Service (SQS) Verificar que SQS está implementado para buffering de demanda donde es apropiado. El cumplimiento indica uso de colas que absorben picos de demanda, desacoplan componentes, y permiten procesamiento asíncrono. El incumplimiento se evidencia por procesamiento síncrono que no puede manejar picos de demanda.
Amazon API Gateway Verificar que API Gateway está configurado con throttling apropiado para gestionar demanda. El cumplimiento indica límites de throttling que protegen sistemas backend sin impactar negativamente la experiencia del usuario. El incumplimiento se evidencia por falta de throttling que permite sobrecarga de sistemas.
Amazon Kinesis Verificar que Kinesis está implementado para buffering de streaming data donde es relevante. El cumplimiento indica uso de Kinesis para manejar flujos variables de datos con buffering apropiado. El incumplimiento se evidencia por procesamiento directo de streams que no puede manejar picos.
AWS Application Load Balancer (ALB) Verificar que ALB está configurado para distribuir demanda eficientemente. El cumplimiento indica balanceadores que distribuyen carga de manera inteligente y manejan fluctuaciones de demanda. El incumplimiento se evidencia por distribución desigual que causa hotspots.
Amazon ElastiCache Verificar que ElastiCache está implementado para reducir demanda en sistemas backend. El cumplimiento indica caching que reduce significativamente la carga en sistemas primarios durante picos de demanda. El incumplimiento se evidencia por acceso directo a sistemas sin caching.</t>
  </si>
  <si>
    <t xml:space="preserve"># Verificar configuración de Amazon SQS para buffering
aws sqs list-queues --query 'QueueUrls'
aws sqs get-queue-attributes --queue-url https://sqs.us-east-1.amazonaws.com/123456789012/my-queue --attribute-names All --query 'Attributes.{VisibilityTimeout:VisibilityTimeout,MessageRetentionPeriod:MessageRetentionPeriod,MaxReceiveCount:MaxReceiveCount}'
# Validar métricas de SQS para análisis de buffering
aws cloudwatch get-metric-statistics --namespace "AWS/SQS" --metric-name ApproximateNumberOfMessages --start-time 2024-01-01T00:00:00Z --end-time 2024-02-01T00:00:00Z --period 3600 --statistics Average,Maximum --dimensions Name=QueueName,Value=my-queue
aws cloudwatch get-metric-statistics --namespace "AWS/SQS" --metric-name NumberOfMessagesSent --start-time 2024-01-01T00:00:00Z --end-time 2024-02-01T00:00:00Z --period 3600 --statistics Sum --dimensions Name=QueueName,Value=my-queue
# Verificar configuración de API Gateway throttling
aws apigateway get-usage-plans --query 'items[].{id:id,name:name,throttle:throttle,quota:quota}'
aws apigateway get-usage-plan --usage-plan-id abcdef --query '{throttle:throttle,quota:quota,apiStages:apiStages}'
# Validar métricas de API Gateway para throttling
aws cloudwatch get-metric-statistics --namespace "AWS/ApiGateway" --metric-name Count --start-time 2024-01-01T00:00:00Z --end-time 2024-02-01T00:00:00Z --period 3600 --statistics Sum --dimensions Name=ApiName,Value=my-api
aws cloudwatch get-metric-statistics --namespace "AWS/ApiGateway" --metric-name 4XXError --start-time 2024-01-01T00:00:00Z --end-time 2024-02-01T00:00:00Z --period 3600 --statistics Sum --dimensions Name=ApiName,Value=my-api
# Verificar configuración de Kinesis para buffering
aws kinesis list-streams --query 'StreamNames'
aws kinesis describe-stream --stream-name my-stream --query 'StreamDescription.{StreamStatus:StreamStatus,Shards:Shards,RetentionPeriodHours:RetentionPeriodHours}'
# Validar métricas de Kinesis para análisis de buffering
aws cloudwatch get-metric-statistics --namespace "AWS/Kinesis" --metric-name IncomingRecords --start-time 2024-01-01T00:00:00Z --end-time 2024-02-01T00:00:00Z --period 3600 --statistics Sum --dimensions Name=StreamName,Value=my-stream
aws cloudwatch get-metric-statistics --namespace "AWS/Kinesis" --metric-name OutgoingRecords --start-time 2024-01-01T00:00:00Z --end-time 2024-02-01T00:00:00Z --period 3600 --statistics Sum --dimensions Name=StreamName,Value=my-stream
# Verificar configuración de Application Load Balancer
aws elbv2 describe-load-balancers --query 'LoadBalancers[].{LoadBalancerName:LoadBalancerName,Type:Type,Scheme:Scheme,State:State}'
aws elbv2 describe-target-groups --query 'TargetGroups[].{TargetGroupName:TargetGroupName,Protocol:Protocol,HealthCheckPath:HealthCheckPath}'
# Validar métricas de ALB para gestión de demanda
aws cloudwatch get-metric-statistics --namespace "AWS/ApplicationELB" --metric-name RequestCount --start-time 2024-01-01T00:00:00Z --end-time 2024-02-01T00:00:00Z --period 3600 --statistics Sum --dimensions Name=LoadBalancer,Value=app/my-load-balancer/1234567890123456
aws cloudwatch get-metric-statistics --namespace "AWS/ApplicationELB" --metric-name TargetResponseTime --start-time 2024-01-01T00:00:00Z --end-time 2024-02-01T00:00:00Z --period 3600 --statistics Average --dimensions Name=LoadBalancer,Value=app/my-load-balancer/1234567890123456
# Verificar configuración de ElastiCache para caching
aws elasticache describe-cache-clusters --query 'CacheClusters[].{CacheClusterId:CacheClusterId,CacheClusterStatus:CacheClusterStatus,Engine:Engine,CacheNodeType:CacheNodeType}'
aws elasticache describe-replication-groups --query 'ReplicationGroups[].{ReplicationGroupId:ReplicationGroupId,Status:Status,CacheNodeType:CacheNodeType}'
# Validar métricas de ElastiCache para efectividad de caching
aws cloudwatch get-metric-statistics --namespace "AWS/ElastiCache" --metric-name CacheHits --start-time 2024-01-01T00:00:00Z --end-time 2024-02-01T00:00:00Z --period 3600 --statistics Sum --dimensions Name=CacheClusterId,Value=my-cache-cluster
aws cloudwatch get-metric-statistics --namespace "AWS/ElastiCache" --metric-name CacheMisses --start-time 2024-01-01T00:00:00Z --end-time 2024-02-01T00:00:00Z --period 3600 --statistics Sum --dimensions Name=CacheClusterId,Value=my-cache-cluster
# Verificar análisis de capacidades de retry de clientes
aws ssm describe-parameters --query 'Parameters[?contains(Name, `client-retry-analysis`) || contains(Name, `retry-capabilities`)]'
aws ssm get-parameter --name "/client-analysis/retry-capabilities"
# Validar configuración de dead letter queues
aws sqs get-queue-attributes --queue-url https://sqs.us-east-1.amazonaws.com/123456789012/my-dlq --attribute-names All --query 'Attributes.{MessageRetentionPeriod:MessageRetentionPeriod,ReceiveMessageWaitTimeSeconds:ReceiveMessageWaitTimeSeconds}'
# Verificar análisis de tamaño de buffer/throttle requerido
aws ssm get-parameter --name "/demand-management/buffer-sizing-analysis"
aws dynamodb scan --table-name BufferSizingAnalysis --projection-expression "ComponentName, DemandPattern, BufferSize, ThrottleRate, Effectiveness"
# Validar análisis de tiempo de respuesta requerido
aws ssm get-parameter --name "/response-time-analysis/requirements"
aws cloudwatch get-metric-statistics --namespace "Custom/ResponseTime" --metric-name RequiredResponseTime --start-time 2024-01-01T00:00:00Z --end-time 2024-02-01T00:00:00Z --period 3600 --statistics Average
# Verificar implementación de circuit breakers
aws ssm describe-parameters --query 'Parameters[?contains(Name, `circuit-breaker`) || contains(Name, `fault-tolerance`)]'
aws lambda list-functions --query 'Functions[?contains(FunctionName, `circuit`) || contains(FunctionName, `breaker`)]'
# Validar análisis de efectividad de buffering/throttling
aws ssm get-parameter --name "/demand-management/effectiveness-analysis"
aws dynamodb scan --table-name DemandManagementEffectiveness --projection-expression "Mechanism, CostReduction, PerformanceImpact, UserExperience"
# Verificar configuración de auto-scaling basado en queue depth
aws autoscaling describe-policies --query 'ScalingPolicies[?contains(PolicyName, `queue`) || contains(PolicyName, `sqs`)]'
aws cloudwatch describe-alarms --query 'MetricAlarms[?contains(AlarmName, `queue`) || contains(AlarmName, `sqs`)]'
</t>
  </si>
  <si>
    <r>
      <rPr>
        <b/>
        <sz val="11"/>
        <color rgb="FF000000"/>
        <rFont val="Montserrat"/>
      </rPr>
      <t xml:space="preserve">COST09-BP03 </t>
    </r>
    <r>
      <rPr>
        <sz val="11"/>
        <color rgb="FF000000"/>
        <rFont val="Montserrat"/>
      </rPr>
      <t>Suministro dinámico de recursos</t>
    </r>
  </si>
  <si>
    <t>Los recursos se aprovisionan de manera planificada. Esto puede basarse en la demanda (por ejemplo, mediante el escalado automático) o en el tiempo, donde la demanda es predecible y los recursos se proporcionan en función del tiempo. Estos métodos conllevan la menor cantidad de aprovisionamiento excesivo o insuficiente.</t>
  </si>
  <si>
    <t>Auto Scaling.
AWS Auto Scaling Recurso: Escalado automático de recursos basado en demanda para mantener performance óptimo con el menor costo posible Configuración: Auto Scaling configurado con políticas de escalado dinámico, predictivo, y programado que ajustan capacidad automáticamente basándose en métricas de demanda
AWS Instance Scheduler Recurso: Automatización de inicio y parada de instancias EC2 y RDS basado en horarios definidos para reducir costos operacionales Configuración: Instance Scheduler configurado con horarios optimizados que detienen recursos no utilizados y los inician cuando son necesarios
Elastic Load Balancing (ELB) Recurso: Distribución inteligente de demanda a través de múltiples recursos para optimizar utilización y performance Configuración: ELB configurado con algoritmos de balanceo apropiados, health checks, y integración con Auto Scaling para distribución óptima de tráfico
Amazon EC2 Spot Instances Recurso: Capacidad de cómputo spare que se puede escalar dinámicamente para workloads tolerantes a interrupciones Configuración: Spot Instances configurado con Auto Scaling groups mixtos que combinan On-Demand y Spot para escalado costo-efectivo
AWS CloudFormation Recurso: Aprovisionamiento y descomisionado automático de entornos completos basado en demanda Configuración: CloudFormation configurado con templates que permiten crear y destruir entornos completos de manera programática</t>
  </si>
  <si>
    <t>1. Aprovisionar recursos en base a la demanda o al tiempo predecible, evitando el aprovisionamiento excesivo.
AWS Auto Scaling Verificar que Auto Scaling está implementado para ajustar recursos dinámicamente basándose en demanda. El cumplimiento indica políticas de escalado que responden efectivamente a cambios de demanda, mantienen performance, y optimizan costos. El incumplimiento se evidencia por recursos estáticos que no se ajustan a demanda variable.
AWS Instance Scheduler Verificar que Instance Scheduler está implementado para recursos con patrones de uso predecibles. El cumplimiento indica automatización que detiene recursos durante períodos de no uso y los inicia cuando son necesarios. El incumplimiento se evidencia por recursos ejecutándose 24/7 sin justificación de negocio.
Elastic Load Balancing (ELB) Verificar que ELB está configurado para distribuir demanda eficientemente a través de recursos escalables. El cumplimiento indica balanceadores que optimizan distribución de tráfico y se integran con Auto Scaling. El incumplimiento se evidencia por distribución manual o ineficiente de carga.
Amazon EC2 Spot Instances Verificar que Spot Instances están siendo utilizadas para escalado dinámico donde es apropiado. El cumplimiento indica uso de Spot en Auto Scaling groups para reducir costos mientras mantiene disponibilidad. El incumplimiento se evidencia por uso exclusivo de On-Demand sin considerar Spot.
AWS CloudFormation Verificar que CloudFormation está siendo utilizado para aprovisionamiento dinámico de entornos. El cumplimiento indica templates que permiten crear/destruir entornos completos basándose en demanda. El incumplimiento se evidencia por aprovisionamiento manual de entornos.</t>
  </si>
  <si>
    <t xml:space="preserve"># Verificar configuración de AWS Auto Scaling
aws autoscaling describe-auto-scaling-groups --query 'AutoScalingGroups[].{AutoScalingGroupName:AutoScalingGroupName,DesiredCapacity:DesiredCapacity,MinSize:MinSize,MaxSize:MaxSize,HealthCheckType:HealthCheckType}'
aws autoscaling describe-policies --query 'ScalingPolicies[].{PolicyName:PolicyName,PolicyType:PolicyType,AdjustmentType:AdjustmentType,ScalingAdjustment:ScalingAdjustment}'
# Validar políticas de escalado dinámico
aws autoscaling describe-policies --query 'ScalingPolicies[?PolicyType==`TargetTrackingScaling` || PolicyType==`StepScaling`]'
aws cloudwatch describe-alarms --query 'MetricAlarms[?contains(AlarmName, `scale`) || contains(AlarmName, `autoscaling`)]'
# Verificar escalado predictivo
aws autoscaling describe-policies --query 'ScalingPolicies[?PolicyType==`PredictiveScaling`]'
aws autoscaling get-predictive-scaling-forecast --auto-scaling-group-name my-asg --policy-name my-predictive-policy --start-time 2024-01-01T00:00:00Z --end-time 2024-01-02T00:00:00Z
# Validar métricas de efectividad de Auto Scaling
aws cloudwatch get-metric-statistics --namespace "AWS/AutoScaling" --metric-name GroupDesiredCapacity --start-time 2024-01-01T00:00:00Z --end-time 2024-02-01T00:00:00Z --period 3600 --statistics Average --dimensions Name=AutoScalingGroupName,Value=my-asg
aws cloudwatch get-metric-statistics --namespace "AWS/AutoScaling" --metric-name GroupInServiceInstances --start-time 2024-01-01T00:00:00Z --end-time 2024-02-01T00:00:00Z --period 3600 --statistics Average --dimensions Name=AutoScalingGroupName,Value=my-asg
# Verificar configuración de AWS Instance Scheduler
aws ssm describe-parameters --query 'Parameters[?contains(Name, `instance-scheduler`) || contains(Name, `scheduler`)]'
aws ssm get-parameter --name "/instance-scheduler/configuration"
# Validar efectividad de Instance Scheduler
aws ec2 describe-instances --query 'Reservations[].Instances[?Tags[?Key==`Schedule` &amp;&amp; Value!=null]].{InstanceId:InstanceId,State:State.Name,Schedule:Tags[?Key==`Schedule`].Value}'
aws cloudwatch get-metric-statistics --namespace "Custom/InstanceScheduler" --metric-name InstancesScheduled --start-time 2024-01-01T00:00:00Z --end-time 2024-02-01T00:00:00Z --period 86400 --statistics Sum
# Verificar configuración de Elastic Load Balancing
aws elbv2 describe-load-balancers --query 'LoadBalancers[].{LoadBalancerName:LoadBalancerName,Type:Type,Scheme:Scheme,State:State}'
aws elbv2 describe-target-groups --query 'TargetGroups[].{TargetGroupName:TargetGroupName,Protocol:Protocol,HealthCheckEnabled:HealthCheckEnabled}'
# Validar integración ELB con Auto Scaling
aws autoscaling describe-load-balancer-target-groups --auto-scaling-group-name my-asg --query 'LoadBalancerTargetGroups[].{TargetGroupARN:TargetGroupARN,State:State}'
aws elbv2 describe-target-health --target-group-arn arn:aws:elasticloadbalancing:us-east-1:123456789012:targetgroup/my-targets/1234567890123456
# Verificar uso de Spot Instances en Auto Scaling
aws autoscaling describe-auto-scaling-groups --query 'AutoScalingGroups[?MixedInstancesPolicy!=null].{AutoScalingGroupName:AutoScalingGroupName,MixedInstancesPolicy:MixedInstancesPolicy}'
aws ec2 describe-instances --query 'Reservations[].Instances[?InstanceLifecycle==`spot`].{InstanceId:InstanceId,InstanceType:InstanceType,SpotInstanceRequestId:SpotInstanceRequestId}'
# Validar efectividad de Spot Instances
aws ce get-cost-and-usage --time-period Start=2024-01-01,End=2024-02-01 --granularity MONTHLY --metrics BlendedCost --group-by Type=DIMENSION,Key=PURCHASE_TYPE --filter '{"Dimensions":{"Key":"SERVICE","Values":["Amazon Elastic Compute Cloud - Compute"]}}'
# Verificar configuración de CloudFormation para aprovisionamiento dinámico
aws cloudformation list-stacks --query 'StackSummaries[?StackStatus!=`DELETE_COMPLETE`].{StackName:StackName,StackStatus:StackStatus,CreationTime:CreationTime}'
aws cloudformation describe-stacks --stack-name my-dynamic-stack --query 'Stacks[0].{StackStatus:StackStatus,Parameters:Parameters,Tags:Tags}'
# Validar templates de CloudFormation para escalado
aws s3api list-objects-v2 --bucket cloudformation-templates --prefix "auto-scaling/" --query 'Contents[].Key'
aws cloudformation validate-template --template-url https://s3.amazonaws.com/cloudformation-templates/auto-scaling/dynamic-scaling.yaml
# Verificar escalado basado en horarios
aws autoscaling describe-scheduled-actions --query 'ScheduledUpdateGroupActions[].{ScheduledActionName:ScheduledActionName,StartTime:StartTime,EndTime:EndTime,DesiredCapacity:DesiredCapacity}'
# Validar análisis de patrones de demanda para escalado
aws ssm get-parameter --name "/scaling-analysis/demand-patterns"
aws dynamodb scan --table-name ScalingAnalysis --projection-expression "TimeFrame, DemandPattern, ScalingEffectiveness, CostOptimization"
# Verificar configuración de launch templates
aws ec2 describe-launch-templates --query 'LaunchTemplates[].{LaunchTemplateName:LaunchTemplateName,LatestVersionNumber:LatestVersionNumber,DefaultVersionNumber:DefaultVersionNumber}'
aws ec2 describe-launch-template-versions --launch-template-id lt-1234567890abcdef0 --query 'LaunchTemplateVersions[0].LaunchTemplateData.{InstanceType:InstanceType,ImageId:ImageId}'
# Validar attribute-based instance selection
aws autoscaling describe-auto-scaling-groups --query 'AutoScalingGroups[?MixedInstancesPolicy.LaunchTemplate.Overrides[0].InstanceRequirements!=null]'
# Verificar análisis de tiempo de aprovisionamiento
aws ssm get-parameter --name "/provisioning-analysis/timing-metrics"
aws cloudwatch get-metric-statistics --namespace "AWS/AutoScaling" --metric-name GroupPendingInstances --start-time 2024-01-01T00:00:00Z --end-time 2024-02-01T00:00:00Z --period 300 --statistics Average --dimensions Name=AutoScalingGroupName,Value=my-asg
# Validar escalado vertical dinámico
aws ssm describe-parameters --query 'Parameters[?contains(Name, `vertical-scaling`) || contains(Name, `instance-resize`)]'
aws lambda list-functions --query 'Functions[?contains(FunctionName, `resize`) || contains(FunctionName, `scale`)]'
# Verificar análisis de efectividad de escalado dinámico
aws ssm get-parameter --name "/scaling-effectiveness/analysis"
aws dynamodb scan --table-name ScalingEffectiveness --projection-expression "ScalingType, CostSavings, PerformanceImpact, ResourceUtilization"
</t>
  </si>
  <si>
    <t>Optimizar con el tiempo
COST 10. ¿Cómo evalúa los nuevos servicios?</t>
  </si>
  <si>
    <r>
      <rPr>
        <b/>
        <sz val="11"/>
        <color rgb="FF000000"/>
        <rFont val="Montserrat"/>
      </rPr>
      <t xml:space="preserve">COST10-BP01 </t>
    </r>
    <r>
      <rPr>
        <sz val="11"/>
        <color rgb="FF000000"/>
        <rFont val="Montserrat"/>
      </rPr>
      <t>Desarrollar un proceso de revisión de la carga de trabajo</t>
    </r>
  </si>
  <si>
    <t>Desarrolle un proceso que defina los criterios y el proceso para la revisión de las cargas de trabajo. El esfuerzo de revisión debe reflejar la ventaja potencial. Por ejemplo, las cargas de trabajo principales o las cargas de trabajo con un valor por encima del diez por ciento de la factura se revisan trimestral o semestralmente, mientras que las cargas de trabajo por debajo del diez por ciento se revisan anualmente.</t>
  </si>
  <si>
    <t>AWS Well-Architected Tool, Facturación.
AWS Cost Explorer Recurso: Herramienta de análisis de costos para revisar regularmente patrones de gasto y identificar oportunidades de optimización Configuración: Cost Explorer configurado con reportes regulares, análisis de tendencias, y dashboards personalizados para revisión sistemática de workloads
AWS Trusted Advisor Recurso: Servicio que proporciona recomendaciones de optimización de costos basadas en mejores prácticas Configuración: Trusted Advisor configurado para generar recomendaciones regulares de optimización de costos, rightsizing, y recursos no utilizados
AWS Well-Architected Tool Recurso: Herramienta para revisar workloads contra las mejores prácticas del framework Well-Architected Configuración: Well-Architected Tool configurado con revisiones programadas que evalúan workloads contra pilares de optimización de costos
AWS Config Recurso: Servicio de configuración que rastrea cambios en recursos y evalúa compliance con reglas de optimización Configuración: Config configurado con reglas que evalúan configuraciones de recursos contra mejores prácticas de costo-eficiencia
AWS Support Proactive Services Recurso: Servicios proactivos de AWS Support que proporcionan revisiones regulares y recomendaciones de optimización Configuración: Support Proactive Services configurado para revisiones regulares de workloads críticos y recomendaciones de optimización</t>
  </si>
  <si>
    <t>1. Definir criterios de revisión. Comprobar que cargas superiores al 10% de la factura se revisan trimestral/semestralmente, y el resto anualmente.
AWS Cost Explorer Verificar que Cost Explorer está siendo utilizado para revisiones regulares de workloads. El cumplimiento indica análisis sistemático de costos por workload, identificación de tendencias, y reportes regulares que informan decisiones de optimización. El incumplimiento se evidencia por falta de revisión regular de costos por workload.
AWS Trusted Advisor Verificar que Trusted Advisor está configurado para proporcionar recomendaciones regulares de optimización. El cumplimiento indica revisión sistemática de recomendaciones y implementación de mejoras sugeridas. El incumplimiento se evidencia por ignorar recomendaciones de Trusted Advisor.
AWS Well-Architected Tool Verificar que Well-Architected Tool está siendo utilizado para revisiones estructuradas de workloads. El cumplimiento indica revisiones regulares que evalúan workloads contra mejores prácticas y generan planes de mejora. El incumplimiento se evidencia por falta de revisiones estructuradas.
AWS Config Verificar que Config está configurado para evaluar compliance con mejores prácticas de costo-eficiencia. El cumplimiento indica reglas que evalúan configuraciones y alertan sobre desviaciones de mejores prácticas. El incumplimiento se evidencia por falta de evaluación automatizada de configuraciones.
AWS Support Proactive Services Verificar que Support Proactive Services está siendo utilizado para revisiones expertas de workloads. El cumplimiento indica participación en revisiones proactivas y implementación de recomendaciones expertas. El incumplimiento se evidencia por falta de aprovechamiento de servicios proactivos.</t>
  </si>
  <si>
    <t xml:space="preserve"># Verificar configuración de proceso de revisión documentado
aws ssm describe-parameters --query 'Parameters[?contains(Name, `workload-review-process`) || contains(Name, `review-schedule`)]'
aws ssm get-parameter --name "/workload-review-process/schedule"
# Validar frecuencia de revisión definida por workload
aws ssm get-parameter --name "/workload-review-process/frequency-matrix"
aws dynamodb scan --table-name WorkloadReviewSchedule --projection-expression "WorkloadName, ReviewFrequency, LastReview, NextReview, Priority"
# Verificar análisis de costos por workload
aws ce get-cost-and-usage --time-period Start=2024-01-01,End=2024-02-01 --granularity MONTHLY --metrics BlendedCost --group-by Type=TAG,Key=Workload Type=TAG,Key=Environment
aws ce get-cost-and-usage --time-period Start=2024-01-01,End=2024-02-01 --granularity MONTHLY --metrics BlendedCost --group-by Type=TAG,Key=Application Type=TAG,Key=Component
# Validar configuración de AWS Trusted Advisor
aws support describe-trusted-advisor-checks --language en --query 'checks[?category==`cost_optimizing`].{id:id,name:name,category:category}'
aws support describe-trusted-advisor-check-result --check-id Qch7DwouX1 --language en --query 'result.{status:status,resourcesSummary:resourcesSummary}'
# Verificar uso de AWS Well-Architected Tool
aws wellarchitected list-workloads --query 'WorkloadSummaries[].{WorkloadId:WorkloadId,WorkloadName:WorkloadName,UpdatedAt:UpdatedAt}'
aws wellarchitected get-workload --workload-id abcdef123456 --query 'Workload.{WorkloadName:WorkloadName,ReviewedAt:ReviewedAt,UpdatedAt:UpdatedAt}'
# Validar revisiones de Well-Architected por pilar de costos
aws wellarchitected list-lens-reviews --workload-id abcdef123456 --query 'LensReviewSummaries[?LensAlias==`wellarchitected`]'
aws wellarchitected get-lens-review --workload-id abcdef123456 --lens-alias wellarchitected --query 'LensReview.PillarReviewSummaries[?PillarId==`costOptimization`]'
# Verificar configuración de AWS Config para optimización de costos
aws configservice describe-configuration-recorders --query 'ConfigurationRecorders[].{name:name,roleARN:roleARN,recordingGroup:recordingGroup}'
aws configservice describe-config-rules --query 'ConfigRules[?contains(ConfigRuleName, `cost`) || contains(ConfigRuleName, `optimization`)].{ConfigRuleName:ConfigRuleName,Source:Source}'
# Validar evaluaciones de compliance de Config
aws configservice get-compliance-summary-by-config-rule --query 'ComplianceSummary.{CompliantResourceCount:CompliantResourceCount,NonCompliantResourceCount:NonCompliantResourceCount}'
# Verificar análisis de componentes de workload
aws resourcegroupstaggingapi get-resources --tag-filters Key=Workload,Values=* Key=Component,Values=*
aws ce get-cost-and-usage --time-period Start=2024-01-01,End=2024-02-01 --granularity MONTHLY --metrics BlendedCost --group-by Type=TAG,Key=Component
# Validar definición de thoroughness de revisión
aws ssm get-parameter --name "/workload-review-process/thoroughness-definition"
aws dynamodb scan --table-name ReviewThoroughness --projection-expression "ComponentType, ReviewEffort, AnalysisDepth, ExpectedOutcomes"
# Verificar análisis de factores externos
aws ssm get-parameter --name "/workload-review-process/external-factors"
aws dynamodb scan --table-name ExternalFactors --projection-expression "WorkloadName, MarketFactors, GeographicFactors, RegulatoryFactors, ImpactLevel"
# Validar análisis de esfuerzo de cambio
aws ssm get-parameter --name "/workload-review-process/change-effort-analysis"
aws dynamodb scan --table-name ChangeEffortAnalysis --projection-expression "WorkloadComponent, ChangeComplexity, TestingRequirements, ValidationCosts"
# Verificar evaluación de nuevos servicios
aws ssm get-parameter --name "/new-services-evaluation/process"
aws s3api list-objects-v2 --bucket new-services-evaluation --prefix "service-evaluations/"
# Validar análisis de potencial de ahorro
aws ssm get-parameter --name "/workload-review-process/savings-potential"
aws dynamodb scan --table-name SavingsPotential --projection-expression "WorkloadName, CurrentCost, PotentialSavings, ImplementationEffort, ROI"
# Verificar documentación de proceso de mejora continua
aws ssm get-parameter --name "/continuous-improvement/process"
aws events list-rules --query 'Rules[?contains(Name, `workload-review`) || contains(Name, `cost-optimization`)]'
# Validar métricas de efectividad del proceso de revisión
aws cloudwatch list-metrics --namespace "CostOptimization" --query 'Metrics[?contains(MetricName, `Review`) || contains(MetricName, `Optimization`)]'
aws cloudwatch get-metric-statistics --namespace "CostOptimization" --metric-name ReviewEffectiveness --start-time 2024-01-01T00:00:00Z --end-time 2024-02-01T00:00:00Z --period 86400 --statistics Average
# Verificar análisis de workloads por importancia
aws resourcegroupstaggingapi get-resources --tag-filters Key=BusinessCriticality,Values=* Key=CostImpact,Values=*
aws dynamodb scan --table-name WorkloadPriority --projection-expression "WorkloadName, BusinessCriticality, CostPercentage, ReviewPriority"
# Validar análisis de licenciamiento y costos a largo plazo
aws ssm get-parameter --name "/licensing-analysis/long-term-costs"
aws dynamodb scan --table-name LicensingAnalysis --projection-expression "SoftwareComponent, LicensingModel, LongTermCosts, OptimizationOpportunities"
</t>
  </si>
  <si>
    <r>
      <rPr>
        <b/>
        <sz val="11"/>
        <color rgb="FF000000"/>
        <rFont val="Montserrat"/>
      </rPr>
      <t xml:space="preserve">COST10-BP02 </t>
    </r>
    <r>
      <rPr>
        <sz val="11"/>
        <color rgb="FF000000"/>
        <rFont val="Montserrat"/>
      </rPr>
      <t>Revise y analice esta carga de trabajo con regularidad</t>
    </r>
  </si>
  <si>
    <t>Las cargas de trabajo existentes se revisan periódicamente en función de cada proceso definido para averiguar si se pueden adoptar nuevos servicios, reemplazar los existentes o rediseñar las cargas de trabajo.</t>
  </si>
  <si>
    <t>Documentos de diseño arquitectónico.
AWS Cost Explorer Recurso: Análisis regular de costos y tendencias para identificar oportunidades de optimización y evaluar impacto de nuevos servicios Configuración: Cost Explorer configurado con reportes programados, análisis de tendencias, y comparaciones antes/después de implementar cambios
AWS Well-Architected Tool Recurso: Revisiones estructuradas regulares del workload contra mejores prácticas de optimización de costos Configuración: Well-Architected Tool configurado con revisiones programadas que evalúan el workload y generan planes de mejora específicos
AWS Trusted Advisor Recurso: Recomendaciones continuas de optimización basadas en análisis automatizado del workload Configuración: Trusted Advisor configurado para generar recomendaciones regulares de rightsizing, recursos no utilizados, y oportunidades de ahorro
AWS Cost Anomaly Detection Recurso: Detección automática de anomalías en costos que pueden indicar necesidad de revisión del workload Configuración: Cost Anomaly Detection configurado con umbrales apropiados y alertas que disparan revisiones del workload
AWS Compute Optimizer Recurso: Recomendaciones específicas de rightsizing para recursos de cómputo basadas en análisis de utilización Configuración: Compute Optimizer configurado para analizar patrones de uso y proporcionar recomendaciones de optimización regulares</t>
  </si>
  <si>
    <t>1. Comprobar periódicamente si es posible adoptar nuevos servicios, reemplazarlos o rediseñar la carga.
AWS Cost Explorer Verificar que Cost Explorer está siendo utilizado para análisis regular del workload. El cumplimiento indica revisiones programadas que analizan tendencias de costos, identifican cambios, y evalúan efectividad de optimizaciones implementadas. El incumplimiento se evidencia por falta de análisis regular de costos del workload.
AWS Well-Architected Tool Verificar que Well-Architected Tool está siendo utilizado para revisiones estructuradas regulares. El cumplimiento indica revisiones programadas que evalúan el workload contra mejores prácticas y generan planes de acción específicos. El incumplimiento se evidencia por falta de revisiones estructuradas del workload.
AWS Trusted Advisor Verificar que Trusted Advisor está siendo utilizado para recomendaciones continuas. El cumplimiento indica revisión regular de recomendaciones e implementación de mejoras sugeridas. El incumplimiento se evidencia por ignorar recomendaciones de optimización.
AWS Cost Anomaly Detection Verificar que Cost Anomaly Detection está configurado para disparar revisiones del workload. El cumplimiento indica alertas que resultan en análisis del workload y acciones correctivas. El incumplimiento se evidencia por anomalías no investigadas.
AWS Compute Optimizer Verificar que Compute Optimizer está siendo utilizado para optimización continua de recursos. El cumplimiento indica revisión regular de recomendaciones e implementación de rightsizing sugerido. El incumplimiento se evidencia por recursos mal dimensionados sin optimización.</t>
  </si>
  <si>
    <t xml:space="preserve"># Verificar programación de revisiones regulares del workload
aws ssm describe-parameters --query 'Parameters[?contains(Name, `workload-review-schedule`) || contains(Name, `regular-analysis`)]'
aws ssm get-parameter --name "/workload-review-schedule/frequency"
# Validar ejecución de revisiones programadas
aws events list-rules --query 'Rules[?contains(Name, `workload-review`) || contains(Name, `cost-analysis`)]'
aws events describe-rule --name "workload-review-monthly" --query '{Name:Name,ScheduleExpression:ScheduleExpression,State:State}'
# Verificar análisis de costos del workload con Cost Explorer
aws ce get-cost-and-usage --time-period Start=2024-01-01,End=2024-02-01 --granularity MONTHLY --metrics BlendedCost --group-by Type=TAG,Key=Workload
aws ce get-cost-and-usage --time-period Start=2023-01-01,End=2023-02-01 --granularity MONTHLY --metrics BlendedCost --group-by Type=TAG,Key=Workload --query 'ResultsByTime[].Groups[?Keys[0]==`my-workload`]'
# Validar análisis de tendencias y cambios
aws ce get-cost-and-usage --time-period Start=2024-01-01,End=2024-02-01 --granularity DAILY --metrics BlendedCost --group-by Type=TAG,Key=Workload
aws ce get-cost-forecast --time-period Start=2024-02-01,End=2024-03-01 --metric BlendedCost --granularity MONTHLY --filter '{"Tags":{"Key":"Workload","Values":["my-workload"]}}'
# Verificar revisiones de Well-Architected Tool
aws wellarchitected list-workloads --query 'WorkloadSummaries[].{WorkloadId:WorkloadId,WorkloadName:WorkloadName,UpdatedAt:UpdatedAt}'
aws wellarchitected get-workload --workload-id abcdef123456 --query 'Workload.{WorkloadName:WorkloadName,ReviewedAt:ReviewedAt,UpdatedAt:UpdatedAt}'
# Validar análisis de pilares de costo en Well-Architected
aws wellarchitected get-lens-review --workload-id abcdef123456 --lens-alias wellarchitected --query 'LensReview.PillarReviewSummaries[?PillarId==`costOptimization`]'
aws wellarchitected list-answers --workload-id abcdef123456 --lens-alias wellarchitected --pillar-id costOptimization --query 'AnswerSummaries[].{QuestionId:QuestionId,Risk:Risk,IsApplicable:IsApplicable}'
# Verificar recomendaciones de Trusted Advisor
aws support describe-trusted-advisor-checks --language en --query 'checks[?category==`cost_optimizing`].{id:id,name:name,category:category}'
aws support describe-trusted-advisor-check-result --check-id Qch7DwouX1 --language en --query 'result.{status:status,resourcesSummary:resourcesSummary,flaggedResources:flaggedResources}'
# Validar análisis de anomalías de costos
aws ce get-anomalies --date-interval Start=2024-01-01,End=2024-02-01 --query 'Anomalies[].{AnomalyId:AnomalyId,AnomalyScore:AnomalyScore,Impact:Impact,DimensionKey:DimensionKey}'
aws ce get-anomaly-detectors --query 'AnomalyDetectors[].{AnomalyDetectorArn:AnomalyDetectorArn,DetectorName:DetectorName,MonitorType:MonitorType}'
# Verificar recomendaciones de Compute Optimizer
aws compute-optimizer get-ec2-instance-recommendations --query 'instanceRecommendations[].{instanceArn:instanceArn,currentInstanceType:currentInstanceType,recommendationOptions:recommendationOptions[0].instanceType}'
aws compute-optimizer get-auto-scaling-group-recommendations --query 'autoScalingGroupRecommendations[].{autoScalingGroupArn:autoScalingGroupArn,currentConfiguration:currentConfiguration,recommendationOptions:recommendationOptions[0]}'
# Validar baseline de costos antes de cambios
aws ssm get-parameter --name "/workload-baseline/current-costs"
aws dynamodb scan --table-name WorkloadBaseline --projection-expression "WorkloadName, BaselineDate, CostPerOutput, PerformanceMetrics"
# Verificar análisis post-implementación
aws ssm get-parameter --name "/workload-analysis/post-implementation"
aws dynamodb scan --table-name PostImplementationAnalysis --projection-expression "ChangeId, ImplementationDate, CostImpact, PerformanceImpact, ROI"
# Validar seguimiento de nuevos servicios AWS
aws ssm get-parameter --name "/new-services-tracking/evaluation-log"
aws s3api list-objects-v2 --bucket new-services-evaluation --prefix "workload-analysis/"
# Verificar análisis de beneficios vs costos de implementación
aws ssm get-parameter --name "/cost-benefit-analysis/implementation-costs"
aws dynamodb scan --table-name CostBenefitAnalysis --projection-expression "ServiceChange, ImplementationCost, LongTermBenefits, PaybackPeriod"
# Validar documentación de decisiones de revisión
aws ssm get-parameter --name "/workload-review/decision-log"
aws s3api list-objects-v2 --bucket workload-reviews --prefix "decision-logs/"
# Verificar métricas de efectividad de revisiones
aws cloudwatch list-metrics --namespace "WorkloadReview" --query 'Metrics[].{MetricName:MetricName,Dimensions:Dimensions}'
aws cloudwatch get-metric-statistics --namespace "WorkloadReview" --metric-name ReviewEffectiveness --start-time 2024-01-01T00:00:00Z --end-time 2024-02-01T00:00:00Z --period 86400 --statistics Average
# Validar análisis de componentes específicos del workload
aws resourcegroupstaggingapi get-resources --tag-filters Key=Workload,Values=my-workload Key=Component,Values=*
aws ce get-cost-and-usage --time-period Start=2024-01-01,End=2024-02-01 --granularity MONTHLY --metrics BlendedCost --group-by Type=TAG,Key=Component --filter '{"Tags":{"Key":"Workload","Values":["my-workload"]}}'
# Verificar análisis de modernización y reemplazo de servicios
aws ssm get-parameter --name "/modernization-analysis/service-replacement"
aws dynamodb scan --table-name ModernizationAnalysis --projection-expression "CurrentService, ProposedService, CostComparison, FeatureComparison, MigrationEffort"
# Validar análisis de requirements de negocio
aws ssm get-parameter --name "/business-requirements/analysis"
aws dynamodb scan --table-name BusinessRequirements --projection-expression "RequirementType, CurrentState, OptimizationOpportunity, ComplianceImpact"
</t>
  </si>
  <si>
    <t>Optimizar con el tiempo
COST 11. ¿Cómo evalúa el costo del esfuerzo?</t>
  </si>
  <si>
    <r>
      <rPr>
        <b/>
        <u/>
        <sz val="11"/>
        <color theme="1"/>
        <rFont val="Montserrat"/>
      </rPr>
      <t>COST11-BP01</t>
    </r>
    <r>
      <rPr>
        <u/>
        <sz val="11"/>
        <color theme="1"/>
        <rFont val="Montserrat"/>
      </rPr>
      <t xml:space="preserve"> Realizar automatización de operaciones</t>
    </r>
  </si>
  <si>
    <t>Evalúe los costos operativos en la nube, centrándose en cuantificar el ahorro de tiempo y esfuerzo en tareas administrativas, implementaciones, mitigación del riesgo de errores humanos, cumplimiento y otras operaciones mediante la automatización. Evalúe el tiempo y los costos asociados que son necesarios para los esfuerzos operativos e implemente la automatización de las tareas administrativas para minimizar el esfuerzo manual siempre que sea factible.</t>
  </si>
  <si>
    <t>Infraestructura como Código (IaC): AWS CloudFormation, AWS CDK, o Terraform.
Automatización Operativa: AWS Systems Manager (Automation Runbooks, Patch Manager), AWS Lambda, Amazon EventBridge.
Canales de Despliegue (CI/CD): AWS CodePipeline, AWS CodeBuild, AWS CodeDeploy.
AWS Systems Manager Recurso: Automatización de tareas operacionales como inicio/parada de workloads, parcheo de sistemas operativos, y gestión de configuraciones Configuración: Systems Manager configurado con Automation Documents, Maintenance Windows, y Patch Manager para reducir esfuerzo manual y costos operacionales
AWS CloudFormation Recurso: Infrastructure as Code para automatizar el despliegue y gestión de recursos de manera consistente y repetible Configuración: CloudFormation configurado con templates que automatizan aprovisionamiento, actualización, y eliminación de recursos para reducir esfuerzo manual
AWS Lambda Recurso: Automatización de procesos repetitivos mediante funciones serverless activadas por eventos o programadas Configuración: Lambda configurado con funciones que automatizan tareas operacionales como limpieza de recursos, procesamiento de datos, y respuesta a eventos
AWS Config Recurso: Automatización de compliance y evaluación de configuraciones de recursos para mantener estándares operacionales Configuración: Config configurado con reglas automáticas que evalúan configuraciones y remedian desviaciones sin intervención manual
AWS Step Functions Recurso: Orquestación de workflows complejos para automatizar procesos operacionales multi-paso Configuración: Step Functions configurado con state machines que coordinan múltiples servicios AWS para automatizar procesos operacionales complejos</t>
  </si>
  <si>
    <t>1. Auditoría de Infraestructura como Código (IaC): Verificar qué porcentaje de la infraestructura se despliega manualmente (ClickOps desde la consola) frente a plantillas de CloudFormation/Terraform. Un alto porcentaje de operaciones manuales indica una oportunidad de ahorro de esfuerzo.
2. Revisión de Tareas Administrativas: Auditar en AWS Systems Manager si las tareas rutinarias (como la aplicación de parches en EC2, rotación de contraseñas, o copias de seguridad) están automatizadas mediante Runbooks, en lugar de que un administrador inicie sesión por SSH/RDP.
3. Evaluación de Flujos de CI/CD: Comprobar si las actualizaciones de software se realizan a través de pipelines automatizados de CodePipeline. Medir el tiempo y costo humano que toma un despliegue manual vs. uno automatizado.
4. Análisis de Auto-remediación: Revisar si existen reglas en Amazon EventBridge que disparen funciones Lambda para resolver problemas comunes sin intervención humana (ej. reiniciar un servicio caído o escalar un recurso que se quedó sin espacio).
5. Cuantificación Financiera del Esfuerzo: Entrevistar al equipo de operaciones para estimar las horas semanales dedicadas a tareas repetitivas y multiplicar eso por la tarifa por hora del ingeniero. Comparar este costo con el esfuerzo necesario para programar la automatización.
AWS Systems Manager Verificar que Systems Manager está implementado para automatizar tareas operacionales repetitivas. El cumplimiento indica uso de Automation Documents, Maintenance Windows, y otros componentes que reducen significativamente el esfuerzo manual. El incumplimiento se evidencia por tareas operacionales manuales que podrían automatizarse.
AWS CloudFormation Verificar que CloudFormation está siendo utilizado para automatizar gestión de infraestructura. El cumplimiento indica templates que automatizan despliegue, actualización, y eliminación de recursos de manera consistente. El incumplimiento se evidencia por gestión manual de infraestructura.
AWS Lambda Verificar que Lambda está implementado para automatizar procesos repetitivos. El cumplimiento indica funciones que automatizan tareas operacionales, reducen intervención manual, y mejoran eficiencia. El incumplimiento se evidencia por procesos manuales que podrían automatizarse con Lambda.
AWS Config Verificar que Config está configurado para automatizar compliance y remediation. El cumplimiento indica reglas automáticas que evalúan y remedian configuraciones sin intervención manual. El incumplimiento se evidencia por evaluación manual de compliance.
AWS Step Functions Verificar que Step Functions está implementado para automatizar workflows complejos. El cumplimiento indica state machines que coordinan procesos multi-paso de manera automática. El incumplimiento se evidencia por coordinación manual de procesos complejos.</t>
  </si>
  <si>
    <t xml:space="preserve"># Verificar configuración de AWS Systems Manager Automation
aws ssm describe-automation-executions --query 'AutomationExecutions[].{AutomationExecutionId:AutomationExecutionId,DocumentName:DocumentName,AutomationExecutionStatus:AutomationExecutionStatus,ExecutionStartTime:ExecutionStartTime}'
aws ssm list-documents --query 'DocumentIdentifiers[?DocumentType==`Automation`].{Name:Name,DocumentVersion:DocumentVersion,DocumentFormat:DocumentFormat}'
# Validar Maintenance Windows para automatización
aws ssm describe-maintenance-windows --query 'WindowIdentities[].{WindowId:WindowId,Name:Name,Enabled:Enabled,Schedule:Schedule}'
aws ssm describe-maintenance-window-tasks --window-id mw-1234567890abcdef0 --query 'Tasks[].{WindowTaskId:WindowTaskId,Type:Type,TaskArn:TaskArn}'
# Verificar automatización de parcheo
aws ssm describe-patch-baselines --query 'BaselineIdentities[].{BaselineId:BaselineId,BaselineName:BaselineName,OperatingSystem:OperatingSystem}'
aws ssm describe-instance-patch-states --query 'InstancePatchStates[].{InstanceId:InstanceId,PatchGroup:PatchGroup,BaselineId:BaselineId,OperationStartTime:OperationStartTime}'
# Validar configuración de CloudFormation para automatización
aws cloudformation list-stacks --query 'StackSummaries[?StackStatus!=`DELETE_COMPLETE`].{StackName:StackName,StackStatus:StackStatus,CreationTime:CreationTime}'
aws cloudformation describe-stacks --stack-name my-automation-stack --query 'Stacks[0].{StackStatus:StackStatus,Parameters:Parameters,Capabilities:Capabilities}'
# Verificar templates de CloudFormation para automatización
aws s3api list-objects-v2 --bucket cloudformation-templates --prefix "automation/" --query 'Contents[].Key'
aws cloudformation validate-template --template-url https://s3.amazonaws.com/cloudformation-templates/automation/operations-automation.yaml
# Validar funciones Lambda para automatización
aws lambda list-functions --query 'Functions[?contains(FunctionName, `automation`) || contains(FunctionName, `operations`)].{FunctionName:FunctionName,Runtime:Runtime,LastModified:LastModified}'
aws lambda get-function --function-name operations-automation --query 'Configuration.{FunctionName:FunctionName,Runtime:Runtime,Timeout:Timeout,Environment:Environment}'
# Verificar triggers y programación de Lambda
aws events list-rules --query 'Rules[?contains(Name, `automation`) || contains(Name, `operations`)]'
aws events describe-rule --name "daily-operations-automation" --query '{Name:Name,ScheduleExpression:ScheduleExpression,State:State,Targets:Targets}'
# Validar configuración de AWS Config para automatización
aws configservice describe-configuration-recorders --query 'ConfigurationRecorders[].{name:name,roleARN:roleARN,recordingGroup:recordingGroup}'
aws configservice describe-config-rules --query 'ConfigRules[?contains(ConfigRuleName, `automation`) || contains(ConfigRuleName, `remediation`)].{ConfigRuleName:ConfigRuleName,Source:Source}'
# Verificar remediation automática en Config
aws configservice describe-remediation-configurations --query 'RemediationConfigurations[].{ConfigRuleName:ConfigRuleName,TargetType:TargetType,TargetId:TargetId,Automatic:Automatic}'
# Validar configuración de Step Functions
aws stepfunctions list-state-machines --query 'stateMachines[].{stateMachineArn:stateMachineArn,name:name,type:type,creationDate:creationDate}'
aws stepfunctions describe-state-machine --state-machine-arn arn:aws:states:us-east-1:123456789012:stateMachine:operations-automation --query '{name:name,status:status,definition:definition}'
# Verificar ejecuciones de Step Functions
aws stepfunctions list-executions --state-machine-arn arn:aws:states:us-east-1:123456789012:stateMachine:operations-automation --query 'executions[].{executionArn:executionArn,status:status,startDate:startDate}'
# Validar automatización de backup con AWS Backup
aws backup list-backup-plans --query 'BackupPlansList[].{BackupPlanId:BackupPlanId,BackupPlanName:BackupPlanName,CreationDate:CreationDate}'
aws backup get-backup-plan --backup-plan-id backup-plan-id --query 'BackupPlan.{BackupPlanName:BackupPlanName,Rules:Rules}'
# Verificar automatización de lifecycle con Data Lifecycle Manager
aws dlm get-lifecycle-policies --query 'Policies[].{PolicyId:PolicyId,Description:Description,State:State}'
# Validar automatización de monitoreo
aws cloudwatch describe-alarms --query 'MetricAlarms[?contains(AlarmName, `automation`) || contains(AlarmName, `operations`)].{AlarmName:AlarmName,StateValue:StateValue,AlarmActions:AlarmActions}'
# Verificar automatización de Service Catalog
aws servicecatalog list-portfolios --query 'PortfolioDetails[].{Id:Id,DisplayName:DisplayName,Description:Description}'
aws servicecatalog search-products --query 'ProductViewSummaries[].{ProductId:ProductId,Name:Name,Type:Type}'
# Validar automatización de auditoría con Audit Manager
aws auditmanager list-assessments --query 'assessmentMetadata[].{id:id,name:name,status:status,creationTime:creationTime}'
# Verificar métricas de efectividad de automatización
aws cloudwatch list-metrics --namespace "Automation" --query 'Metrics[].{MetricName:MetricName,Dimensions:Dimensions}'
aws cloudwatch get-metric-statistics --namespace "Automation" --metric-name TasksAutomated --start-time 2024-01-01T00:00:00Z --end-time 2024-02-01T00:00:00Z --period 86400 --statistics Sum
# Validar reducción de esfuerzo manual
aws ssm get-parameter --name "/automation-metrics/manual-effort-reduction"
aws dynamodb scan --table-name AutomationMetrics --projection-expression "TaskType, ManualEffortBefore, AutomatedEffortAfter, EffortReduction, CostSavings"
# Verificar análisis de ROI de automatización
aws ssm get-parameter --name "/automation-analysis/roi-calculation"
aws dynamodb scan --table-name AutomationROI --projection-expression "AutomationProject, ImplementationCost, OperationalSavings, PaybackPeriod, ROI"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</si>
</sst>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scheme val="minor"/>
    </font>
    <font>
      <b/>
      <sz val="11"/>
      <color rgb="FFFFFFFF"/>
      <name val="Montserrat"/>
    </font>
    <font>
      <sz val="10"/>
      <color theme="1"/>
      <name val="Arial"/>
      <scheme val="minor"/>
    </font>
    <font>
      <u/>
      <sz val="11"/>
      <color rgb="FF0000FF"/>
      <name val="Montserrat"/>
    </font>
    <font>
      <b/>
      <sz val="11"/>
      <color rgb="FF000000"/>
      <name val="Montserrat"/>
    </font>
    <font>
      <sz val="11"/>
      <color rgb="FF000000"/>
      <name val="Montserrat"/>
    </font>
    <font>
      <sz val="10"/>
      <color theme="1"/>
      <name val="Montserrat"/>
    </font>
    <font>
      <sz val="10"/>
      <color rgb="FF1F1F1F"/>
      <name val="&quot;Google Sans Text&quot;"/>
    </font>
    <font>
      <b/>
      <u/>
      <sz val="11"/>
      <color rgb="FF000000"/>
      <name val="Montserrat"/>
    </font>
    <font>
      <u/>
      <sz val="11"/>
      <color rgb="FF000000"/>
      <name val="Montserrat"/>
    </font>
    <font>
      <b/>
      <u/>
      <sz val="11"/>
      <color rgb="FFFFFFFF"/>
      <name val="Montserrat"/>
    </font>
    <font>
      <sz val="11"/>
      <color rgb="FFFFFFFF"/>
      <name val="Montserrat"/>
    </font>
    <font>
      <sz val="11"/>
      <name val="Montserrat"/>
    </font>
    <font>
      <u/>
      <sz val="11"/>
      <color theme="1"/>
      <name val="Montserrat"/>
    </font>
    <font>
      <b/>
      <u/>
      <sz val="11"/>
      <color theme="1"/>
      <name val="Montserrat"/>
    </font>
    <font>
      <sz val="10"/>
      <color rgb="FF000000"/>
      <name val="Montserrat"/>
    </font>
  </fonts>
  <fills count="4">
    <fill>
      <patternFill patternType="none"/>
    </fill>
    <fill>
      <patternFill patternType="gray125"/>
    </fill>
    <fill>
      <patternFill patternType="solid">
        <fgColor rgb="FF253B5C"/>
        <bgColor rgb="FF253B5C"/>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2" fillId="0" borderId="0" xfId="0" applyFont="1" applyAlignment="1">
      <alignment vertical="center"/>
    </xf>
    <xf numFmtId="0" fontId="3" fillId="3" borderId="1" xfId="0" applyFont="1" applyFill="1" applyBorder="1" applyAlignment="1">
      <alignment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0" fontId="7" fillId="0" borderId="0" xfId="0" applyFont="1" applyAlignment="1">
      <alignment vertical="center" wrapText="1"/>
    </xf>
    <xf numFmtId="0" fontId="10"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0" xfId="0" applyFont="1" applyFill="1" applyAlignment="1">
      <alignment horizontal="center" vertical="center" wrapText="1"/>
    </xf>
    <xf numFmtId="0" fontId="13" fillId="3" borderId="1" xfId="0" applyFont="1" applyFill="1" applyBorder="1" applyAlignment="1">
      <alignment vertical="center" wrapText="1"/>
    </xf>
    <xf numFmtId="0" fontId="15" fillId="0" borderId="1" xfId="0" applyFont="1" applyBorder="1" applyAlignment="1">
      <alignment horizontal="lef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cs.aws.amazon.com/en_us/wellarchitected/latest/framework/cost_govern_usage_account_structure.html" TargetMode="External"/><Relationship Id="rId18" Type="http://schemas.openxmlformats.org/officeDocument/2006/relationships/hyperlink" Target="https://docs.aws.amazon.com/en_us/wellarchitected/latest/framework/cost_monitor_usage_detailed_source.html" TargetMode="External"/><Relationship Id="rId26" Type="http://schemas.openxmlformats.org/officeDocument/2006/relationships/hyperlink" Target="https://docs.aws.amazon.com/en_us/wellarchitected/latest/framework/cost_decomissioning_resources_implement_process.html" TargetMode="External"/><Relationship Id="rId39" Type="http://schemas.openxmlformats.org/officeDocument/2006/relationships/hyperlink" Target="https://docs.aws.amazon.com/en_us/wellarchitected/latest/framework/cost_type_size_number_resources_data.html" TargetMode="External"/><Relationship Id="rId21" Type="http://schemas.openxmlformats.org/officeDocument/2006/relationships/hyperlink" Target="https://docs.aws.amazon.com/en_us/wellarchitected/latest/framework/cost_monitor_usage_define_kpi.html" TargetMode="External"/><Relationship Id="rId34" Type="http://schemas.openxmlformats.org/officeDocument/2006/relationships/hyperlink" Target="https://docs.aws.amazon.com/en_us/wellarchitected/latest/framework/cost_select_service_licensing.html" TargetMode="External"/><Relationship Id="rId42" Type="http://schemas.openxmlformats.org/officeDocument/2006/relationships/hyperlink" Target="https://docs.aws.amazon.com/en_us/wellarchitected/latest/framework/cost-07.html" TargetMode="External"/><Relationship Id="rId47" Type="http://schemas.openxmlformats.org/officeDocument/2006/relationships/hyperlink" Target="https://docs.aws.amazon.com/en_us/wellarchitected/latest/framework/cost_pricing_model_master_analysis.html" TargetMode="External"/><Relationship Id="rId50" Type="http://schemas.openxmlformats.org/officeDocument/2006/relationships/hyperlink" Target="https://docs.aws.amazon.com/en_us/wellarchitected/latest/framework/cost_data_transfer_optimized_components.html" TargetMode="External"/><Relationship Id="rId55" Type="http://schemas.openxmlformats.org/officeDocument/2006/relationships/hyperlink" Target="https://docs.aws.amazon.com/en_us/wellarchitected/latest/framework/cost_manage_demand_resources_dynamic.html" TargetMode="External"/><Relationship Id="rId7" Type="http://schemas.openxmlformats.org/officeDocument/2006/relationships/hyperlink" Target="https://docs.aws.amazon.com/en_us/wellarchitected/latest/framework/cost_cloud_financial_management_scheduled.html" TargetMode="External"/><Relationship Id="rId2" Type="http://schemas.openxmlformats.org/officeDocument/2006/relationships/hyperlink" Target="https://docs.aws.amazon.com/en_us/wellarchitected/latest/framework/cost_cloud_financial_management_partnership.html" TargetMode="External"/><Relationship Id="rId16" Type="http://schemas.openxmlformats.org/officeDocument/2006/relationships/hyperlink" Target="https://docs.aws.amazon.com/en_us/wellarchitected/latest/framework/cost_govern_usage_track_lifecycle.html" TargetMode="External"/><Relationship Id="rId29" Type="http://schemas.openxmlformats.org/officeDocument/2006/relationships/hyperlink" Target="https://docs.aws.amazon.com/en_us/wellarchitected/latest/framework/cost_decomissioning_resources_data_retention.html" TargetMode="External"/><Relationship Id="rId11" Type="http://schemas.openxmlformats.org/officeDocument/2006/relationships/hyperlink" Target="https://docs.aws.amazon.com/en_us/wellarchitected/latest/framework/cost_govern_usage_policies.html" TargetMode="External"/><Relationship Id="rId24" Type="http://schemas.openxmlformats.org/officeDocument/2006/relationships/hyperlink" Target="https://docs.aws.amazon.com/en_us/wellarchitected/latest/framework/cost-04.html" TargetMode="External"/><Relationship Id="rId32" Type="http://schemas.openxmlformats.org/officeDocument/2006/relationships/hyperlink" Target="https://docs.aws.amazon.com/en_us/wellarchitected/latest/framework/cost_select_service_analyze_all.html" TargetMode="External"/><Relationship Id="rId37" Type="http://schemas.openxmlformats.org/officeDocument/2006/relationships/hyperlink" Target="https://docs.aws.amazon.com/en_us/wellarchitected/latest/framework/cost-06.html" TargetMode="External"/><Relationship Id="rId40" Type="http://schemas.openxmlformats.org/officeDocument/2006/relationships/hyperlink" Target="https://docs.aws.amazon.com/en_us/wellarchitected/latest/framework/cost_type_size_number_resources_metrics.html" TargetMode="External"/><Relationship Id="rId45" Type="http://schemas.openxmlformats.org/officeDocument/2006/relationships/hyperlink" Target="https://docs.aws.amazon.com/en_us/wellarchitected/latest/framework/cost_pricing_model_third_party.html" TargetMode="External"/><Relationship Id="rId53" Type="http://schemas.openxmlformats.org/officeDocument/2006/relationships/hyperlink" Target="https://docs.aws.amazon.com/en_us/wellarchitected/latest/framework/cost_manage_demand_resources_cost_analysis.html" TargetMode="External"/><Relationship Id="rId58" Type="http://schemas.openxmlformats.org/officeDocument/2006/relationships/hyperlink" Target="https://docs.aws.amazon.com/en_us/wellarchitected/latest/framework/cost_evaluate_new_services_review_workload.html" TargetMode="External"/><Relationship Id="rId5" Type="http://schemas.openxmlformats.org/officeDocument/2006/relationships/hyperlink" Target="https://docs.aws.amazon.com/en_us/wellarchitected/latest/framework/cost_cloud_financial_management_usage_report.html" TargetMode="External"/><Relationship Id="rId19" Type="http://schemas.openxmlformats.org/officeDocument/2006/relationships/hyperlink" Target="https://docs.aws.amazon.com/en_us/wellarchitected/latest/framework/cost_monitor_usage_org_information.html" TargetMode="External"/><Relationship Id="rId4" Type="http://schemas.openxmlformats.org/officeDocument/2006/relationships/hyperlink" Target="https://docs.aws.amazon.com/en_us/wellarchitected/latest/framework/cost_cloud_financial_management_cost_awareness.html" TargetMode="External"/><Relationship Id="rId9" Type="http://schemas.openxmlformats.org/officeDocument/2006/relationships/hyperlink" Target="https://docs.aws.amazon.com/en_us/wellarchitected/latest/framework/cost_cloud_financial_management_quantify_value.html" TargetMode="External"/><Relationship Id="rId14" Type="http://schemas.openxmlformats.org/officeDocument/2006/relationships/hyperlink" Target="https://docs.aws.amazon.com/en_us/wellarchitected/latest/framework/cost_govern_usage_groups_roles.html" TargetMode="External"/><Relationship Id="rId22" Type="http://schemas.openxmlformats.org/officeDocument/2006/relationships/hyperlink" Target="https://docs.aws.amazon.com/en_us/wellarchitected/latest/framework/cost_monitor_usage_config_tools.html" TargetMode="External"/><Relationship Id="rId27" Type="http://schemas.openxmlformats.org/officeDocument/2006/relationships/hyperlink" Target="https://docs.aws.amazon.com/en_us/wellarchitected/latest/framework/cost_decomissioning_resources_decommission.html" TargetMode="External"/><Relationship Id="rId30" Type="http://schemas.openxmlformats.org/officeDocument/2006/relationships/hyperlink" Target="https://docs.aws.amazon.com/en_us/wellarchitected/latest/framework/cost-05.html" TargetMode="External"/><Relationship Id="rId35" Type="http://schemas.openxmlformats.org/officeDocument/2006/relationships/hyperlink" Target="https://docs.aws.amazon.com/en_us/wellarchitected/latest/framework/cost_select_service_select_for_cost.html" TargetMode="External"/><Relationship Id="rId43" Type="http://schemas.openxmlformats.org/officeDocument/2006/relationships/hyperlink" Target="https://docs.aws.amazon.com/en_us/wellarchitected/latest/framework/cost_pricing_model_analysis.html" TargetMode="External"/><Relationship Id="rId48" Type="http://schemas.openxmlformats.org/officeDocument/2006/relationships/hyperlink" Target="https://docs.aws.amazon.com/en_us/wellarchitected/latest/framework/cost-08.html" TargetMode="External"/><Relationship Id="rId56" Type="http://schemas.openxmlformats.org/officeDocument/2006/relationships/hyperlink" Target="https://docs.aws.amazon.com/en_us/wellarchitected/latest/framework/cost-10.html" TargetMode="External"/><Relationship Id="rId8" Type="http://schemas.openxmlformats.org/officeDocument/2006/relationships/hyperlink" Target="https://docs.aws.amazon.com/en_us/wellarchitected/latest/framework/cost_cloud_financial_management_culture.html" TargetMode="External"/><Relationship Id="rId51" Type="http://schemas.openxmlformats.org/officeDocument/2006/relationships/hyperlink" Target="https://docs.aws.amazon.com/en_us/wellarchitected/latest/framework/cost_data_transfer_implement_services.html" TargetMode="External"/><Relationship Id="rId3" Type="http://schemas.openxmlformats.org/officeDocument/2006/relationships/hyperlink" Target="https://docs.aws.amazon.com/en_us/wellarchitected/latest/framework/cost_cloud_financial_management_budget_forecast.html" TargetMode="External"/><Relationship Id="rId12" Type="http://schemas.openxmlformats.org/officeDocument/2006/relationships/hyperlink" Target="https://docs.aws.amazon.com/en_us/wellarchitected/latest/framework/cost_govern_usage_goal_target.html" TargetMode="External"/><Relationship Id="rId17" Type="http://schemas.openxmlformats.org/officeDocument/2006/relationships/hyperlink" Target="https://docs.aws.amazon.com/en_us/wellarchitected/latest/framework/cost-03.html" TargetMode="External"/><Relationship Id="rId25" Type="http://schemas.openxmlformats.org/officeDocument/2006/relationships/hyperlink" Target="https://docs.aws.amazon.com/en_us/wellarchitected/latest/framework/cost_decomissioning_resources_track.html" TargetMode="External"/><Relationship Id="rId33" Type="http://schemas.openxmlformats.org/officeDocument/2006/relationships/hyperlink" Target="https://docs.aws.amazon.com/en_us/wellarchitected/latest/framework/cost_select_service_thorough_analysis.html" TargetMode="External"/><Relationship Id="rId38" Type="http://schemas.openxmlformats.org/officeDocument/2006/relationships/hyperlink" Target="https://docs.aws.amazon.com/en_us/wellarchitected/latest/framework/cost_type_size_number_resources_cost_modeling.html" TargetMode="External"/><Relationship Id="rId46" Type="http://schemas.openxmlformats.org/officeDocument/2006/relationships/hyperlink" Target="https://docs.aws.amazon.com/en_us/wellarchitected/latest/framework/cost_pricing_model_implement_models.html" TargetMode="External"/><Relationship Id="rId59" Type="http://schemas.openxmlformats.org/officeDocument/2006/relationships/hyperlink" Target="https://docs.aws.amazon.com/en_us/wellarchitected/latest/framework/cost-11.html" TargetMode="External"/><Relationship Id="rId20" Type="http://schemas.openxmlformats.org/officeDocument/2006/relationships/hyperlink" Target="https://docs.aws.amazon.com/en_us/wellarchitected/latest/framework/cost_monitor_usage_define_attribution.html" TargetMode="External"/><Relationship Id="rId41" Type="http://schemas.openxmlformats.org/officeDocument/2006/relationships/hyperlink" Target="https://docs.aws.amazon.com/en_us/wellarchitected/latest/framework/cost_type_size_number_resources_shared.html" TargetMode="External"/><Relationship Id="rId54" Type="http://schemas.openxmlformats.org/officeDocument/2006/relationships/hyperlink" Target="https://docs.aws.amazon.com/en_us/wellarchitected/latest/framework/cost_manage_demand_resources_buffer_throttle.html" TargetMode="External"/><Relationship Id="rId1" Type="http://schemas.openxmlformats.org/officeDocument/2006/relationships/hyperlink" Target="https://docs.aws.amazon.com/en_us/wellarchitected/latest/framework/cost_cloud_financial_management_function.html" TargetMode="External"/><Relationship Id="rId6" Type="http://schemas.openxmlformats.org/officeDocument/2006/relationships/hyperlink" Target="https://docs.aws.amazon.com/en_us/wellarchitected/latest/framework/cost_cloud_financial_management_proactive_process.html" TargetMode="External"/><Relationship Id="rId15" Type="http://schemas.openxmlformats.org/officeDocument/2006/relationships/hyperlink" Target="https://docs.aws.amazon.com/en_us/wellarchitected/latest/framework/cost_govern_usage_controls.html" TargetMode="External"/><Relationship Id="rId23" Type="http://schemas.openxmlformats.org/officeDocument/2006/relationships/hyperlink" Target="https://docs.aws.amazon.com/en_us/wellarchitected/latest/framework/cost_monitor_usage_allocate_outcome.html" TargetMode="External"/><Relationship Id="rId28" Type="http://schemas.openxmlformats.org/officeDocument/2006/relationships/hyperlink" Target="https://docs.aws.amazon.com/en_us/wellarchitected/latest/framework/cost_decomissioning_resources_decomm_automated.html" TargetMode="External"/><Relationship Id="rId36" Type="http://schemas.openxmlformats.org/officeDocument/2006/relationships/hyperlink" Target="https://docs.aws.amazon.com/en_us/wellarchitected/latest/framework/cost_select_service_analyze_over_time.html" TargetMode="External"/><Relationship Id="rId49" Type="http://schemas.openxmlformats.org/officeDocument/2006/relationships/hyperlink" Target="https://docs.aws.amazon.com/en_us/wellarchitected/latest/framework/cost_data_transfer_modeling.html" TargetMode="External"/><Relationship Id="rId57" Type="http://schemas.openxmlformats.org/officeDocument/2006/relationships/hyperlink" Target="https://docs.aws.amazon.com/en_us/wellarchitected/latest/framework/cost_evaluate_new_services_review_process.html" TargetMode="External"/><Relationship Id="rId10" Type="http://schemas.openxmlformats.org/officeDocument/2006/relationships/hyperlink" Target="https://docs.aws.amazon.com/en_us/wellarchitected/latest/framework/cost-02.html" TargetMode="External"/><Relationship Id="rId31" Type="http://schemas.openxmlformats.org/officeDocument/2006/relationships/hyperlink" Target="https://docs.aws.amazon.com/en_us/wellarchitected/latest/framework/cost_select_service_requirements.html" TargetMode="External"/><Relationship Id="rId44" Type="http://schemas.openxmlformats.org/officeDocument/2006/relationships/hyperlink" Target="https://docs.aws.amazon.com/en_us/wellarchitected/latest/framework/cost_pricing_model_region_cost.html" TargetMode="External"/><Relationship Id="rId52" Type="http://schemas.openxmlformats.org/officeDocument/2006/relationships/hyperlink" Target="https://docs.aws.amazon.com/en_us/wellarchitected/latest/framework/cost-09.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A109A-63D2-4ED6-8CA8-5BEED381B80F}">
  <sheetPr>
    <outlinePr summaryBelow="0" summaryRight="0"/>
    <pageSetUpPr fitToPage="1"/>
  </sheetPr>
  <dimension ref="A1:W1000"/>
  <sheetViews>
    <sheetView showGridLines="0" tabSelected="1" topLeftCell="A2" workbookViewId="0">
      <selection activeCell="D2" sqref="D2"/>
    </sheetView>
  </sheetViews>
  <sheetFormatPr baseColWidth="10" defaultColWidth="12.5703125" defaultRowHeight="12.75"/>
  <cols>
    <col min="1" max="1" width="39.42578125" customWidth="1"/>
    <col min="2" max="2" width="29.28515625" customWidth="1"/>
    <col min="3" max="3" width="48.7109375" customWidth="1"/>
    <col min="4" max="4" width="73.28515625" customWidth="1"/>
    <col min="5" max="5" width="103.42578125" customWidth="1"/>
    <col min="6" max="6" width="74.7109375" customWidth="1"/>
  </cols>
  <sheetData>
    <row r="1" spans="1:23" ht="72">
      <c r="A1" s="1" t="s">
        <v>0</v>
      </c>
      <c r="B1" s="1" t="str">
        <f>CONCATENATE("Práctica la gestión financiera en la nube: ",COUNTIF(B2:B10,"&lt;&gt;0"))</f>
        <v>Práctica la gestión financiera en la nube: 9</v>
      </c>
      <c r="C1" s="1" t="s">
        <v>1</v>
      </c>
      <c r="D1" s="1" t="s">
        <v>2</v>
      </c>
      <c r="E1" s="1" t="s">
        <v>3</v>
      </c>
      <c r="F1" s="2"/>
      <c r="G1" s="3"/>
      <c r="H1" s="3"/>
      <c r="I1" s="3"/>
      <c r="J1" s="3"/>
      <c r="K1" s="3"/>
      <c r="L1" s="3"/>
      <c r="M1" s="3"/>
      <c r="N1" s="3"/>
      <c r="O1" s="3"/>
      <c r="P1" s="3"/>
      <c r="Q1" s="3"/>
      <c r="R1" s="3"/>
      <c r="S1" s="3"/>
      <c r="T1" s="3"/>
      <c r="U1" s="3"/>
      <c r="V1" s="3"/>
      <c r="W1" s="3"/>
    </row>
    <row r="2" spans="1:23" ht="409.5">
      <c r="A2" s="4" t="s">
        <v>4</v>
      </c>
      <c r="B2" s="5" t="s">
        <v>5</v>
      </c>
      <c r="C2" s="6" t="s">
        <v>6</v>
      </c>
      <c r="D2" s="6" t="s">
        <v>7</v>
      </c>
      <c r="E2" s="6" t="s">
        <v>8</v>
      </c>
      <c r="F2" s="7"/>
      <c r="G2" s="3"/>
      <c r="H2" s="3"/>
      <c r="I2" s="3"/>
      <c r="J2" s="3"/>
      <c r="K2" s="3"/>
      <c r="L2" s="3"/>
      <c r="M2" s="3"/>
      <c r="N2" s="3"/>
      <c r="O2" s="3"/>
      <c r="P2" s="3"/>
      <c r="Q2" s="3"/>
      <c r="R2" s="3"/>
      <c r="S2" s="3"/>
      <c r="T2" s="3"/>
      <c r="U2" s="3"/>
      <c r="V2" s="3"/>
      <c r="W2" s="3"/>
    </row>
    <row r="3" spans="1:23" ht="409.5">
      <c r="A3" s="4" t="s">
        <v>9</v>
      </c>
      <c r="B3" s="5" t="s">
        <v>10</v>
      </c>
      <c r="C3" s="6" t="s">
        <v>11</v>
      </c>
      <c r="D3" s="6" t="s">
        <v>12</v>
      </c>
      <c r="E3" s="6" t="s">
        <v>13</v>
      </c>
      <c r="F3" s="7"/>
      <c r="G3" s="3"/>
      <c r="H3" s="3"/>
      <c r="I3" s="3"/>
      <c r="J3" s="3"/>
      <c r="K3" s="3"/>
      <c r="L3" s="3"/>
      <c r="M3" s="3"/>
      <c r="N3" s="3"/>
      <c r="O3" s="3"/>
      <c r="P3" s="3"/>
      <c r="Q3" s="3"/>
      <c r="R3" s="3"/>
      <c r="S3" s="3"/>
      <c r="T3" s="3"/>
      <c r="U3" s="3"/>
      <c r="V3" s="3"/>
      <c r="W3" s="3"/>
    </row>
    <row r="4" spans="1:23" ht="409.5">
      <c r="A4" s="4" t="s">
        <v>14</v>
      </c>
      <c r="B4" s="5" t="s">
        <v>15</v>
      </c>
      <c r="C4" s="6" t="s">
        <v>16</v>
      </c>
      <c r="D4" s="6" t="s">
        <v>17</v>
      </c>
      <c r="E4" s="6" t="s">
        <v>18</v>
      </c>
      <c r="F4" s="7"/>
      <c r="G4" s="3"/>
      <c r="H4" s="3"/>
      <c r="I4" s="3"/>
      <c r="J4" s="3"/>
      <c r="K4" s="3"/>
      <c r="L4" s="3"/>
      <c r="M4" s="3"/>
      <c r="N4" s="3"/>
      <c r="O4" s="3"/>
      <c r="P4" s="3"/>
      <c r="Q4" s="3"/>
      <c r="R4" s="3"/>
      <c r="S4" s="3"/>
      <c r="T4" s="3"/>
      <c r="U4" s="3"/>
      <c r="V4" s="3"/>
      <c r="W4" s="3"/>
    </row>
    <row r="5" spans="1:23" ht="409.5">
      <c r="A5" s="4" t="s">
        <v>19</v>
      </c>
      <c r="B5" s="5" t="s">
        <v>20</v>
      </c>
      <c r="C5" s="6" t="s">
        <v>21</v>
      </c>
      <c r="D5" s="6" t="s">
        <v>22</v>
      </c>
      <c r="E5" s="6" t="s">
        <v>23</v>
      </c>
      <c r="F5" s="7"/>
      <c r="G5" s="3"/>
      <c r="H5" s="3"/>
      <c r="I5" s="3"/>
      <c r="J5" s="3"/>
      <c r="K5" s="3"/>
      <c r="L5" s="3"/>
      <c r="M5" s="3"/>
      <c r="N5" s="3"/>
      <c r="O5" s="3"/>
      <c r="P5" s="3"/>
      <c r="Q5" s="3"/>
      <c r="R5" s="3"/>
      <c r="S5" s="3"/>
      <c r="T5" s="3"/>
      <c r="U5" s="3"/>
      <c r="V5" s="3"/>
      <c r="W5" s="3"/>
    </row>
    <row r="6" spans="1:23" ht="409.5">
      <c r="A6" s="4" t="s">
        <v>24</v>
      </c>
      <c r="B6" s="5" t="s">
        <v>25</v>
      </c>
      <c r="C6" s="6" t="s">
        <v>26</v>
      </c>
      <c r="D6" s="6" t="s">
        <v>27</v>
      </c>
      <c r="E6" s="6" t="s">
        <v>28</v>
      </c>
      <c r="F6" s="7"/>
      <c r="G6" s="3"/>
      <c r="H6" s="3"/>
      <c r="I6" s="3"/>
      <c r="J6" s="3"/>
      <c r="K6" s="3"/>
      <c r="L6" s="3"/>
      <c r="M6" s="3"/>
      <c r="N6" s="3"/>
      <c r="O6" s="3"/>
      <c r="P6" s="3"/>
      <c r="Q6" s="3"/>
      <c r="R6" s="3"/>
      <c r="S6" s="3"/>
      <c r="T6" s="3"/>
      <c r="U6" s="3"/>
      <c r="V6" s="3"/>
      <c r="W6" s="3"/>
    </row>
    <row r="7" spans="1:23" ht="409.5">
      <c r="A7" s="4" t="s">
        <v>29</v>
      </c>
      <c r="B7" s="5" t="s">
        <v>30</v>
      </c>
      <c r="C7" s="6" t="s">
        <v>31</v>
      </c>
      <c r="D7" s="6" t="s">
        <v>32</v>
      </c>
      <c r="E7" s="6" t="s">
        <v>33</v>
      </c>
      <c r="F7" s="7"/>
      <c r="G7" s="3"/>
      <c r="H7" s="3"/>
      <c r="I7" s="3"/>
      <c r="J7" s="3"/>
      <c r="K7" s="3"/>
      <c r="L7" s="3"/>
      <c r="M7" s="3"/>
      <c r="N7" s="3"/>
      <c r="O7" s="3"/>
      <c r="P7" s="3"/>
      <c r="Q7" s="3"/>
      <c r="R7" s="3"/>
      <c r="S7" s="3"/>
      <c r="T7" s="3"/>
      <c r="U7" s="3"/>
      <c r="V7" s="3"/>
      <c r="W7" s="3"/>
    </row>
    <row r="8" spans="1:23" ht="409.5">
      <c r="A8" s="4" t="s">
        <v>34</v>
      </c>
      <c r="B8" s="5" t="s">
        <v>35</v>
      </c>
      <c r="C8" s="6" t="s">
        <v>36</v>
      </c>
      <c r="D8" s="6" t="s">
        <v>37</v>
      </c>
      <c r="E8" s="6" t="s">
        <v>38</v>
      </c>
      <c r="F8" s="7"/>
      <c r="G8" s="3"/>
      <c r="H8" s="3"/>
      <c r="I8" s="3"/>
      <c r="J8" s="3"/>
      <c r="K8" s="3"/>
      <c r="L8" s="3"/>
      <c r="M8" s="3"/>
      <c r="N8" s="3"/>
      <c r="O8" s="3"/>
      <c r="P8" s="3"/>
      <c r="Q8" s="3"/>
      <c r="R8" s="3"/>
      <c r="S8" s="3"/>
      <c r="T8" s="3"/>
      <c r="U8" s="3"/>
      <c r="V8" s="3"/>
      <c r="W8" s="3"/>
    </row>
    <row r="9" spans="1:23" ht="409.5">
      <c r="A9" s="4" t="s">
        <v>39</v>
      </c>
      <c r="B9" s="5" t="s">
        <v>40</v>
      </c>
      <c r="C9" s="6" t="s">
        <v>41</v>
      </c>
      <c r="D9" s="6" t="s">
        <v>42</v>
      </c>
      <c r="E9" s="6" t="s">
        <v>43</v>
      </c>
      <c r="F9" s="7"/>
      <c r="G9" s="3"/>
      <c r="H9" s="3"/>
      <c r="I9" s="3"/>
      <c r="J9" s="3"/>
      <c r="K9" s="3"/>
      <c r="L9" s="3"/>
      <c r="M9" s="3"/>
      <c r="N9" s="3"/>
      <c r="O9" s="3"/>
      <c r="P9" s="3"/>
      <c r="Q9" s="3"/>
      <c r="R9" s="3"/>
      <c r="S9" s="3"/>
      <c r="T9" s="3"/>
      <c r="U9" s="3"/>
      <c r="V9" s="3"/>
      <c r="W9" s="3"/>
    </row>
    <row r="10" spans="1:23" ht="409.5">
      <c r="A10" s="4" t="s">
        <v>44</v>
      </c>
      <c r="B10" s="5" t="s">
        <v>45</v>
      </c>
      <c r="C10" s="6" t="s">
        <v>46</v>
      </c>
      <c r="D10" s="6" t="s">
        <v>47</v>
      </c>
      <c r="E10" s="6" t="s">
        <v>48</v>
      </c>
      <c r="F10" s="7"/>
      <c r="G10" s="3"/>
      <c r="H10" s="3"/>
      <c r="I10" s="3"/>
      <c r="J10" s="3"/>
      <c r="K10" s="3"/>
      <c r="L10" s="3"/>
      <c r="M10" s="3"/>
      <c r="N10" s="3"/>
      <c r="O10" s="3"/>
      <c r="P10" s="3"/>
      <c r="Q10" s="3"/>
      <c r="R10" s="3"/>
      <c r="S10" s="3"/>
      <c r="T10" s="3"/>
      <c r="U10" s="3"/>
      <c r="V10" s="3"/>
      <c r="W10" s="3"/>
    </row>
    <row r="11" spans="1:23" ht="36">
      <c r="A11" s="8" t="s">
        <v>49</v>
      </c>
      <c r="B11" s="1" t="str">
        <f>CONCATENATE("Gastos y conciencia de uso: ",COUNTIF(B12:B17,"&lt;&gt;0"))</f>
        <v>Gastos y conciencia de uso: 6</v>
      </c>
      <c r="C11" s="9" t="s">
        <v>1</v>
      </c>
      <c r="D11" s="9" t="s">
        <v>2</v>
      </c>
      <c r="E11" s="9"/>
      <c r="F11" s="10"/>
      <c r="G11" s="3"/>
      <c r="H11" s="3"/>
      <c r="I11" s="3"/>
      <c r="J11" s="3"/>
      <c r="K11" s="3"/>
      <c r="L11" s="3"/>
      <c r="M11" s="3"/>
      <c r="N11" s="3"/>
      <c r="O11" s="3"/>
      <c r="P11" s="3"/>
      <c r="Q11" s="3"/>
      <c r="R11" s="3"/>
      <c r="S11" s="3"/>
      <c r="T11" s="3"/>
      <c r="U11" s="3"/>
      <c r="V11" s="3"/>
      <c r="W11" s="3"/>
    </row>
    <row r="12" spans="1:23" ht="409.5">
      <c r="A12" s="4" t="s">
        <v>50</v>
      </c>
      <c r="B12" s="5" t="s">
        <v>51</v>
      </c>
      <c r="C12" s="6" t="s">
        <v>52</v>
      </c>
      <c r="D12" s="6" t="s">
        <v>53</v>
      </c>
      <c r="E12" s="6" t="s">
        <v>54</v>
      </c>
      <c r="F12" s="7"/>
      <c r="G12" s="3"/>
      <c r="H12" s="3"/>
      <c r="I12" s="3"/>
      <c r="J12" s="3"/>
      <c r="K12" s="3"/>
      <c r="L12" s="3"/>
      <c r="M12" s="3"/>
      <c r="N12" s="3"/>
      <c r="O12" s="3"/>
      <c r="P12" s="3"/>
      <c r="Q12" s="3"/>
      <c r="R12" s="3"/>
      <c r="S12" s="3"/>
      <c r="T12" s="3"/>
      <c r="U12" s="3"/>
      <c r="V12" s="3"/>
      <c r="W12" s="3"/>
    </row>
    <row r="13" spans="1:23" ht="409.5">
      <c r="A13" s="4" t="s">
        <v>55</v>
      </c>
      <c r="B13" s="5" t="s">
        <v>56</v>
      </c>
      <c r="C13" s="6" t="s">
        <v>57</v>
      </c>
      <c r="D13" s="6" t="s">
        <v>58</v>
      </c>
      <c r="E13" s="6"/>
      <c r="F13" s="7"/>
      <c r="G13" s="3"/>
      <c r="H13" s="3"/>
      <c r="I13" s="3"/>
      <c r="J13" s="3"/>
      <c r="K13" s="3"/>
      <c r="L13" s="3"/>
      <c r="M13" s="3"/>
      <c r="N13" s="3"/>
      <c r="O13" s="3"/>
      <c r="P13" s="3"/>
      <c r="Q13" s="3"/>
      <c r="R13" s="3"/>
      <c r="S13" s="3"/>
      <c r="T13" s="3"/>
      <c r="U13" s="3"/>
      <c r="V13" s="3"/>
      <c r="W13" s="3"/>
    </row>
    <row r="14" spans="1:23" ht="409.5">
      <c r="A14" s="4" t="s">
        <v>59</v>
      </c>
      <c r="B14" s="5" t="s">
        <v>60</v>
      </c>
      <c r="C14" s="6" t="s">
        <v>61</v>
      </c>
      <c r="D14" s="6" t="s">
        <v>62</v>
      </c>
      <c r="E14" s="6" t="s">
        <v>63</v>
      </c>
      <c r="F14" s="7"/>
      <c r="G14" s="3"/>
      <c r="H14" s="3"/>
      <c r="I14" s="3"/>
      <c r="J14" s="3"/>
      <c r="K14" s="3"/>
      <c r="L14" s="3"/>
      <c r="M14" s="3"/>
      <c r="N14" s="3"/>
      <c r="O14" s="3"/>
      <c r="P14" s="3"/>
      <c r="Q14" s="3"/>
      <c r="R14" s="3"/>
      <c r="S14" s="3"/>
      <c r="T14" s="3"/>
      <c r="U14" s="3"/>
      <c r="V14" s="3"/>
      <c r="W14" s="3"/>
    </row>
    <row r="15" spans="1:23" ht="409.5">
      <c r="A15" s="4" t="s">
        <v>64</v>
      </c>
      <c r="B15" s="5" t="s">
        <v>65</v>
      </c>
      <c r="C15" s="6" t="s">
        <v>66</v>
      </c>
      <c r="D15" s="6" t="s">
        <v>67</v>
      </c>
      <c r="E15" s="6" t="s">
        <v>68</v>
      </c>
      <c r="F15" s="7"/>
      <c r="G15" s="3"/>
      <c r="H15" s="3"/>
      <c r="I15" s="3"/>
      <c r="J15" s="3"/>
      <c r="K15" s="3"/>
      <c r="L15" s="3"/>
      <c r="M15" s="3"/>
      <c r="N15" s="3"/>
      <c r="O15" s="3"/>
      <c r="P15" s="3"/>
      <c r="Q15" s="3"/>
      <c r="R15" s="3"/>
      <c r="S15" s="3"/>
      <c r="T15" s="3"/>
      <c r="U15" s="3"/>
      <c r="V15" s="3"/>
      <c r="W15" s="3"/>
    </row>
    <row r="16" spans="1:23" ht="409.5">
      <c r="A16" s="4" t="s">
        <v>69</v>
      </c>
      <c r="B16" s="5" t="s">
        <v>70</v>
      </c>
      <c r="C16" s="6" t="s">
        <v>71</v>
      </c>
      <c r="D16" s="6" t="s">
        <v>72</v>
      </c>
      <c r="E16" s="6" t="s">
        <v>73</v>
      </c>
      <c r="F16" s="7"/>
      <c r="G16" s="3"/>
      <c r="H16" s="3"/>
      <c r="I16" s="3"/>
      <c r="J16" s="3"/>
      <c r="K16" s="3"/>
      <c r="L16" s="3"/>
      <c r="M16" s="3"/>
      <c r="N16" s="3"/>
      <c r="O16" s="3"/>
      <c r="P16" s="3"/>
      <c r="Q16" s="3"/>
      <c r="R16" s="3"/>
      <c r="S16" s="3"/>
      <c r="T16" s="3"/>
      <c r="U16" s="3"/>
      <c r="V16" s="3"/>
      <c r="W16" s="3"/>
    </row>
    <row r="17" spans="1:23" ht="409.5">
      <c r="A17" s="4" t="s">
        <v>74</v>
      </c>
      <c r="B17" s="5" t="s">
        <v>75</v>
      </c>
      <c r="C17" s="6" t="s">
        <v>76</v>
      </c>
      <c r="D17" s="6" t="s">
        <v>77</v>
      </c>
      <c r="E17" s="6" t="s">
        <v>78</v>
      </c>
      <c r="F17" s="7"/>
      <c r="G17" s="3"/>
      <c r="H17" s="3"/>
      <c r="I17" s="3"/>
      <c r="J17" s="3"/>
      <c r="K17" s="3"/>
      <c r="L17" s="3"/>
      <c r="M17" s="3"/>
      <c r="N17" s="3"/>
      <c r="O17" s="3"/>
      <c r="P17" s="3"/>
      <c r="Q17" s="3"/>
      <c r="R17" s="3"/>
      <c r="S17" s="3"/>
      <c r="T17" s="3"/>
      <c r="U17" s="3"/>
      <c r="V17" s="3"/>
      <c r="W17" s="3"/>
    </row>
    <row r="18" spans="1:23" ht="54">
      <c r="A18" s="8" t="s">
        <v>79</v>
      </c>
      <c r="B18" s="1" t="str">
        <f>CONCATENATE("Gastos y conciencia de uso: ",COUNTIF(B19:B24,"&lt;&gt;0"))</f>
        <v>Gastos y conciencia de uso: 6</v>
      </c>
      <c r="C18" s="9" t="s">
        <v>1</v>
      </c>
      <c r="D18" s="9" t="s">
        <v>2</v>
      </c>
      <c r="E18" s="9"/>
      <c r="F18" s="10"/>
      <c r="G18" s="3"/>
      <c r="H18" s="3"/>
      <c r="I18" s="3"/>
      <c r="J18" s="3"/>
      <c r="K18" s="3"/>
      <c r="L18" s="3"/>
      <c r="M18" s="3"/>
      <c r="N18" s="3"/>
      <c r="O18" s="3"/>
      <c r="P18" s="3"/>
      <c r="Q18" s="3"/>
      <c r="R18" s="3"/>
      <c r="S18" s="3"/>
      <c r="T18" s="3"/>
      <c r="U18" s="3"/>
      <c r="V18" s="3"/>
      <c r="W18" s="3"/>
    </row>
    <row r="19" spans="1:23" ht="409.5">
      <c r="A19" s="4" t="s">
        <v>80</v>
      </c>
      <c r="B19" s="5" t="s">
        <v>81</v>
      </c>
      <c r="C19" s="6" t="s">
        <v>82</v>
      </c>
      <c r="D19" s="6" t="s">
        <v>83</v>
      </c>
      <c r="E19" s="6" t="s">
        <v>84</v>
      </c>
      <c r="F19" s="7"/>
      <c r="G19" s="3"/>
      <c r="H19" s="3"/>
      <c r="I19" s="3"/>
      <c r="J19" s="3"/>
      <c r="K19" s="3"/>
      <c r="L19" s="3"/>
      <c r="M19" s="3"/>
      <c r="N19" s="3"/>
      <c r="O19" s="3"/>
      <c r="P19" s="3"/>
      <c r="Q19" s="3"/>
      <c r="R19" s="3"/>
      <c r="S19" s="3"/>
      <c r="T19" s="3"/>
      <c r="U19" s="3"/>
      <c r="V19" s="3"/>
      <c r="W19" s="3"/>
    </row>
    <row r="20" spans="1:23" ht="409.5">
      <c r="A20" s="4" t="s">
        <v>85</v>
      </c>
      <c r="B20" s="5" t="s">
        <v>86</v>
      </c>
      <c r="C20" s="6" t="s">
        <v>87</v>
      </c>
      <c r="D20" s="6" t="s">
        <v>88</v>
      </c>
      <c r="E20" s="6" t="s">
        <v>89</v>
      </c>
      <c r="F20" s="7"/>
      <c r="G20" s="3"/>
      <c r="H20" s="3"/>
      <c r="I20" s="3"/>
      <c r="J20" s="3"/>
      <c r="K20" s="3"/>
      <c r="L20" s="3"/>
      <c r="M20" s="3"/>
      <c r="N20" s="3"/>
      <c r="O20" s="3"/>
      <c r="P20" s="3"/>
      <c r="Q20" s="3"/>
      <c r="R20" s="3"/>
      <c r="S20" s="3"/>
      <c r="T20" s="3"/>
      <c r="U20" s="3"/>
      <c r="V20" s="3"/>
      <c r="W20" s="3"/>
    </row>
    <row r="21" spans="1:23" ht="409.5">
      <c r="A21" s="4" t="s">
        <v>90</v>
      </c>
      <c r="B21" s="5" t="s">
        <v>91</v>
      </c>
      <c r="C21" s="6" t="s">
        <v>92</v>
      </c>
      <c r="D21" s="6" t="s">
        <v>93</v>
      </c>
      <c r="E21" s="6" t="s">
        <v>94</v>
      </c>
      <c r="F21" s="7"/>
      <c r="G21" s="3"/>
      <c r="H21" s="3"/>
      <c r="I21" s="3"/>
      <c r="J21" s="3"/>
      <c r="K21" s="3"/>
      <c r="L21" s="3"/>
      <c r="M21" s="3"/>
      <c r="N21" s="3"/>
      <c r="O21" s="3"/>
      <c r="P21" s="3"/>
      <c r="Q21" s="3"/>
      <c r="R21" s="3"/>
      <c r="S21" s="3"/>
      <c r="T21" s="3"/>
      <c r="U21" s="3"/>
      <c r="V21" s="3"/>
      <c r="W21" s="3"/>
    </row>
    <row r="22" spans="1:23" ht="409.5">
      <c r="A22" s="4" t="s">
        <v>95</v>
      </c>
      <c r="B22" s="5" t="s">
        <v>96</v>
      </c>
      <c r="C22" s="6" t="s">
        <v>97</v>
      </c>
      <c r="D22" s="6" t="s">
        <v>98</v>
      </c>
      <c r="E22" s="6" t="s">
        <v>94</v>
      </c>
      <c r="F22" s="7"/>
      <c r="G22" s="3"/>
      <c r="H22" s="3"/>
      <c r="I22" s="3"/>
      <c r="J22" s="3"/>
      <c r="K22" s="3"/>
      <c r="L22" s="3"/>
      <c r="M22" s="3"/>
      <c r="N22" s="3"/>
      <c r="O22" s="3"/>
      <c r="P22" s="3"/>
      <c r="Q22" s="3"/>
      <c r="R22" s="3"/>
      <c r="S22" s="3"/>
      <c r="T22" s="3"/>
      <c r="U22" s="3"/>
      <c r="V22" s="3"/>
      <c r="W22" s="3"/>
    </row>
    <row r="23" spans="1:23" ht="409.5">
      <c r="A23" s="4" t="s">
        <v>99</v>
      </c>
      <c r="B23" s="5" t="s">
        <v>100</v>
      </c>
      <c r="C23" s="6" t="s">
        <v>101</v>
      </c>
      <c r="D23" s="6" t="s">
        <v>102</v>
      </c>
      <c r="E23" s="6" t="s">
        <v>103</v>
      </c>
      <c r="F23" s="7"/>
      <c r="G23" s="3"/>
      <c r="H23" s="3"/>
      <c r="I23" s="3"/>
      <c r="J23" s="3"/>
      <c r="K23" s="3"/>
      <c r="L23" s="3"/>
      <c r="M23" s="3"/>
      <c r="N23" s="3"/>
      <c r="O23" s="3"/>
      <c r="P23" s="3"/>
      <c r="Q23" s="3"/>
      <c r="R23" s="3"/>
      <c r="S23" s="3"/>
      <c r="T23" s="3"/>
      <c r="U23" s="3"/>
      <c r="V23" s="3"/>
      <c r="W23" s="3"/>
    </row>
    <row r="24" spans="1:23" ht="409.5">
      <c r="A24" s="4" t="s">
        <v>104</v>
      </c>
      <c r="B24" s="5" t="s">
        <v>105</v>
      </c>
      <c r="C24" s="6" t="s">
        <v>106</v>
      </c>
      <c r="D24" s="6" t="s">
        <v>107</v>
      </c>
      <c r="E24" s="6" t="s">
        <v>108</v>
      </c>
      <c r="F24" s="7"/>
      <c r="G24" s="3"/>
      <c r="H24" s="3"/>
      <c r="I24" s="3"/>
      <c r="J24" s="3"/>
      <c r="K24" s="3"/>
      <c r="L24" s="3"/>
      <c r="M24" s="3"/>
      <c r="N24" s="3"/>
      <c r="O24" s="3"/>
      <c r="P24" s="3"/>
      <c r="Q24" s="3"/>
      <c r="R24" s="3"/>
      <c r="S24" s="3"/>
      <c r="T24" s="3"/>
      <c r="U24" s="3"/>
      <c r="V24" s="3"/>
      <c r="W24" s="3"/>
    </row>
    <row r="25" spans="1:23" ht="54">
      <c r="A25" s="8" t="s">
        <v>109</v>
      </c>
      <c r="B25" s="1" t="str">
        <f>CONCATENATE("Gastos y conciencia de uso: ",COUNTIF(B26:B30,"&lt;&gt;0"))</f>
        <v>Gastos y conciencia de uso: 5</v>
      </c>
      <c r="C25" s="9" t="s">
        <v>1</v>
      </c>
      <c r="D25" s="9" t="s">
        <v>2</v>
      </c>
      <c r="E25" s="9"/>
      <c r="F25" s="10"/>
      <c r="G25" s="3"/>
      <c r="H25" s="3"/>
      <c r="I25" s="3"/>
      <c r="J25" s="3"/>
      <c r="K25" s="3"/>
      <c r="L25" s="3"/>
      <c r="M25" s="3"/>
      <c r="N25" s="3"/>
      <c r="O25" s="3"/>
      <c r="P25" s="3"/>
      <c r="Q25" s="3"/>
      <c r="R25" s="3"/>
      <c r="S25" s="3"/>
      <c r="T25" s="3"/>
      <c r="U25" s="3"/>
      <c r="V25" s="3"/>
      <c r="W25" s="3"/>
    </row>
    <row r="26" spans="1:23" ht="409.5">
      <c r="A26" s="4" t="s">
        <v>110</v>
      </c>
      <c r="B26" s="5" t="s">
        <v>111</v>
      </c>
      <c r="C26" s="6" t="s">
        <v>112</v>
      </c>
      <c r="D26" s="6" t="s">
        <v>113</v>
      </c>
      <c r="E26" s="6" t="s">
        <v>114</v>
      </c>
      <c r="F26" s="7"/>
      <c r="G26" s="3"/>
      <c r="H26" s="3"/>
      <c r="I26" s="3"/>
      <c r="J26" s="3"/>
      <c r="K26" s="3"/>
      <c r="L26" s="3"/>
      <c r="M26" s="3"/>
      <c r="N26" s="3"/>
      <c r="O26" s="3"/>
      <c r="P26" s="3"/>
      <c r="Q26" s="3"/>
      <c r="R26" s="3"/>
      <c r="S26" s="3"/>
      <c r="T26" s="3"/>
      <c r="U26" s="3"/>
      <c r="V26" s="3"/>
      <c r="W26" s="3"/>
    </row>
    <row r="27" spans="1:23" ht="409.5">
      <c r="A27" s="4" t="s">
        <v>115</v>
      </c>
      <c r="B27" s="5" t="s">
        <v>116</v>
      </c>
      <c r="C27" s="6" t="s">
        <v>117</v>
      </c>
      <c r="D27" s="6" t="s">
        <v>118</v>
      </c>
      <c r="E27" s="6" t="s">
        <v>119</v>
      </c>
      <c r="F27" s="7"/>
      <c r="G27" s="3"/>
      <c r="H27" s="3"/>
      <c r="I27" s="3"/>
      <c r="J27" s="3"/>
      <c r="K27" s="3"/>
      <c r="L27" s="3"/>
      <c r="M27" s="3"/>
      <c r="N27" s="3"/>
      <c r="O27" s="3"/>
      <c r="P27" s="3"/>
      <c r="Q27" s="3"/>
      <c r="R27" s="3"/>
      <c r="S27" s="3"/>
      <c r="T27" s="3"/>
      <c r="U27" s="3"/>
      <c r="V27" s="3"/>
      <c r="W27" s="3"/>
    </row>
    <row r="28" spans="1:23" ht="409.5">
      <c r="A28" s="4" t="s">
        <v>120</v>
      </c>
      <c r="B28" s="5" t="s">
        <v>121</v>
      </c>
      <c r="C28" s="6" t="s">
        <v>122</v>
      </c>
      <c r="D28" s="6" t="s">
        <v>123</v>
      </c>
      <c r="E28" s="6" t="s">
        <v>124</v>
      </c>
      <c r="F28" s="7"/>
      <c r="G28" s="3"/>
      <c r="H28" s="3"/>
      <c r="I28" s="3"/>
      <c r="J28" s="3"/>
      <c r="K28" s="3"/>
      <c r="L28" s="3"/>
      <c r="M28" s="3"/>
      <c r="N28" s="3"/>
      <c r="O28" s="3"/>
      <c r="P28" s="3"/>
      <c r="Q28" s="3"/>
      <c r="R28" s="3"/>
      <c r="S28" s="3"/>
      <c r="T28" s="3"/>
      <c r="U28" s="3"/>
      <c r="V28" s="3"/>
      <c r="W28" s="3"/>
    </row>
    <row r="29" spans="1:23" ht="409.5">
      <c r="A29" s="4" t="s">
        <v>125</v>
      </c>
      <c r="B29" s="5" t="s">
        <v>126</v>
      </c>
      <c r="C29" s="6" t="s">
        <v>127</v>
      </c>
      <c r="D29" s="6" t="s">
        <v>128</v>
      </c>
      <c r="E29" s="6" t="s">
        <v>129</v>
      </c>
      <c r="F29" s="7"/>
      <c r="G29" s="3"/>
      <c r="H29" s="3"/>
      <c r="I29" s="3"/>
      <c r="J29" s="3"/>
      <c r="K29" s="3"/>
      <c r="L29" s="3"/>
      <c r="M29" s="3"/>
      <c r="N29" s="3"/>
      <c r="O29" s="3"/>
      <c r="P29" s="3"/>
      <c r="Q29" s="3"/>
      <c r="R29" s="3"/>
      <c r="S29" s="3"/>
      <c r="T29" s="3"/>
      <c r="U29" s="3"/>
      <c r="V29" s="3"/>
      <c r="W29" s="3"/>
    </row>
    <row r="30" spans="1:23" ht="409.5">
      <c r="A30" s="4" t="s">
        <v>130</v>
      </c>
      <c r="B30" s="5" t="s">
        <v>131</v>
      </c>
      <c r="C30" s="6" t="s">
        <v>132</v>
      </c>
      <c r="D30" s="6" t="s">
        <v>133</v>
      </c>
      <c r="E30" s="6" t="s">
        <v>134</v>
      </c>
      <c r="F30" s="7"/>
      <c r="G30" s="3"/>
      <c r="H30" s="3"/>
      <c r="I30" s="3"/>
      <c r="J30" s="3"/>
      <c r="K30" s="3"/>
      <c r="L30" s="3"/>
      <c r="M30" s="3"/>
      <c r="N30" s="3"/>
      <c r="O30" s="3"/>
      <c r="P30" s="3"/>
      <c r="Q30" s="3"/>
      <c r="R30" s="3"/>
      <c r="S30" s="3"/>
      <c r="T30" s="3"/>
      <c r="U30" s="3"/>
      <c r="V30" s="3"/>
      <c r="W30" s="3"/>
    </row>
    <row r="31" spans="1:23" ht="54">
      <c r="A31" s="8" t="s">
        <v>135</v>
      </c>
      <c r="B31" s="1" t="str">
        <f>CONCATENATE("Recursos rentables: ",COUNTIF(B32:B37,"&lt;&gt;0"))</f>
        <v>Recursos rentables: 6</v>
      </c>
      <c r="C31" s="9" t="s">
        <v>1</v>
      </c>
      <c r="D31" s="9" t="s">
        <v>2</v>
      </c>
      <c r="E31" s="9"/>
      <c r="F31" s="10"/>
      <c r="G31" s="3"/>
      <c r="H31" s="3"/>
      <c r="I31" s="3"/>
      <c r="J31" s="3"/>
      <c r="K31" s="3"/>
      <c r="L31" s="3"/>
      <c r="M31" s="3"/>
      <c r="N31" s="3"/>
      <c r="O31" s="3"/>
      <c r="P31" s="3"/>
      <c r="Q31" s="3"/>
      <c r="R31" s="3"/>
      <c r="S31" s="3"/>
      <c r="T31" s="3"/>
      <c r="U31" s="3"/>
      <c r="V31" s="3"/>
      <c r="W31" s="3"/>
    </row>
    <row r="32" spans="1:23" ht="409.5">
      <c r="A32" s="4" t="s">
        <v>136</v>
      </c>
      <c r="B32" s="5" t="s">
        <v>137</v>
      </c>
      <c r="C32" s="6" t="s">
        <v>138</v>
      </c>
      <c r="D32" s="6" t="s">
        <v>139</v>
      </c>
      <c r="E32" s="6" t="s">
        <v>140</v>
      </c>
      <c r="F32" s="7"/>
      <c r="G32" s="3"/>
      <c r="H32" s="3"/>
      <c r="I32" s="3"/>
      <c r="J32" s="3"/>
      <c r="K32" s="3"/>
      <c r="L32" s="3"/>
      <c r="M32" s="3"/>
      <c r="N32" s="3"/>
      <c r="O32" s="3"/>
      <c r="P32" s="3"/>
      <c r="Q32" s="3"/>
      <c r="R32" s="3"/>
      <c r="S32" s="3"/>
      <c r="T32" s="3"/>
      <c r="U32" s="3"/>
      <c r="V32" s="3"/>
      <c r="W32" s="3"/>
    </row>
    <row r="33" spans="1:23" ht="409.5">
      <c r="A33" s="4" t="s">
        <v>141</v>
      </c>
      <c r="B33" s="5" t="s">
        <v>142</v>
      </c>
      <c r="C33" s="6" t="s">
        <v>143</v>
      </c>
      <c r="D33" s="6" t="s">
        <v>144</v>
      </c>
      <c r="E33" s="6" t="s">
        <v>145</v>
      </c>
      <c r="F33" s="7"/>
      <c r="G33" s="3"/>
      <c r="H33" s="3"/>
      <c r="I33" s="3"/>
      <c r="J33" s="3"/>
      <c r="K33" s="3"/>
      <c r="L33" s="3"/>
      <c r="M33" s="3"/>
      <c r="N33" s="3"/>
      <c r="O33" s="3"/>
      <c r="P33" s="3"/>
      <c r="Q33" s="3"/>
      <c r="R33" s="3"/>
      <c r="S33" s="3"/>
      <c r="T33" s="3"/>
      <c r="U33" s="3"/>
      <c r="V33" s="3"/>
      <c r="W33" s="3"/>
    </row>
    <row r="34" spans="1:23" ht="409.5">
      <c r="A34" s="4" t="s">
        <v>146</v>
      </c>
      <c r="B34" s="5" t="s">
        <v>147</v>
      </c>
      <c r="C34" s="6" t="s">
        <v>148</v>
      </c>
      <c r="D34" s="6" t="s">
        <v>149</v>
      </c>
      <c r="E34" s="6" t="s">
        <v>150</v>
      </c>
      <c r="F34" s="7"/>
      <c r="G34" s="3"/>
      <c r="H34" s="3"/>
      <c r="I34" s="3"/>
      <c r="J34" s="3"/>
      <c r="K34" s="3"/>
      <c r="L34" s="3"/>
      <c r="M34" s="3"/>
      <c r="N34" s="3"/>
      <c r="O34" s="3"/>
      <c r="P34" s="3"/>
      <c r="Q34" s="3"/>
      <c r="R34" s="3"/>
      <c r="S34" s="3"/>
      <c r="T34" s="3"/>
      <c r="U34" s="3"/>
      <c r="V34" s="3"/>
      <c r="W34" s="3"/>
    </row>
    <row r="35" spans="1:23" ht="409.5">
      <c r="A35" s="4" t="s">
        <v>151</v>
      </c>
      <c r="B35" s="5" t="s">
        <v>152</v>
      </c>
      <c r="C35" s="6" t="s">
        <v>153</v>
      </c>
      <c r="D35" s="6" t="s">
        <v>154</v>
      </c>
      <c r="E35" s="6" t="s">
        <v>155</v>
      </c>
      <c r="F35" s="7"/>
      <c r="G35" s="3"/>
      <c r="H35" s="3"/>
      <c r="I35" s="3"/>
      <c r="J35" s="3"/>
      <c r="K35" s="3"/>
      <c r="L35" s="3"/>
      <c r="M35" s="3"/>
      <c r="N35" s="3"/>
      <c r="O35" s="3"/>
      <c r="P35" s="3"/>
      <c r="Q35" s="3"/>
      <c r="R35" s="3"/>
      <c r="S35" s="3"/>
      <c r="T35" s="3"/>
      <c r="U35" s="3"/>
      <c r="V35" s="3"/>
      <c r="W35" s="3"/>
    </row>
    <row r="36" spans="1:23" ht="409.5">
      <c r="A36" s="4" t="s">
        <v>156</v>
      </c>
      <c r="B36" s="5" t="s">
        <v>157</v>
      </c>
      <c r="C36" s="6" t="s">
        <v>158</v>
      </c>
      <c r="D36" s="6" t="s">
        <v>159</v>
      </c>
      <c r="E36" s="6" t="s">
        <v>160</v>
      </c>
      <c r="F36" s="7"/>
      <c r="G36" s="3"/>
      <c r="H36" s="3"/>
      <c r="I36" s="3"/>
      <c r="J36" s="3"/>
      <c r="K36" s="3"/>
      <c r="L36" s="3"/>
      <c r="M36" s="3"/>
      <c r="N36" s="3"/>
      <c r="O36" s="3"/>
      <c r="P36" s="3"/>
      <c r="Q36" s="3"/>
      <c r="R36" s="3"/>
      <c r="S36" s="3"/>
      <c r="T36" s="3"/>
      <c r="U36" s="3"/>
      <c r="V36" s="3"/>
      <c r="W36" s="3"/>
    </row>
    <row r="37" spans="1:23" ht="409.5">
      <c r="A37" s="4" t="s">
        <v>161</v>
      </c>
      <c r="B37" s="5" t="s">
        <v>162</v>
      </c>
      <c r="C37" s="6" t="s">
        <v>163</v>
      </c>
      <c r="D37" s="6" t="s">
        <v>164</v>
      </c>
      <c r="E37" s="6" t="s">
        <v>165</v>
      </c>
      <c r="F37" s="7"/>
      <c r="G37" s="3"/>
      <c r="H37" s="3"/>
      <c r="I37" s="3"/>
      <c r="J37" s="3"/>
      <c r="K37" s="3"/>
      <c r="L37" s="3"/>
      <c r="M37" s="3"/>
      <c r="N37" s="3"/>
      <c r="O37" s="3"/>
      <c r="P37" s="3"/>
      <c r="Q37" s="3"/>
      <c r="R37" s="3"/>
      <c r="S37" s="3"/>
      <c r="T37" s="3"/>
      <c r="U37" s="3"/>
      <c r="V37" s="3"/>
      <c r="W37" s="3"/>
    </row>
    <row r="38" spans="1:23" ht="90">
      <c r="A38" s="8" t="s">
        <v>166</v>
      </c>
      <c r="B38" s="1" t="str">
        <f>CONCATENATE("Recursos rentables: ",COUNTIF(B39:B42,"&lt;&gt;0"))</f>
        <v>Recursos rentables: 4</v>
      </c>
      <c r="C38" s="9" t="s">
        <v>1</v>
      </c>
      <c r="D38" s="9" t="s">
        <v>2</v>
      </c>
      <c r="E38" s="9"/>
      <c r="F38" s="10"/>
      <c r="G38" s="3"/>
      <c r="H38" s="3"/>
      <c r="I38" s="3"/>
      <c r="J38" s="3"/>
      <c r="K38" s="3"/>
      <c r="L38" s="3"/>
      <c r="M38" s="3"/>
      <c r="N38" s="3"/>
      <c r="O38" s="3"/>
      <c r="P38" s="3"/>
      <c r="Q38" s="3"/>
      <c r="R38" s="3"/>
      <c r="S38" s="3"/>
      <c r="T38" s="3"/>
      <c r="U38" s="3"/>
      <c r="V38" s="3"/>
      <c r="W38" s="3"/>
    </row>
    <row r="39" spans="1:23" ht="409.5">
      <c r="A39" s="4" t="s">
        <v>167</v>
      </c>
      <c r="B39" s="5" t="s">
        <v>168</v>
      </c>
      <c r="C39" s="6" t="s">
        <v>169</v>
      </c>
      <c r="D39" s="6" t="s">
        <v>170</v>
      </c>
      <c r="E39" s="6" t="s">
        <v>171</v>
      </c>
      <c r="F39" s="7"/>
      <c r="G39" s="3"/>
      <c r="H39" s="3"/>
      <c r="I39" s="3"/>
      <c r="J39" s="3"/>
      <c r="K39" s="3"/>
      <c r="L39" s="3"/>
      <c r="M39" s="3"/>
      <c r="N39" s="3"/>
      <c r="O39" s="3"/>
      <c r="P39" s="3"/>
      <c r="Q39" s="3"/>
      <c r="R39" s="3"/>
      <c r="S39" s="3"/>
      <c r="T39" s="3"/>
      <c r="U39" s="3"/>
      <c r="V39" s="3"/>
      <c r="W39" s="3"/>
    </row>
    <row r="40" spans="1:23" ht="409.5">
      <c r="A40" s="4" t="s">
        <v>172</v>
      </c>
      <c r="B40" s="5" t="s">
        <v>173</v>
      </c>
      <c r="C40" s="6" t="s">
        <v>174</v>
      </c>
      <c r="D40" s="6" t="s">
        <v>175</v>
      </c>
      <c r="E40" s="6" t="s">
        <v>176</v>
      </c>
      <c r="F40" s="7"/>
      <c r="G40" s="3"/>
      <c r="H40" s="3"/>
      <c r="I40" s="3"/>
      <c r="J40" s="3"/>
      <c r="K40" s="3"/>
      <c r="L40" s="3"/>
      <c r="M40" s="3"/>
      <c r="N40" s="3"/>
      <c r="O40" s="3"/>
      <c r="P40" s="3"/>
      <c r="Q40" s="3"/>
      <c r="R40" s="3"/>
      <c r="S40" s="3"/>
      <c r="T40" s="3"/>
      <c r="U40" s="3"/>
      <c r="V40" s="3"/>
      <c r="W40" s="3"/>
    </row>
    <row r="41" spans="1:23" ht="409.5">
      <c r="A41" s="4" t="s">
        <v>177</v>
      </c>
      <c r="B41" s="5" t="s">
        <v>178</v>
      </c>
      <c r="C41" s="6" t="s">
        <v>179</v>
      </c>
      <c r="D41" s="6" t="s">
        <v>180</v>
      </c>
      <c r="E41" s="6" t="s">
        <v>181</v>
      </c>
      <c r="F41" s="7"/>
      <c r="G41" s="3"/>
      <c r="H41" s="3"/>
      <c r="I41" s="3"/>
      <c r="J41" s="3"/>
      <c r="K41" s="3"/>
      <c r="L41" s="3"/>
      <c r="M41" s="3"/>
      <c r="N41" s="3"/>
      <c r="O41" s="3"/>
      <c r="P41" s="3"/>
      <c r="Q41" s="3"/>
      <c r="R41" s="3"/>
      <c r="S41" s="3"/>
      <c r="T41" s="3"/>
      <c r="U41" s="3"/>
      <c r="V41" s="3"/>
      <c r="W41" s="3"/>
    </row>
    <row r="42" spans="1:23" ht="409.5">
      <c r="A42" s="4" t="s">
        <v>182</v>
      </c>
      <c r="B42" s="5" t="s">
        <v>183</v>
      </c>
      <c r="C42" s="6" t="s">
        <v>184</v>
      </c>
      <c r="D42" s="6" t="s">
        <v>185</v>
      </c>
      <c r="E42" s="6" t="s">
        <v>186</v>
      </c>
      <c r="F42" s="7"/>
      <c r="G42" s="3"/>
      <c r="H42" s="3"/>
      <c r="I42" s="3"/>
      <c r="J42" s="3"/>
      <c r="K42" s="3"/>
      <c r="L42" s="3"/>
      <c r="M42" s="3"/>
      <c r="N42" s="3"/>
      <c r="O42" s="3"/>
      <c r="P42" s="3"/>
      <c r="Q42" s="3"/>
      <c r="R42" s="3"/>
      <c r="S42" s="3"/>
      <c r="T42" s="3"/>
      <c r="U42" s="3"/>
      <c r="V42" s="3"/>
      <c r="W42" s="3"/>
    </row>
    <row r="43" spans="1:23" ht="72">
      <c r="A43" s="8" t="s">
        <v>187</v>
      </c>
      <c r="B43" s="1" t="str">
        <f>CONCATENATE("Recursos rentables: ",COUNTIF(B44:B48,"&lt;&gt;0"))</f>
        <v>Recursos rentables: 5</v>
      </c>
      <c r="C43" s="9" t="s">
        <v>1</v>
      </c>
      <c r="D43" s="9" t="s">
        <v>2</v>
      </c>
      <c r="E43" s="9"/>
      <c r="F43" s="10"/>
      <c r="G43" s="3"/>
      <c r="H43" s="3"/>
      <c r="I43" s="3"/>
      <c r="J43" s="3"/>
      <c r="K43" s="3"/>
      <c r="L43" s="3"/>
      <c r="M43" s="3"/>
      <c r="N43" s="3"/>
      <c r="O43" s="3"/>
      <c r="P43" s="3"/>
      <c r="Q43" s="3"/>
      <c r="R43" s="3"/>
      <c r="S43" s="3"/>
      <c r="T43" s="3"/>
      <c r="U43" s="3"/>
      <c r="V43" s="3"/>
      <c r="W43" s="3"/>
    </row>
    <row r="44" spans="1:23" ht="409.5">
      <c r="A44" s="4" t="s">
        <v>188</v>
      </c>
      <c r="B44" s="5" t="s">
        <v>189</v>
      </c>
      <c r="C44" s="6" t="s">
        <v>190</v>
      </c>
      <c r="D44" s="6" t="s">
        <v>191</v>
      </c>
      <c r="E44" s="6" t="s">
        <v>192</v>
      </c>
      <c r="F44" s="7"/>
      <c r="G44" s="3"/>
      <c r="H44" s="3"/>
      <c r="I44" s="3"/>
      <c r="J44" s="3"/>
      <c r="K44" s="3"/>
      <c r="L44" s="3"/>
      <c r="M44" s="3"/>
      <c r="N44" s="3"/>
      <c r="O44" s="3"/>
      <c r="P44" s="3"/>
      <c r="Q44" s="3"/>
      <c r="R44" s="3"/>
      <c r="S44" s="3"/>
      <c r="T44" s="3"/>
      <c r="U44" s="3"/>
      <c r="V44" s="3"/>
      <c r="W44" s="3"/>
    </row>
    <row r="45" spans="1:23" ht="409.5">
      <c r="A45" s="4" t="s">
        <v>193</v>
      </c>
      <c r="B45" s="5" t="s">
        <v>194</v>
      </c>
      <c r="C45" s="6" t="s">
        <v>195</v>
      </c>
      <c r="D45" s="6" t="s">
        <v>196</v>
      </c>
      <c r="E45" s="6" t="s">
        <v>197</v>
      </c>
      <c r="F45" s="7"/>
      <c r="G45" s="3"/>
      <c r="H45" s="3"/>
      <c r="I45" s="3"/>
      <c r="J45" s="3"/>
      <c r="K45" s="3"/>
      <c r="L45" s="3"/>
      <c r="M45" s="3"/>
      <c r="N45" s="3"/>
      <c r="O45" s="3"/>
      <c r="P45" s="3"/>
      <c r="Q45" s="3"/>
      <c r="R45" s="3"/>
      <c r="S45" s="3"/>
      <c r="T45" s="3"/>
      <c r="U45" s="3"/>
      <c r="V45" s="3"/>
      <c r="W45" s="3"/>
    </row>
    <row r="46" spans="1:23" ht="409.5">
      <c r="A46" s="4" t="s">
        <v>198</v>
      </c>
      <c r="B46" s="5" t="s">
        <v>199</v>
      </c>
      <c r="C46" s="6" t="s">
        <v>200</v>
      </c>
      <c r="D46" s="6" t="s">
        <v>201</v>
      </c>
      <c r="E46" s="6" t="s">
        <v>202</v>
      </c>
      <c r="F46" s="7"/>
      <c r="G46" s="3"/>
      <c r="H46" s="3"/>
      <c r="I46" s="3"/>
      <c r="J46" s="3"/>
      <c r="K46" s="3"/>
      <c r="L46" s="3"/>
      <c r="M46" s="3"/>
      <c r="N46" s="3"/>
      <c r="O46" s="3"/>
      <c r="P46" s="3"/>
      <c r="Q46" s="3"/>
      <c r="R46" s="3"/>
      <c r="S46" s="3"/>
      <c r="T46" s="3"/>
      <c r="U46" s="3"/>
      <c r="V46" s="3"/>
      <c r="W46" s="3"/>
    </row>
    <row r="47" spans="1:23" ht="409.5">
      <c r="A47" s="4" t="s">
        <v>203</v>
      </c>
      <c r="B47" s="5" t="s">
        <v>204</v>
      </c>
      <c r="C47" s="6" t="s">
        <v>205</v>
      </c>
      <c r="D47" s="6" t="s">
        <v>206</v>
      </c>
      <c r="E47" s="6" t="s">
        <v>207</v>
      </c>
      <c r="F47" s="7"/>
      <c r="G47" s="3"/>
      <c r="H47" s="3"/>
      <c r="I47" s="3"/>
      <c r="J47" s="3"/>
      <c r="K47" s="3"/>
      <c r="L47" s="3"/>
      <c r="M47" s="3"/>
      <c r="N47" s="3"/>
      <c r="O47" s="3"/>
      <c r="P47" s="3"/>
      <c r="Q47" s="3"/>
      <c r="R47" s="3"/>
      <c r="S47" s="3"/>
      <c r="T47" s="3"/>
      <c r="U47" s="3"/>
      <c r="V47" s="3"/>
      <c r="W47" s="3"/>
    </row>
    <row r="48" spans="1:23" ht="409.5">
      <c r="A48" s="4" t="s">
        <v>208</v>
      </c>
      <c r="B48" s="5" t="s">
        <v>209</v>
      </c>
      <c r="C48" s="6" t="s">
        <v>210</v>
      </c>
      <c r="D48" s="6" t="s">
        <v>211</v>
      </c>
      <c r="E48" s="6" t="s">
        <v>212</v>
      </c>
      <c r="F48" s="7"/>
      <c r="G48" s="3"/>
      <c r="H48" s="3"/>
      <c r="I48" s="3"/>
      <c r="J48" s="3"/>
      <c r="K48" s="3"/>
      <c r="L48" s="3"/>
      <c r="M48" s="3"/>
      <c r="N48" s="3"/>
      <c r="O48" s="3"/>
      <c r="P48" s="3"/>
      <c r="Q48" s="3"/>
      <c r="R48" s="3"/>
      <c r="S48" s="3"/>
      <c r="T48" s="3"/>
      <c r="U48" s="3"/>
      <c r="V48" s="3"/>
      <c r="W48" s="3"/>
    </row>
    <row r="49" spans="1:23" ht="54">
      <c r="A49" s="8" t="s">
        <v>213</v>
      </c>
      <c r="B49" s="1" t="str">
        <f>CONCATENATE("Recursos rentables: ",COUNTIF(B50:B52,"&lt;&gt;0"))</f>
        <v>Recursos rentables: 3</v>
      </c>
      <c r="C49" s="9" t="s">
        <v>1</v>
      </c>
      <c r="D49" s="9" t="s">
        <v>2</v>
      </c>
      <c r="E49" s="9"/>
      <c r="F49" s="10"/>
      <c r="G49" s="3"/>
      <c r="H49" s="3"/>
      <c r="I49" s="3"/>
      <c r="J49" s="3"/>
      <c r="K49" s="3"/>
      <c r="L49" s="3"/>
      <c r="M49" s="3"/>
      <c r="N49" s="3"/>
      <c r="O49" s="3"/>
      <c r="P49" s="3"/>
      <c r="Q49" s="3"/>
      <c r="R49" s="3"/>
      <c r="S49" s="3"/>
      <c r="T49" s="3"/>
      <c r="U49" s="3"/>
      <c r="V49" s="3"/>
      <c r="W49" s="3"/>
    </row>
    <row r="50" spans="1:23" ht="409.5">
      <c r="A50" s="4" t="s">
        <v>214</v>
      </c>
      <c r="B50" s="5" t="s">
        <v>215</v>
      </c>
      <c r="C50" s="6" t="s">
        <v>216</v>
      </c>
      <c r="D50" s="6" t="s">
        <v>217</v>
      </c>
      <c r="E50" s="6" t="s">
        <v>218</v>
      </c>
      <c r="F50" s="7"/>
      <c r="G50" s="3"/>
      <c r="H50" s="3"/>
      <c r="I50" s="3"/>
      <c r="J50" s="3"/>
      <c r="K50" s="3"/>
      <c r="L50" s="3"/>
      <c r="M50" s="3"/>
      <c r="N50" s="3"/>
      <c r="O50" s="3"/>
      <c r="P50" s="3"/>
      <c r="Q50" s="3"/>
      <c r="R50" s="3"/>
      <c r="S50" s="3"/>
      <c r="T50" s="3"/>
      <c r="U50" s="3"/>
      <c r="V50" s="3"/>
      <c r="W50" s="3"/>
    </row>
    <row r="51" spans="1:23" ht="409.5">
      <c r="A51" s="4" t="s">
        <v>219</v>
      </c>
      <c r="B51" s="5" t="s">
        <v>220</v>
      </c>
      <c r="C51" s="6" t="s">
        <v>221</v>
      </c>
      <c r="D51" s="6" t="s">
        <v>222</v>
      </c>
      <c r="E51" s="6" t="s">
        <v>223</v>
      </c>
      <c r="F51" s="7"/>
      <c r="G51" s="3"/>
      <c r="H51" s="3"/>
      <c r="I51" s="3"/>
      <c r="J51" s="3"/>
      <c r="K51" s="3"/>
      <c r="L51" s="3"/>
      <c r="M51" s="3"/>
      <c r="N51" s="3"/>
      <c r="O51" s="3"/>
      <c r="P51" s="3"/>
      <c r="Q51" s="3"/>
      <c r="R51" s="3"/>
      <c r="S51" s="3"/>
      <c r="T51" s="3"/>
      <c r="U51" s="3"/>
      <c r="V51" s="3"/>
      <c r="W51" s="3"/>
    </row>
    <row r="52" spans="1:23" ht="409.5">
      <c r="A52" s="4" t="s">
        <v>224</v>
      </c>
      <c r="B52" s="5" t="s">
        <v>225</v>
      </c>
      <c r="C52" s="6" t="s">
        <v>226</v>
      </c>
      <c r="D52" s="6" t="s">
        <v>227</v>
      </c>
      <c r="E52" s="6" t="s">
        <v>228</v>
      </c>
      <c r="F52" s="7"/>
      <c r="G52" s="3"/>
      <c r="H52" s="3"/>
      <c r="I52" s="3"/>
      <c r="J52" s="3"/>
      <c r="K52" s="3"/>
      <c r="L52" s="3"/>
      <c r="M52" s="3"/>
      <c r="N52" s="3"/>
      <c r="O52" s="3"/>
      <c r="P52" s="3"/>
      <c r="Q52" s="3"/>
      <c r="R52" s="3"/>
      <c r="S52" s="3"/>
      <c r="T52" s="3"/>
      <c r="U52" s="3"/>
      <c r="V52" s="3"/>
      <c r="W52" s="3"/>
    </row>
    <row r="53" spans="1:23" ht="72">
      <c r="A53" s="8" t="s">
        <v>229</v>
      </c>
      <c r="B53" s="1" t="str">
        <f>CONCATENATE("Gestionar los recursos de oferta y demanda: ",COUNTIF(B54:B56,"&lt;&gt;0"))</f>
        <v>Gestionar los recursos de oferta y demanda: 3</v>
      </c>
      <c r="C53" s="9" t="s">
        <v>1</v>
      </c>
      <c r="D53" s="9" t="s">
        <v>2</v>
      </c>
      <c r="E53" s="9"/>
      <c r="F53" s="10"/>
      <c r="G53" s="3"/>
      <c r="H53" s="3"/>
      <c r="I53" s="3"/>
      <c r="J53" s="3"/>
      <c r="K53" s="3"/>
      <c r="L53" s="3"/>
      <c r="M53" s="3"/>
      <c r="N53" s="3"/>
      <c r="O53" s="3"/>
      <c r="P53" s="3"/>
      <c r="Q53" s="3"/>
      <c r="R53" s="3"/>
      <c r="S53" s="3"/>
      <c r="T53" s="3"/>
      <c r="U53" s="3"/>
      <c r="V53" s="3"/>
      <c r="W53" s="3"/>
    </row>
    <row r="54" spans="1:23" ht="409.5">
      <c r="A54" s="4" t="s">
        <v>230</v>
      </c>
      <c r="B54" s="5" t="s">
        <v>231</v>
      </c>
      <c r="C54" s="6" t="s">
        <v>232</v>
      </c>
      <c r="D54" s="6" t="s">
        <v>233</v>
      </c>
      <c r="E54" s="6" t="s">
        <v>234</v>
      </c>
      <c r="F54" s="7"/>
      <c r="G54" s="3"/>
      <c r="H54" s="3"/>
      <c r="I54" s="3"/>
      <c r="J54" s="3"/>
      <c r="K54" s="3"/>
      <c r="L54" s="3"/>
      <c r="M54" s="3"/>
      <c r="N54" s="3"/>
      <c r="O54" s="3"/>
      <c r="P54" s="3"/>
      <c r="Q54" s="3"/>
      <c r="R54" s="3"/>
      <c r="S54" s="3"/>
      <c r="T54" s="3"/>
      <c r="U54" s="3"/>
      <c r="V54" s="3"/>
      <c r="W54" s="3"/>
    </row>
    <row r="55" spans="1:23" ht="409.5">
      <c r="A55" s="4" t="s">
        <v>235</v>
      </c>
      <c r="B55" s="5" t="s">
        <v>236</v>
      </c>
      <c r="C55" s="6" t="s">
        <v>237</v>
      </c>
      <c r="D55" s="6" t="s">
        <v>238</v>
      </c>
      <c r="E55" s="6" t="s">
        <v>239</v>
      </c>
      <c r="F55" s="7"/>
      <c r="G55" s="3"/>
      <c r="H55" s="3"/>
      <c r="I55" s="3"/>
      <c r="J55" s="3"/>
      <c r="K55" s="3"/>
      <c r="L55" s="3"/>
      <c r="M55" s="3"/>
      <c r="N55" s="3"/>
      <c r="O55" s="3"/>
      <c r="P55" s="3"/>
      <c r="Q55" s="3"/>
      <c r="R55" s="3"/>
      <c r="S55" s="3"/>
      <c r="T55" s="3"/>
      <c r="U55" s="3"/>
      <c r="V55" s="3"/>
      <c r="W55" s="3"/>
    </row>
    <row r="56" spans="1:23" ht="409.5">
      <c r="A56" s="4" t="s">
        <v>240</v>
      </c>
      <c r="B56" s="5" t="s">
        <v>241</v>
      </c>
      <c r="C56" s="6" t="s">
        <v>242</v>
      </c>
      <c r="D56" s="6" t="s">
        <v>243</v>
      </c>
      <c r="E56" s="6" t="s">
        <v>244</v>
      </c>
      <c r="F56" s="7"/>
      <c r="G56" s="3"/>
      <c r="H56" s="3"/>
      <c r="I56" s="3"/>
      <c r="J56" s="3"/>
      <c r="K56" s="3"/>
      <c r="L56" s="3"/>
      <c r="M56" s="3"/>
      <c r="N56" s="3"/>
      <c r="O56" s="3"/>
      <c r="P56" s="3"/>
      <c r="Q56" s="3"/>
      <c r="R56" s="3"/>
      <c r="S56" s="3"/>
      <c r="T56" s="3"/>
      <c r="U56" s="3"/>
      <c r="V56" s="3"/>
      <c r="W56" s="3"/>
    </row>
    <row r="57" spans="1:23" ht="54">
      <c r="A57" s="8" t="s">
        <v>245</v>
      </c>
      <c r="B57" s="1" t="str">
        <f>CONCATENATE("Optimización con el tiempo: ",COUNTIF(B58:B59,"&lt;&gt;0"))</f>
        <v>Optimización con el tiempo: 2</v>
      </c>
      <c r="C57" s="9" t="s">
        <v>1</v>
      </c>
      <c r="D57" s="9" t="s">
        <v>2</v>
      </c>
      <c r="E57" s="9"/>
      <c r="F57" s="10"/>
      <c r="G57" s="3"/>
      <c r="H57" s="3"/>
      <c r="I57" s="3"/>
      <c r="J57" s="3"/>
      <c r="K57" s="3"/>
      <c r="L57" s="3"/>
      <c r="M57" s="3"/>
      <c r="N57" s="3"/>
      <c r="O57" s="3"/>
      <c r="P57" s="3"/>
      <c r="Q57" s="3"/>
      <c r="R57" s="3"/>
      <c r="S57" s="3"/>
      <c r="T57" s="3"/>
      <c r="U57" s="3"/>
      <c r="V57" s="3"/>
      <c r="W57" s="3"/>
    </row>
    <row r="58" spans="1:23" ht="409.5">
      <c r="A58" s="4" t="s">
        <v>246</v>
      </c>
      <c r="B58" s="5" t="s">
        <v>247</v>
      </c>
      <c r="C58" s="6" t="s">
        <v>248</v>
      </c>
      <c r="D58" s="6" t="s">
        <v>249</v>
      </c>
      <c r="E58" s="6" t="s">
        <v>250</v>
      </c>
      <c r="F58" s="7"/>
      <c r="G58" s="3"/>
      <c r="H58" s="3"/>
      <c r="I58" s="3"/>
      <c r="J58" s="3"/>
      <c r="K58" s="3"/>
      <c r="L58" s="3"/>
      <c r="M58" s="3"/>
      <c r="N58" s="3"/>
      <c r="O58" s="3"/>
      <c r="P58" s="3"/>
      <c r="Q58" s="3"/>
      <c r="R58" s="3"/>
      <c r="S58" s="3"/>
      <c r="T58" s="3"/>
      <c r="U58" s="3"/>
      <c r="V58" s="3"/>
      <c r="W58" s="3"/>
    </row>
    <row r="59" spans="1:23" ht="409.5">
      <c r="A59" s="4" t="s">
        <v>251</v>
      </c>
      <c r="B59" s="5" t="s">
        <v>252</v>
      </c>
      <c r="C59" s="6" t="s">
        <v>253</v>
      </c>
      <c r="D59" s="6" t="s">
        <v>254</v>
      </c>
      <c r="E59" s="6" t="s">
        <v>255</v>
      </c>
      <c r="F59" s="7"/>
      <c r="G59" s="3"/>
      <c r="H59" s="3"/>
      <c r="I59" s="3"/>
      <c r="J59" s="3"/>
      <c r="K59" s="3"/>
      <c r="L59" s="3"/>
      <c r="M59" s="3"/>
      <c r="N59" s="3"/>
      <c r="O59" s="3"/>
      <c r="P59" s="3"/>
      <c r="Q59" s="3"/>
      <c r="R59" s="3"/>
      <c r="S59" s="3"/>
      <c r="T59" s="3"/>
      <c r="U59" s="3"/>
      <c r="V59" s="3"/>
      <c r="W59" s="3"/>
    </row>
    <row r="60" spans="1:23" ht="54">
      <c r="A60" s="8" t="s">
        <v>256</v>
      </c>
      <c r="B60" s="1" t="str">
        <f>CONCATENATE("Optimizar con el tiempo: ",COUNTIF(B61,"&lt;&gt;0"))</f>
        <v>Optimizar con el tiempo: 1</v>
      </c>
      <c r="C60" s="9" t="s">
        <v>1</v>
      </c>
      <c r="D60" s="9" t="s">
        <v>2</v>
      </c>
      <c r="E60" s="9"/>
      <c r="F60" s="10"/>
      <c r="G60" s="3"/>
      <c r="H60" s="3"/>
      <c r="I60" s="3"/>
      <c r="J60" s="3"/>
      <c r="K60" s="3"/>
      <c r="L60" s="3"/>
      <c r="M60" s="3"/>
      <c r="N60" s="3"/>
      <c r="O60" s="3"/>
      <c r="P60" s="3"/>
      <c r="Q60" s="3"/>
      <c r="R60" s="3"/>
      <c r="S60" s="3"/>
      <c r="T60" s="3"/>
      <c r="U60" s="3"/>
      <c r="V60" s="3"/>
      <c r="W60" s="3"/>
    </row>
    <row r="61" spans="1:23" ht="409.5">
      <c r="A61" s="11" t="s">
        <v>257</v>
      </c>
      <c r="B61" s="12" t="s">
        <v>258</v>
      </c>
      <c r="C61" s="6" t="s">
        <v>259</v>
      </c>
      <c r="D61" s="6" t="s">
        <v>260</v>
      </c>
      <c r="E61" s="6" t="s">
        <v>261</v>
      </c>
      <c r="F61" s="7"/>
      <c r="G61" s="3"/>
      <c r="H61" s="3"/>
      <c r="I61" s="3"/>
      <c r="J61" s="3"/>
      <c r="K61" s="3"/>
      <c r="L61" s="3"/>
      <c r="M61" s="3"/>
      <c r="N61" s="3"/>
      <c r="O61" s="3"/>
      <c r="P61" s="3"/>
      <c r="Q61" s="3"/>
      <c r="R61" s="3"/>
      <c r="S61" s="3"/>
      <c r="T61" s="3"/>
      <c r="U61" s="3"/>
      <c r="V61" s="3"/>
      <c r="W61" s="3"/>
    </row>
    <row r="62" spans="1:23">
      <c r="A62" s="3"/>
      <c r="B62" s="3"/>
      <c r="C62" s="13"/>
      <c r="D62" s="13"/>
      <c r="E62" s="13"/>
      <c r="F62" s="13"/>
      <c r="G62" s="3"/>
      <c r="H62" s="3"/>
      <c r="I62" s="3"/>
      <c r="J62" s="3"/>
      <c r="K62" s="3"/>
      <c r="L62" s="3"/>
      <c r="M62" s="3"/>
      <c r="N62" s="3"/>
      <c r="O62" s="3"/>
      <c r="P62" s="3"/>
      <c r="Q62" s="3"/>
      <c r="R62" s="3"/>
      <c r="S62" s="3"/>
      <c r="T62" s="3"/>
      <c r="U62" s="3"/>
      <c r="V62" s="3"/>
      <c r="W62" s="3"/>
    </row>
    <row r="63" spans="1:23">
      <c r="A63" s="3"/>
      <c r="B63" s="3"/>
      <c r="C63" s="13"/>
      <c r="D63" s="13"/>
      <c r="E63" s="13"/>
      <c r="F63" s="13"/>
      <c r="G63" s="3"/>
      <c r="H63" s="3"/>
      <c r="I63" s="3"/>
      <c r="J63" s="3"/>
      <c r="K63" s="3"/>
      <c r="L63" s="3"/>
      <c r="M63" s="3"/>
      <c r="N63" s="3"/>
      <c r="O63" s="3"/>
      <c r="P63" s="3"/>
      <c r="Q63" s="3"/>
      <c r="R63" s="3"/>
      <c r="S63" s="3"/>
      <c r="T63" s="3"/>
      <c r="U63" s="3"/>
      <c r="V63" s="3"/>
      <c r="W63" s="3"/>
    </row>
    <row r="64" spans="1:23">
      <c r="A64" s="3"/>
      <c r="B64" s="3"/>
      <c r="C64" s="13"/>
      <c r="D64" s="13"/>
      <c r="E64" s="13"/>
      <c r="F64" s="13"/>
      <c r="G64" s="3"/>
      <c r="H64" s="3"/>
      <c r="I64" s="3"/>
      <c r="J64" s="3"/>
      <c r="K64" s="3"/>
      <c r="L64" s="3"/>
      <c r="M64" s="3"/>
      <c r="N64" s="3"/>
      <c r="O64" s="3"/>
      <c r="P64" s="3"/>
      <c r="Q64" s="3"/>
      <c r="R64" s="3"/>
      <c r="S64" s="3"/>
      <c r="T64" s="3"/>
      <c r="U64" s="3"/>
      <c r="V64" s="3"/>
      <c r="W64" s="3"/>
    </row>
    <row r="65" spans="1:23">
      <c r="A65" s="3"/>
      <c r="B65" s="3"/>
      <c r="C65" s="13"/>
      <c r="D65" s="13"/>
      <c r="E65" s="13"/>
      <c r="F65" s="13"/>
      <c r="G65" s="3"/>
      <c r="H65" s="3"/>
      <c r="I65" s="3"/>
      <c r="J65" s="3"/>
      <c r="K65" s="3"/>
      <c r="L65" s="3"/>
      <c r="M65" s="3"/>
      <c r="N65" s="3"/>
      <c r="O65" s="3"/>
      <c r="P65" s="3"/>
      <c r="Q65" s="3"/>
      <c r="R65" s="3"/>
      <c r="S65" s="3"/>
      <c r="T65" s="3"/>
      <c r="U65" s="3"/>
      <c r="V65" s="3"/>
      <c r="W65" s="3"/>
    </row>
    <row r="66" spans="1:23">
      <c r="A66" s="3"/>
      <c r="B66" s="3"/>
      <c r="C66" s="13"/>
      <c r="D66" s="13"/>
      <c r="E66" s="13"/>
      <c r="F66" s="13"/>
      <c r="G66" s="3"/>
      <c r="H66" s="3"/>
      <c r="I66" s="3"/>
      <c r="J66" s="3"/>
      <c r="K66" s="3"/>
      <c r="L66" s="3"/>
      <c r="M66" s="3"/>
      <c r="N66" s="3"/>
      <c r="O66" s="3"/>
      <c r="P66" s="3"/>
      <c r="Q66" s="3"/>
      <c r="R66" s="3"/>
      <c r="S66" s="3"/>
      <c r="T66" s="3"/>
      <c r="U66" s="3"/>
      <c r="V66" s="3"/>
      <c r="W66" s="3"/>
    </row>
    <row r="67" spans="1:23">
      <c r="A67" s="3"/>
      <c r="B67" s="3"/>
      <c r="C67" s="13"/>
      <c r="D67" s="13"/>
      <c r="E67" s="13"/>
      <c r="F67" s="13"/>
      <c r="G67" s="3"/>
      <c r="H67" s="3"/>
      <c r="I67" s="3"/>
      <c r="J67" s="3"/>
      <c r="K67" s="3"/>
      <c r="L67" s="3"/>
      <c r="M67" s="3"/>
      <c r="N67" s="3"/>
      <c r="O67" s="3"/>
      <c r="P67" s="3"/>
      <c r="Q67" s="3"/>
      <c r="R67" s="3"/>
      <c r="S67" s="3"/>
      <c r="T67" s="3"/>
      <c r="U67" s="3"/>
      <c r="V67" s="3"/>
      <c r="W67" s="3"/>
    </row>
    <row r="68" spans="1:23">
      <c r="A68" s="3"/>
      <c r="B68" s="3"/>
      <c r="C68" s="13"/>
      <c r="D68" s="13"/>
      <c r="E68" s="13"/>
      <c r="F68" s="13"/>
      <c r="G68" s="3"/>
      <c r="H68" s="3"/>
      <c r="I68" s="3"/>
      <c r="J68" s="3"/>
      <c r="K68" s="3"/>
      <c r="L68" s="3"/>
      <c r="M68" s="3"/>
      <c r="N68" s="3"/>
      <c r="O68" s="3"/>
      <c r="P68" s="3"/>
      <c r="Q68" s="3"/>
      <c r="R68" s="3"/>
      <c r="S68" s="3"/>
      <c r="T68" s="3"/>
      <c r="U68" s="3"/>
      <c r="V68" s="3"/>
      <c r="W68" s="3"/>
    </row>
    <row r="69" spans="1:23">
      <c r="A69" s="3"/>
      <c r="B69" s="3"/>
      <c r="C69" s="13"/>
      <c r="D69" s="13"/>
      <c r="E69" s="13"/>
      <c r="F69" s="13"/>
      <c r="G69" s="3"/>
      <c r="H69" s="3"/>
      <c r="I69" s="3"/>
      <c r="J69" s="3"/>
      <c r="K69" s="3"/>
      <c r="L69" s="3"/>
      <c r="M69" s="3"/>
      <c r="N69" s="3"/>
      <c r="O69" s="3"/>
      <c r="P69" s="3"/>
      <c r="Q69" s="3"/>
      <c r="R69" s="3"/>
      <c r="S69" s="3"/>
      <c r="T69" s="3"/>
      <c r="U69" s="3"/>
      <c r="V69" s="3"/>
      <c r="W69" s="3"/>
    </row>
    <row r="70" spans="1:23">
      <c r="A70" s="3"/>
      <c r="B70" s="3"/>
      <c r="C70" s="13"/>
      <c r="D70" s="13"/>
      <c r="E70" s="13"/>
      <c r="F70" s="13"/>
      <c r="G70" s="3"/>
      <c r="H70" s="3"/>
      <c r="I70" s="3"/>
      <c r="J70" s="3"/>
      <c r="K70" s="3"/>
      <c r="L70" s="3"/>
      <c r="M70" s="3"/>
      <c r="N70" s="3"/>
      <c r="O70" s="3"/>
      <c r="P70" s="3"/>
      <c r="Q70" s="3"/>
      <c r="R70" s="3"/>
      <c r="S70" s="3"/>
      <c r="T70" s="3"/>
      <c r="U70" s="3"/>
      <c r="V70" s="3"/>
      <c r="W70" s="3"/>
    </row>
    <row r="71" spans="1:23">
      <c r="A71" s="3"/>
      <c r="B71" s="3"/>
      <c r="C71" s="13"/>
      <c r="D71" s="13"/>
      <c r="E71" s="13"/>
      <c r="F71" s="13"/>
      <c r="G71" s="3"/>
      <c r="H71" s="3"/>
      <c r="I71" s="3"/>
      <c r="J71" s="3"/>
      <c r="K71" s="3"/>
      <c r="L71" s="3"/>
      <c r="M71" s="3"/>
      <c r="N71" s="3"/>
      <c r="O71" s="3"/>
      <c r="P71" s="3"/>
      <c r="Q71" s="3"/>
      <c r="R71" s="3"/>
      <c r="S71" s="3"/>
      <c r="T71" s="3"/>
      <c r="U71" s="3"/>
      <c r="V71" s="3"/>
      <c r="W71" s="3"/>
    </row>
    <row r="72" spans="1:23">
      <c r="A72" s="3"/>
      <c r="B72" s="3"/>
      <c r="C72" s="13"/>
      <c r="D72" s="13"/>
      <c r="E72" s="13"/>
      <c r="F72" s="13"/>
      <c r="G72" s="3"/>
      <c r="H72" s="3"/>
      <c r="I72" s="3"/>
      <c r="J72" s="3"/>
      <c r="K72" s="3"/>
      <c r="L72" s="3"/>
      <c r="M72" s="3"/>
      <c r="N72" s="3"/>
      <c r="O72" s="3"/>
      <c r="P72" s="3"/>
      <c r="Q72" s="3"/>
      <c r="R72" s="3"/>
      <c r="S72" s="3"/>
      <c r="T72" s="3"/>
      <c r="U72" s="3"/>
      <c r="V72" s="3"/>
      <c r="W72" s="3"/>
    </row>
    <row r="73" spans="1:23">
      <c r="A73" s="3"/>
      <c r="B73" s="3"/>
      <c r="C73" s="13"/>
      <c r="D73" s="13"/>
      <c r="E73" s="13"/>
      <c r="F73" s="13"/>
      <c r="G73" s="3"/>
      <c r="H73" s="3"/>
      <c r="I73" s="3"/>
      <c r="J73" s="3"/>
      <c r="K73" s="3"/>
      <c r="L73" s="3"/>
      <c r="M73" s="3"/>
      <c r="N73" s="3"/>
      <c r="O73" s="3"/>
      <c r="P73" s="3"/>
      <c r="Q73" s="3"/>
      <c r="R73" s="3"/>
      <c r="S73" s="3"/>
      <c r="T73" s="3"/>
      <c r="U73" s="3"/>
      <c r="V73" s="3"/>
      <c r="W73" s="3"/>
    </row>
    <row r="74" spans="1:23">
      <c r="A74" s="3"/>
      <c r="B74" s="3"/>
      <c r="C74" s="13"/>
      <c r="D74" s="13"/>
      <c r="E74" s="13"/>
      <c r="F74" s="13"/>
      <c r="G74" s="3"/>
      <c r="H74" s="3"/>
      <c r="I74" s="3"/>
      <c r="J74" s="3"/>
      <c r="K74" s="3"/>
      <c r="L74" s="3"/>
      <c r="M74" s="3"/>
      <c r="N74" s="3"/>
      <c r="O74" s="3"/>
      <c r="P74" s="3"/>
      <c r="Q74" s="3"/>
      <c r="R74" s="3"/>
      <c r="S74" s="3"/>
      <c r="T74" s="3"/>
      <c r="U74" s="3"/>
      <c r="V74" s="3"/>
      <c r="W74" s="3"/>
    </row>
    <row r="75" spans="1:23">
      <c r="A75" s="3"/>
      <c r="B75" s="3"/>
      <c r="C75" s="13"/>
      <c r="D75" s="13"/>
      <c r="E75" s="13"/>
      <c r="F75" s="13"/>
      <c r="G75" s="3"/>
      <c r="H75" s="3"/>
      <c r="I75" s="3"/>
      <c r="J75" s="3"/>
      <c r="K75" s="3"/>
      <c r="L75" s="3"/>
      <c r="M75" s="3"/>
      <c r="N75" s="3"/>
      <c r="O75" s="3"/>
      <c r="P75" s="3"/>
      <c r="Q75" s="3"/>
      <c r="R75" s="3"/>
      <c r="S75" s="3"/>
      <c r="T75" s="3"/>
      <c r="U75" s="3"/>
      <c r="V75" s="3"/>
      <c r="W75" s="3"/>
    </row>
    <row r="76" spans="1:23">
      <c r="A76" s="3"/>
      <c r="B76" s="3"/>
      <c r="C76" s="13"/>
      <c r="D76" s="13"/>
      <c r="E76" s="13"/>
      <c r="F76" s="13"/>
      <c r="G76" s="3"/>
      <c r="H76" s="3"/>
      <c r="I76" s="3"/>
      <c r="J76" s="3"/>
      <c r="K76" s="3"/>
      <c r="L76" s="3"/>
      <c r="M76" s="3"/>
      <c r="N76" s="3"/>
      <c r="O76" s="3"/>
      <c r="P76" s="3"/>
      <c r="Q76" s="3"/>
      <c r="R76" s="3"/>
      <c r="S76" s="3"/>
      <c r="T76" s="3"/>
      <c r="U76" s="3"/>
      <c r="V76" s="3"/>
      <c r="W76" s="3"/>
    </row>
    <row r="77" spans="1:23">
      <c r="A77" s="3"/>
      <c r="B77" s="3"/>
      <c r="C77" s="13"/>
      <c r="D77" s="13"/>
      <c r="E77" s="13"/>
      <c r="F77" s="13"/>
      <c r="G77" s="3"/>
      <c r="H77" s="3"/>
      <c r="I77" s="3"/>
      <c r="J77" s="3"/>
      <c r="K77" s="3"/>
      <c r="L77" s="3"/>
      <c r="M77" s="3"/>
      <c r="N77" s="3"/>
      <c r="O77" s="3"/>
      <c r="P77" s="3"/>
      <c r="Q77" s="3"/>
      <c r="R77" s="3"/>
      <c r="S77" s="3"/>
      <c r="T77" s="3"/>
      <c r="U77" s="3"/>
      <c r="V77" s="3"/>
      <c r="W77" s="3"/>
    </row>
    <row r="78" spans="1:23">
      <c r="A78" s="3"/>
      <c r="B78" s="3"/>
      <c r="C78" s="13"/>
      <c r="D78" s="13"/>
      <c r="E78" s="13"/>
      <c r="F78" s="13"/>
      <c r="G78" s="3"/>
      <c r="H78" s="3"/>
      <c r="I78" s="3"/>
      <c r="J78" s="3"/>
      <c r="K78" s="3"/>
      <c r="L78" s="3"/>
      <c r="M78" s="3"/>
      <c r="N78" s="3"/>
      <c r="O78" s="3"/>
      <c r="P78" s="3"/>
      <c r="Q78" s="3"/>
      <c r="R78" s="3"/>
      <c r="S78" s="3"/>
      <c r="T78" s="3"/>
      <c r="U78" s="3"/>
      <c r="V78" s="3"/>
      <c r="W78" s="3"/>
    </row>
    <row r="79" spans="1:23">
      <c r="A79" s="3"/>
      <c r="B79" s="3"/>
      <c r="C79" s="13"/>
      <c r="D79" s="13"/>
      <c r="E79" s="13"/>
      <c r="F79" s="13"/>
      <c r="G79" s="3"/>
      <c r="H79" s="3"/>
      <c r="I79" s="3"/>
      <c r="J79" s="3"/>
      <c r="K79" s="3"/>
      <c r="L79" s="3"/>
      <c r="M79" s="3"/>
      <c r="N79" s="3"/>
      <c r="O79" s="3"/>
      <c r="P79" s="3"/>
      <c r="Q79" s="3"/>
      <c r="R79" s="3"/>
      <c r="S79" s="3"/>
      <c r="T79" s="3"/>
      <c r="U79" s="3"/>
      <c r="V79" s="3"/>
      <c r="W79" s="3"/>
    </row>
    <row r="80" spans="1:23">
      <c r="A80" s="3"/>
      <c r="B80" s="3"/>
      <c r="C80" s="13"/>
      <c r="D80" s="13"/>
      <c r="E80" s="13"/>
      <c r="F80" s="13"/>
      <c r="G80" s="3"/>
      <c r="H80" s="3"/>
      <c r="I80" s="3"/>
      <c r="J80" s="3"/>
      <c r="K80" s="3"/>
      <c r="L80" s="3"/>
      <c r="M80" s="3"/>
      <c r="N80" s="3"/>
      <c r="O80" s="3"/>
      <c r="P80" s="3"/>
      <c r="Q80" s="3"/>
      <c r="R80" s="3"/>
      <c r="S80" s="3"/>
      <c r="T80" s="3"/>
      <c r="U80" s="3"/>
      <c r="V80" s="3"/>
      <c r="W80" s="3"/>
    </row>
    <row r="81" spans="1:23">
      <c r="A81" s="3"/>
      <c r="B81" s="3"/>
      <c r="C81" s="13"/>
      <c r="D81" s="13"/>
      <c r="E81" s="13"/>
      <c r="F81" s="13"/>
      <c r="G81" s="3"/>
      <c r="H81" s="3"/>
      <c r="I81" s="3"/>
      <c r="J81" s="3"/>
      <c r="K81" s="3"/>
      <c r="L81" s="3"/>
      <c r="M81" s="3"/>
      <c r="N81" s="3"/>
      <c r="O81" s="3"/>
      <c r="P81" s="3"/>
      <c r="Q81" s="3"/>
      <c r="R81" s="3"/>
      <c r="S81" s="3"/>
      <c r="T81" s="3"/>
      <c r="U81" s="3"/>
      <c r="V81" s="3"/>
      <c r="W81" s="3"/>
    </row>
    <row r="82" spans="1:23">
      <c r="A82" s="3"/>
      <c r="B82" s="3"/>
      <c r="C82" s="13"/>
      <c r="D82" s="13"/>
      <c r="E82" s="13"/>
      <c r="F82" s="13"/>
      <c r="G82" s="3"/>
      <c r="H82" s="3"/>
      <c r="I82" s="3"/>
      <c r="J82" s="3"/>
      <c r="K82" s="3"/>
      <c r="L82" s="3"/>
      <c r="M82" s="3"/>
      <c r="N82" s="3"/>
      <c r="O82" s="3"/>
      <c r="P82" s="3"/>
      <c r="Q82" s="3"/>
      <c r="R82" s="3"/>
      <c r="S82" s="3"/>
      <c r="T82" s="3"/>
      <c r="U82" s="3"/>
      <c r="V82" s="3"/>
      <c r="W82" s="3"/>
    </row>
    <row r="83" spans="1:23">
      <c r="A83" s="3"/>
      <c r="B83" s="3"/>
      <c r="C83" s="13"/>
      <c r="D83" s="13"/>
      <c r="E83" s="13"/>
      <c r="F83" s="13"/>
      <c r="G83" s="3"/>
      <c r="H83" s="3"/>
      <c r="I83" s="3"/>
      <c r="J83" s="3"/>
      <c r="K83" s="3"/>
      <c r="L83" s="3"/>
      <c r="M83" s="3"/>
      <c r="N83" s="3"/>
      <c r="O83" s="3"/>
      <c r="P83" s="3"/>
      <c r="Q83" s="3"/>
      <c r="R83" s="3"/>
      <c r="S83" s="3"/>
      <c r="T83" s="3"/>
      <c r="U83" s="3"/>
      <c r="V83" s="3"/>
      <c r="W83" s="3"/>
    </row>
    <row r="84" spans="1:23">
      <c r="A84" s="3"/>
      <c r="B84" s="3"/>
      <c r="C84" s="13"/>
      <c r="D84" s="13"/>
      <c r="E84" s="13"/>
      <c r="F84" s="13"/>
      <c r="G84" s="3"/>
      <c r="H84" s="3"/>
      <c r="I84" s="3"/>
      <c r="J84" s="3"/>
      <c r="K84" s="3"/>
      <c r="L84" s="3"/>
      <c r="M84" s="3"/>
      <c r="N84" s="3"/>
      <c r="O84" s="3"/>
      <c r="P84" s="3"/>
      <c r="Q84" s="3"/>
      <c r="R84" s="3"/>
      <c r="S84" s="3"/>
      <c r="T84" s="3"/>
      <c r="U84" s="3"/>
      <c r="V84" s="3"/>
      <c r="W84" s="3"/>
    </row>
    <row r="85" spans="1:23">
      <c r="A85" s="3"/>
      <c r="B85" s="3"/>
      <c r="C85" s="13"/>
      <c r="D85" s="13"/>
      <c r="E85" s="13"/>
      <c r="F85" s="13"/>
      <c r="G85" s="3"/>
      <c r="H85" s="3"/>
      <c r="I85" s="3"/>
      <c r="J85" s="3"/>
      <c r="K85" s="3"/>
      <c r="L85" s="3"/>
      <c r="M85" s="3"/>
      <c r="N85" s="3"/>
      <c r="O85" s="3"/>
      <c r="P85" s="3"/>
      <c r="Q85" s="3"/>
      <c r="R85" s="3"/>
      <c r="S85" s="3"/>
      <c r="T85" s="3"/>
      <c r="U85" s="3"/>
      <c r="V85" s="3"/>
      <c r="W85" s="3"/>
    </row>
    <row r="86" spans="1:23">
      <c r="A86" s="3"/>
      <c r="B86" s="3"/>
      <c r="C86" s="13"/>
      <c r="D86" s="13"/>
      <c r="E86" s="13"/>
      <c r="F86" s="13"/>
      <c r="G86" s="3"/>
      <c r="H86" s="3"/>
      <c r="I86" s="3"/>
      <c r="J86" s="3"/>
      <c r="K86" s="3"/>
      <c r="L86" s="3"/>
      <c r="M86" s="3"/>
      <c r="N86" s="3"/>
      <c r="O86" s="3"/>
      <c r="P86" s="3"/>
      <c r="Q86" s="3"/>
      <c r="R86" s="3"/>
      <c r="S86" s="3"/>
      <c r="T86" s="3"/>
      <c r="U86" s="3"/>
      <c r="V86" s="3"/>
      <c r="W86" s="3"/>
    </row>
    <row r="87" spans="1:23">
      <c r="A87" s="3"/>
      <c r="B87" s="3"/>
      <c r="C87" s="13"/>
      <c r="D87" s="13"/>
      <c r="E87" s="13"/>
      <c r="F87" s="13"/>
      <c r="G87" s="3"/>
      <c r="H87" s="3"/>
      <c r="I87" s="3"/>
      <c r="J87" s="3"/>
      <c r="K87" s="3"/>
      <c r="L87" s="3"/>
      <c r="M87" s="3"/>
      <c r="N87" s="3"/>
      <c r="O87" s="3"/>
      <c r="P87" s="3"/>
      <c r="Q87" s="3"/>
      <c r="R87" s="3"/>
      <c r="S87" s="3"/>
      <c r="T87" s="3"/>
      <c r="U87" s="3"/>
      <c r="V87" s="3"/>
      <c r="W87" s="3"/>
    </row>
    <row r="88" spans="1:23">
      <c r="A88" s="3"/>
      <c r="B88" s="3"/>
      <c r="C88" s="13"/>
      <c r="D88" s="13"/>
      <c r="E88" s="13"/>
      <c r="F88" s="13"/>
      <c r="G88" s="3"/>
      <c r="H88" s="3"/>
      <c r="I88" s="3"/>
      <c r="J88" s="3"/>
      <c r="K88" s="3"/>
      <c r="L88" s="3"/>
      <c r="M88" s="3"/>
      <c r="N88" s="3"/>
      <c r="O88" s="3"/>
      <c r="P88" s="3"/>
      <c r="Q88" s="3"/>
      <c r="R88" s="3"/>
      <c r="S88" s="3"/>
      <c r="T88" s="3"/>
      <c r="U88" s="3"/>
      <c r="V88" s="3"/>
      <c r="W88" s="3"/>
    </row>
    <row r="89" spans="1:23">
      <c r="A89" s="3"/>
      <c r="B89" s="3"/>
      <c r="C89" s="13"/>
      <c r="D89" s="13"/>
      <c r="E89" s="13"/>
      <c r="F89" s="13"/>
      <c r="G89" s="3"/>
      <c r="H89" s="3"/>
      <c r="I89" s="3"/>
      <c r="J89" s="3"/>
      <c r="K89" s="3"/>
      <c r="L89" s="3"/>
      <c r="M89" s="3"/>
      <c r="N89" s="3"/>
      <c r="O89" s="3"/>
      <c r="P89" s="3"/>
      <c r="Q89" s="3"/>
      <c r="R89" s="3"/>
      <c r="S89" s="3"/>
      <c r="T89" s="3"/>
      <c r="U89" s="3"/>
      <c r="V89" s="3"/>
      <c r="W89" s="3"/>
    </row>
    <row r="90" spans="1:23">
      <c r="A90" s="3"/>
      <c r="B90" s="3"/>
      <c r="C90" s="13"/>
      <c r="D90" s="13"/>
      <c r="E90" s="13"/>
      <c r="F90" s="13"/>
      <c r="G90" s="3"/>
      <c r="H90" s="3"/>
      <c r="I90" s="3"/>
      <c r="J90" s="3"/>
      <c r="K90" s="3"/>
      <c r="L90" s="3"/>
      <c r="M90" s="3"/>
      <c r="N90" s="3"/>
      <c r="O90" s="3"/>
      <c r="P90" s="3"/>
      <c r="Q90" s="3"/>
      <c r="R90" s="3"/>
      <c r="S90" s="3"/>
      <c r="T90" s="3"/>
      <c r="U90" s="3"/>
      <c r="V90" s="3"/>
      <c r="W90" s="3"/>
    </row>
    <row r="91" spans="1:23">
      <c r="A91" s="3"/>
      <c r="B91" s="3"/>
      <c r="C91" s="13"/>
      <c r="D91" s="13"/>
      <c r="E91" s="13"/>
      <c r="F91" s="13"/>
      <c r="G91" s="3"/>
      <c r="H91" s="3"/>
      <c r="I91" s="3"/>
      <c r="J91" s="3"/>
      <c r="K91" s="3"/>
      <c r="L91" s="3"/>
      <c r="M91" s="3"/>
      <c r="N91" s="3"/>
      <c r="O91" s="3"/>
      <c r="P91" s="3"/>
      <c r="Q91" s="3"/>
      <c r="R91" s="3"/>
      <c r="S91" s="3"/>
      <c r="T91" s="3"/>
      <c r="U91" s="3"/>
      <c r="V91" s="3"/>
      <c r="W91" s="3"/>
    </row>
    <row r="92" spans="1:23">
      <c r="A92" s="3"/>
      <c r="B92" s="3"/>
      <c r="C92" s="13"/>
      <c r="D92" s="13"/>
      <c r="E92" s="13"/>
      <c r="F92" s="13"/>
      <c r="G92" s="3"/>
      <c r="H92" s="3"/>
      <c r="I92" s="3"/>
      <c r="J92" s="3"/>
      <c r="K92" s="3"/>
      <c r="L92" s="3"/>
      <c r="M92" s="3"/>
      <c r="N92" s="3"/>
      <c r="O92" s="3"/>
      <c r="P92" s="3"/>
      <c r="Q92" s="3"/>
      <c r="R92" s="3"/>
      <c r="S92" s="3"/>
      <c r="T92" s="3"/>
      <c r="U92" s="3"/>
      <c r="V92" s="3"/>
      <c r="W92" s="3"/>
    </row>
    <row r="93" spans="1:23">
      <c r="A93" s="3"/>
      <c r="B93" s="3"/>
      <c r="C93" s="13"/>
      <c r="D93" s="13"/>
      <c r="E93" s="13"/>
      <c r="F93" s="13"/>
      <c r="G93" s="3"/>
      <c r="H93" s="3"/>
      <c r="I93" s="3"/>
      <c r="J93" s="3"/>
      <c r="K93" s="3"/>
      <c r="L93" s="3"/>
      <c r="M93" s="3"/>
      <c r="N93" s="3"/>
      <c r="O93" s="3"/>
      <c r="P93" s="3"/>
      <c r="Q93" s="3"/>
      <c r="R93" s="3"/>
      <c r="S93" s="3"/>
      <c r="T93" s="3"/>
      <c r="U93" s="3"/>
      <c r="V93" s="3"/>
      <c r="W93" s="3"/>
    </row>
    <row r="94" spans="1:23">
      <c r="A94" s="3"/>
      <c r="B94" s="3"/>
      <c r="C94" s="13"/>
      <c r="D94" s="13"/>
      <c r="E94" s="13"/>
      <c r="F94" s="13"/>
      <c r="G94" s="3"/>
      <c r="H94" s="3"/>
      <c r="I94" s="3"/>
      <c r="J94" s="3"/>
      <c r="K94" s="3"/>
      <c r="L94" s="3"/>
      <c r="M94" s="3"/>
      <c r="N94" s="3"/>
      <c r="O94" s="3"/>
      <c r="P94" s="3"/>
      <c r="Q94" s="3"/>
      <c r="R94" s="3"/>
      <c r="S94" s="3"/>
      <c r="T94" s="3"/>
      <c r="U94" s="3"/>
      <c r="V94" s="3"/>
      <c r="W94" s="3"/>
    </row>
    <row r="95" spans="1:23">
      <c r="A95" s="3"/>
      <c r="B95" s="3"/>
      <c r="C95" s="13"/>
      <c r="D95" s="13"/>
      <c r="E95" s="13"/>
      <c r="F95" s="13"/>
      <c r="G95" s="3"/>
      <c r="H95" s="3"/>
      <c r="I95" s="3"/>
      <c r="J95" s="3"/>
      <c r="K95" s="3"/>
      <c r="L95" s="3"/>
      <c r="M95" s="3"/>
      <c r="N95" s="3"/>
      <c r="O95" s="3"/>
      <c r="P95" s="3"/>
      <c r="Q95" s="3"/>
      <c r="R95" s="3"/>
      <c r="S95" s="3"/>
      <c r="T95" s="3"/>
      <c r="U95" s="3"/>
      <c r="V95" s="3"/>
      <c r="W95" s="3"/>
    </row>
    <row r="96" spans="1:23">
      <c r="A96" s="3"/>
      <c r="B96" s="3"/>
      <c r="C96" s="13"/>
      <c r="D96" s="13"/>
      <c r="E96" s="13"/>
      <c r="F96" s="13"/>
      <c r="G96" s="3"/>
      <c r="H96" s="3"/>
      <c r="I96" s="3"/>
      <c r="J96" s="3"/>
      <c r="K96" s="3"/>
      <c r="L96" s="3"/>
      <c r="M96" s="3"/>
      <c r="N96" s="3"/>
      <c r="O96" s="3"/>
      <c r="P96" s="3"/>
      <c r="Q96" s="3"/>
      <c r="R96" s="3"/>
      <c r="S96" s="3"/>
      <c r="T96" s="3"/>
      <c r="U96" s="3"/>
      <c r="V96" s="3"/>
      <c r="W96" s="3"/>
    </row>
    <row r="97" spans="1:23">
      <c r="A97" s="3"/>
      <c r="B97" s="3"/>
      <c r="C97" s="13"/>
      <c r="D97" s="13"/>
      <c r="E97" s="13"/>
      <c r="F97" s="13"/>
      <c r="G97" s="3"/>
      <c r="H97" s="3"/>
      <c r="I97" s="3"/>
      <c r="J97" s="3"/>
      <c r="K97" s="3"/>
      <c r="L97" s="3"/>
      <c r="M97" s="3"/>
      <c r="N97" s="3"/>
      <c r="O97" s="3"/>
      <c r="P97" s="3"/>
      <c r="Q97" s="3"/>
      <c r="R97" s="3"/>
      <c r="S97" s="3"/>
      <c r="T97" s="3"/>
      <c r="U97" s="3"/>
      <c r="V97" s="3"/>
      <c r="W97" s="3"/>
    </row>
    <row r="98" spans="1:23">
      <c r="A98" s="3"/>
      <c r="B98" s="3"/>
      <c r="C98" s="13"/>
      <c r="D98" s="13"/>
      <c r="E98" s="13"/>
      <c r="F98" s="13"/>
      <c r="G98" s="3"/>
      <c r="H98" s="3"/>
      <c r="I98" s="3"/>
      <c r="J98" s="3"/>
      <c r="K98" s="3"/>
      <c r="L98" s="3"/>
      <c r="M98" s="3"/>
      <c r="N98" s="3"/>
      <c r="O98" s="3"/>
      <c r="P98" s="3"/>
      <c r="Q98" s="3"/>
      <c r="R98" s="3"/>
      <c r="S98" s="3"/>
      <c r="T98" s="3"/>
      <c r="U98" s="3"/>
      <c r="V98" s="3"/>
      <c r="W98" s="3"/>
    </row>
    <row r="99" spans="1:23">
      <c r="A99" s="3"/>
      <c r="B99" s="3"/>
      <c r="C99" s="13"/>
      <c r="D99" s="13"/>
      <c r="E99" s="13"/>
      <c r="F99" s="13"/>
      <c r="G99" s="3"/>
      <c r="H99" s="3"/>
      <c r="I99" s="3"/>
      <c r="J99" s="3"/>
      <c r="K99" s="3"/>
      <c r="L99" s="3"/>
      <c r="M99" s="3"/>
      <c r="N99" s="3"/>
      <c r="O99" s="3"/>
      <c r="P99" s="3"/>
      <c r="Q99" s="3"/>
      <c r="R99" s="3"/>
      <c r="S99" s="3"/>
      <c r="T99" s="3"/>
      <c r="U99" s="3"/>
      <c r="V99" s="3"/>
      <c r="W99" s="3"/>
    </row>
    <row r="100" spans="1:23">
      <c r="A100" s="3"/>
      <c r="B100" s="3"/>
      <c r="C100" s="13"/>
      <c r="D100" s="13"/>
      <c r="E100" s="13"/>
      <c r="F100" s="13"/>
      <c r="G100" s="3"/>
      <c r="H100" s="3"/>
      <c r="I100" s="3"/>
      <c r="J100" s="3"/>
      <c r="K100" s="3"/>
      <c r="L100" s="3"/>
      <c r="M100" s="3"/>
      <c r="N100" s="3"/>
      <c r="O100" s="3"/>
      <c r="P100" s="3"/>
      <c r="Q100" s="3"/>
      <c r="R100" s="3"/>
      <c r="S100" s="3"/>
      <c r="T100" s="3"/>
      <c r="U100" s="3"/>
      <c r="V100" s="3"/>
      <c r="W100" s="3"/>
    </row>
    <row r="101" spans="1:23">
      <c r="A101" s="3"/>
      <c r="B101" s="3"/>
      <c r="C101" s="13"/>
      <c r="D101" s="13"/>
      <c r="E101" s="13"/>
      <c r="F101" s="13"/>
      <c r="G101" s="3"/>
      <c r="H101" s="3"/>
      <c r="I101" s="3"/>
      <c r="J101" s="3"/>
      <c r="K101" s="3"/>
      <c r="L101" s="3"/>
      <c r="M101" s="3"/>
      <c r="N101" s="3"/>
      <c r="O101" s="3"/>
      <c r="P101" s="3"/>
      <c r="Q101" s="3"/>
      <c r="R101" s="3"/>
      <c r="S101" s="3"/>
      <c r="T101" s="3"/>
      <c r="U101" s="3"/>
      <c r="V101" s="3"/>
      <c r="W101" s="3"/>
    </row>
    <row r="102" spans="1:23">
      <c r="A102" s="3"/>
      <c r="B102" s="3"/>
      <c r="C102" s="13"/>
      <c r="D102" s="13"/>
      <c r="E102" s="13"/>
      <c r="F102" s="13"/>
      <c r="G102" s="3"/>
      <c r="H102" s="3"/>
      <c r="I102" s="3"/>
      <c r="J102" s="3"/>
      <c r="K102" s="3"/>
      <c r="L102" s="3"/>
      <c r="M102" s="3"/>
      <c r="N102" s="3"/>
      <c r="O102" s="3"/>
      <c r="P102" s="3"/>
      <c r="Q102" s="3"/>
      <c r="R102" s="3"/>
      <c r="S102" s="3"/>
      <c r="T102" s="3"/>
      <c r="U102" s="3"/>
      <c r="V102" s="3"/>
      <c r="W102" s="3"/>
    </row>
    <row r="103" spans="1:23">
      <c r="A103" s="3"/>
      <c r="B103" s="3"/>
      <c r="C103" s="13"/>
      <c r="D103" s="13"/>
      <c r="E103" s="13"/>
      <c r="F103" s="13"/>
      <c r="G103" s="3"/>
      <c r="H103" s="3"/>
      <c r="I103" s="3"/>
      <c r="J103" s="3"/>
      <c r="K103" s="3"/>
      <c r="L103" s="3"/>
      <c r="M103" s="3"/>
      <c r="N103" s="3"/>
      <c r="O103" s="3"/>
      <c r="P103" s="3"/>
      <c r="Q103" s="3"/>
      <c r="R103" s="3"/>
      <c r="S103" s="3"/>
      <c r="T103" s="3"/>
      <c r="U103" s="3"/>
      <c r="V103" s="3"/>
      <c r="W103" s="3"/>
    </row>
    <row r="104" spans="1:23">
      <c r="A104" s="3"/>
      <c r="B104" s="3"/>
      <c r="C104" s="13"/>
      <c r="D104" s="13"/>
      <c r="E104" s="13"/>
      <c r="F104" s="13"/>
      <c r="G104" s="3"/>
      <c r="H104" s="3"/>
      <c r="I104" s="3"/>
      <c r="J104" s="3"/>
      <c r="K104" s="3"/>
      <c r="L104" s="3"/>
      <c r="M104" s="3"/>
      <c r="N104" s="3"/>
      <c r="O104" s="3"/>
      <c r="P104" s="3"/>
      <c r="Q104" s="3"/>
      <c r="R104" s="3"/>
      <c r="S104" s="3"/>
      <c r="T104" s="3"/>
      <c r="U104" s="3"/>
      <c r="V104" s="3"/>
      <c r="W104" s="3"/>
    </row>
    <row r="105" spans="1:23">
      <c r="A105" s="3"/>
      <c r="B105" s="3"/>
      <c r="C105" s="13"/>
      <c r="D105" s="13"/>
      <c r="E105" s="13"/>
      <c r="F105" s="13"/>
      <c r="G105" s="3"/>
      <c r="H105" s="3"/>
      <c r="I105" s="3"/>
      <c r="J105" s="3"/>
      <c r="K105" s="3"/>
      <c r="L105" s="3"/>
      <c r="M105" s="3"/>
      <c r="N105" s="3"/>
      <c r="O105" s="3"/>
      <c r="P105" s="3"/>
      <c r="Q105" s="3"/>
      <c r="R105" s="3"/>
      <c r="S105" s="3"/>
      <c r="T105" s="3"/>
      <c r="U105" s="3"/>
      <c r="V105" s="3"/>
      <c r="W105" s="3"/>
    </row>
    <row r="106" spans="1:23">
      <c r="A106" s="3"/>
      <c r="B106" s="3"/>
      <c r="C106" s="13"/>
      <c r="D106" s="13"/>
      <c r="E106" s="13"/>
      <c r="F106" s="13"/>
      <c r="G106" s="3"/>
      <c r="H106" s="3"/>
      <c r="I106" s="3"/>
      <c r="J106" s="3"/>
      <c r="K106" s="3"/>
      <c r="L106" s="3"/>
      <c r="M106" s="3"/>
      <c r="N106" s="3"/>
      <c r="O106" s="3"/>
      <c r="P106" s="3"/>
      <c r="Q106" s="3"/>
      <c r="R106" s="3"/>
      <c r="S106" s="3"/>
      <c r="T106" s="3"/>
      <c r="U106" s="3"/>
      <c r="V106" s="3"/>
      <c r="W106" s="3"/>
    </row>
    <row r="107" spans="1:23">
      <c r="A107" s="3"/>
      <c r="B107" s="3"/>
      <c r="C107" s="13"/>
      <c r="D107" s="13"/>
      <c r="E107" s="13"/>
      <c r="F107" s="13"/>
      <c r="G107" s="3"/>
      <c r="H107" s="3"/>
      <c r="I107" s="3"/>
      <c r="J107" s="3"/>
      <c r="K107" s="3"/>
      <c r="L107" s="3"/>
      <c r="M107" s="3"/>
      <c r="N107" s="3"/>
      <c r="O107" s="3"/>
      <c r="P107" s="3"/>
      <c r="Q107" s="3"/>
      <c r="R107" s="3"/>
      <c r="S107" s="3"/>
      <c r="T107" s="3"/>
      <c r="U107" s="3"/>
      <c r="V107" s="3"/>
      <c r="W107" s="3"/>
    </row>
    <row r="108" spans="1:23">
      <c r="A108" s="3"/>
      <c r="B108" s="3"/>
      <c r="C108" s="13"/>
      <c r="D108" s="13"/>
      <c r="E108" s="13"/>
      <c r="F108" s="13"/>
      <c r="G108" s="3"/>
      <c r="H108" s="3"/>
      <c r="I108" s="3"/>
      <c r="J108" s="3"/>
      <c r="K108" s="3"/>
      <c r="L108" s="3"/>
      <c r="M108" s="3"/>
      <c r="N108" s="3"/>
      <c r="O108" s="3"/>
      <c r="P108" s="3"/>
      <c r="Q108" s="3"/>
      <c r="R108" s="3"/>
      <c r="S108" s="3"/>
      <c r="T108" s="3"/>
      <c r="U108" s="3"/>
      <c r="V108" s="3"/>
      <c r="W108" s="3"/>
    </row>
    <row r="109" spans="1:23">
      <c r="A109" s="3"/>
      <c r="B109" s="3"/>
      <c r="C109" s="13"/>
      <c r="D109" s="13"/>
      <c r="E109" s="13"/>
      <c r="F109" s="13"/>
      <c r="G109" s="3"/>
      <c r="H109" s="3"/>
      <c r="I109" s="3"/>
      <c r="J109" s="3"/>
      <c r="K109" s="3"/>
      <c r="L109" s="3"/>
      <c r="M109" s="3"/>
      <c r="N109" s="3"/>
      <c r="O109" s="3"/>
      <c r="P109" s="3"/>
      <c r="Q109" s="3"/>
      <c r="R109" s="3"/>
      <c r="S109" s="3"/>
      <c r="T109" s="3"/>
      <c r="U109" s="3"/>
      <c r="V109" s="3"/>
      <c r="W109" s="3"/>
    </row>
    <row r="110" spans="1:23">
      <c r="A110" s="3"/>
      <c r="B110" s="3"/>
      <c r="C110" s="13"/>
      <c r="D110" s="13"/>
      <c r="E110" s="13"/>
      <c r="F110" s="13"/>
      <c r="G110" s="3"/>
      <c r="H110" s="3"/>
      <c r="I110" s="3"/>
      <c r="J110" s="3"/>
      <c r="K110" s="3"/>
      <c r="L110" s="3"/>
      <c r="M110" s="3"/>
      <c r="N110" s="3"/>
      <c r="O110" s="3"/>
      <c r="P110" s="3"/>
      <c r="Q110" s="3"/>
      <c r="R110" s="3"/>
      <c r="S110" s="3"/>
      <c r="T110" s="3"/>
      <c r="U110" s="3"/>
      <c r="V110" s="3"/>
      <c r="W110" s="3"/>
    </row>
    <row r="111" spans="1:23">
      <c r="A111" s="3"/>
      <c r="B111" s="3"/>
      <c r="C111" s="13"/>
      <c r="D111" s="13"/>
      <c r="E111" s="13"/>
      <c r="F111" s="13"/>
      <c r="G111" s="3"/>
      <c r="H111" s="3"/>
      <c r="I111" s="3"/>
      <c r="J111" s="3"/>
      <c r="K111" s="3"/>
      <c r="L111" s="3"/>
      <c r="M111" s="3"/>
      <c r="N111" s="3"/>
      <c r="O111" s="3"/>
      <c r="P111" s="3"/>
      <c r="Q111" s="3"/>
      <c r="R111" s="3"/>
      <c r="S111" s="3"/>
      <c r="T111" s="3"/>
      <c r="U111" s="3"/>
      <c r="V111" s="3"/>
      <c r="W111" s="3"/>
    </row>
    <row r="112" spans="1:23">
      <c r="A112" s="3"/>
      <c r="B112" s="3"/>
      <c r="C112" s="13"/>
      <c r="D112" s="13"/>
      <c r="E112" s="13"/>
      <c r="F112" s="13"/>
      <c r="G112" s="3"/>
      <c r="H112" s="3"/>
      <c r="I112" s="3"/>
      <c r="J112" s="3"/>
      <c r="K112" s="3"/>
      <c r="L112" s="3"/>
      <c r="M112" s="3"/>
      <c r="N112" s="3"/>
      <c r="O112" s="3"/>
      <c r="P112" s="3"/>
      <c r="Q112" s="3"/>
      <c r="R112" s="3"/>
      <c r="S112" s="3"/>
      <c r="T112" s="3"/>
      <c r="U112" s="3"/>
      <c r="V112" s="3"/>
      <c r="W112" s="3"/>
    </row>
    <row r="113" spans="1:23">
      <c r="A113" s="3"/>
      <c r="B113" s="3"/>
      <c r="C113" s="13"/>
      <c r="D113" s="13"/>
      <c r="E113" s="13"/>
      <c r="F113" s="13"/>
      <c r="G113" s="3"/>
      <c r="H113" s="3"/>
      <c r="I113" s="3"/>
      <c r="J113" s="3"/>
      <c r="K113" s="3"/>
      <c r="L113" s="3"/>
      <c r="M113" s="3"/>
      <c r="N113" s="3"/>
      <c r="O113" s="3"/>
      <c r="P113" s="3"/>
      <c r="Q113" s="3"/>
      <c r="R113" s="3"/>
      <c r="S113" s="3"/>
      <c r="T113" s="3"/>
      <c r="U113" s="3"/>
      <c r="V113" s="3"/>
      <c r="W113" s="3"/>
    </row>
    <row r="114" spans="1:23">
      <c r="A114" s="3"/>
      <c r="B114" s="3"/>
      <c r="C114" s="13"/>
      <c r="D114" s="13"/>
      <c r="E114" s="13"/>
      <c r="F114" s="13"/>
      <c r="G114" s="3"/>
      <c r="H114" s="3"/>
      <c r="I114" s="3"/>
      <c r="J114" s="3"/>
      <c r="K114" s="3"/>
      <c r="L114" s="3"/>
      <c r="M114" s="3"/>
      <c r="N114" s="3"/>
      <c r="O114" s="3"/>
      <c r="P114" s="3"/>
      <c r="Q114" s="3"/>
      <c r="R114" s="3"/>
      <c r="S114" s="3"/>
      <c r="T114" s="3"/>
      <c r="U114" s="3"/>
      <c r="V114" s="3"/>
      <c r="W114" s="3"/>
    </row>
    <row r="115" spans="1:23">
      <c r="A115" s="3"/>
      <c r="B115" s="3"/>
      <c r="C115" s="13"/>
      <c r="D115" s="13"/>
      <c r="E115" s="13"/>
      <c r="F115" s="13"/>
      <c r="G115" s="3"/>
      <c r="H115" s="3"/>
      <c r="I115" s="3"/>
      <c r="J115" s="3"/>
      <c r="K115" s="3"/>
      <c r="L115" s="3"/>
      <c r="M115" s="3"/>
      <c r="N115" s="3"/>
      <c r="O115" s="3"/>
      <c r="P115" s="3"/>
      <c r="Q115" s="3"/>
      <c r="R115" s="3"/>
      <c r="S115" s="3"/>
      <c r="T115" s="3"/>
      <c r="U115" s="3"/>
      <c r="V115" s="3"/>
      <c r="W115" s="3"/>
    </row>
    <row r="116" spans="1:23">
      <c r="A116" s="3"/>
      <c r="B116" s="3"/>
      <c r="C116" s="13"/>
      <c r="D116" s="13"/>
      <c r="E116" s="13"/>
      <c r="F116" s="13"/>
      <c r="G116" s="3"/>
      <c r="H116" s="3"/>
      <c r="I116" s="3"/>
      <c r="J116" s="3"/>
      <c r="K116" s="3"/>
      <c r="L116" s="3"/>
      <c r="M116" s="3"/>
      <c r="N116" s="3"/>
      <c r="O116" s="3"/>
      <c r="P116" s="3"/>
      <c r="Q116" s="3"/>
      <c r="R116" s="3"/>
      <c r="S116" s="3"/>
      <c r="T116" s="3"/>
      <c r="U116" s="3"/>
      <c r="V116" s="3"/>
      <c r="W116" s="3"/>
    </row>
    <row r="117" spans="1:23">
      <c r="A117" s="3"/>
      <c r="B117" s="3"/>
      <c r="C117" s="13"/>
      <c r="D117" s="13"/>
      <c r="E117" s="13"/>
      <c r="F117" s="13"/>
      <c r="G117" s="3"/>
      <c r="H117" s="3"/>
      <c r="I117" s="3"/>
      <c r="J117" s="3"/>
      <c r="K117" s="3"/>
      <c r="L117" s="3"/>
      <c r="M117" s="3"/>
      <c r="N117" s="3"/>
      <c r="O117" s="3"/>
      <c r="P117" s="3"/>
      <c r="Q117" s="3"/>
      <c r="R117" s="3"/>
      <c r="S117" s="3"/>
      <c r="T117" s="3"/>
      <c r="U117" s="3"/>
      <c r="V117" s="3"/>
      <c r="W117" s="3"/>
    </row>
    <row r="118" spans="1:23">
      <c r="A118" s="3"/>
      <c r="B118" s="3"/>
      <c r="C118" s="13"/>
      <c r="D118" s="13"/>
      <c r="E118" s="13"/>
      <c r="F118" s="13"/>
      <c r="G118" s="3"/>
      <c r="H118" s="3"/>
      <c r="I118" s="3"/>
      <c r="J118" s="3"/>
      <c r="K118" s="3"/>
      <c r="L118" s="3"/>
      <c r="M118" s="3"/>
      <c r="N118" s="3"/>
      <c r="O118" s="3"/>
      <c r="P118" s="3"/>
      <c r="Q118" s="3"/>
      <c r="R118" s="3"/>
      <c r="S118" s="3"/>
      <c r="T118" s="3"/>
      <c r="U118" s="3"/>
      <c r="V118" s="3"/>
      <c r="W118" s="3"/>
    </row>
    <row r="119" spans="1:23">
      <c r="A119" s="3"/>
      <c r="B119" s="3"/>
      <c r="C119" s="13"/>
      <c r="D119" s="13"/>
      <c r="E119" s="13"/>
      <c r="F119" s="13"/>
      <c r="G119" s="3"/>
      <c r="H119" s="3"/>
      <c r="I119" s="3"/>
      <c r="J119" s="3"/>
      <c r="K119" s="3"/>
      <c r="L119" s="3"/>
      <c r="M119" s="3"/>
      <c r="N119" s="3"/>
      <c r="O119" s="3"/>
      <c r="P119" s="3"/>
      <c r="Q119" s="3"/>
      <c r="R119" s="3"/>
      <c r="S119" s="3"/>
      <c r="T119" s="3"/>
      <c r="U119" s="3"/>
      <c r="V119" s="3"/>
      <c r="W119" s="3"/>
    </row>
    <row r="120" spans="1:23">
      <c r="A120" s="3"/>
      <c r="B120" s="3"/>
      <c r="C120" s="13"/>
      <c r="D120" s="13"/>
      <c r="E120" s="13"/>
      <c r="F120" s="13"/>
      <c r="G120" s="3"/>
      <c r="H120" s="3"/>
      <c r="I120" s="3"/>
      <c r="J120" s="3"/>
      <c r="K120" s="3"/>
      <c r="L120" s="3"/>
      <c r="M120" s="3"/>
      <c r="N120" s="3"/>
      <c r="O120" s="3"/>
      <c r="P120" s="3"/>
      <c r="Q120" s="3"/>
      <c r="R120" s="3"/>
      <c r="S120" s="3"/>
      <c r="T120" s="3"/>
      <c r="U120" s="3"/>
      <c r="V120" s="3"/>
      <c r="W120" s="3"/>
    </row>
    <row r="121" spans="1:23">
      <c r="A121" s="3"/>
      <c r="B121" s="3"/>
      <c r="C121" s="13"/>
      <c r="D121" s="13"/>
      <c r="E121" s="13"/>
      <c r="F121" s="13"/>
      <c r="G121" s="3"/>
      <c r="H121" s="3"/>
      <c r="I121" s="3"/>
      <c r="J121" s="3"/>
      <c r="K121" s="3"/>
      <c r="L121" s="3"/>
      <c r="M121" s="3"/>
      <c r="N121" s="3"/>
      <c r="O121" s="3"/>
      <c r="P121" s="3"/>
      <c r="Q121" s="3"/>
      <c r="R121" s="3"/>
      <c r="S121" s="3"/>
      <c r="T121" s="3"/>
      <c r="U121" s="3"/>
      <c r="V121" s="3"/>
      <c r="W121" s="3"/>
    </row>
    <row r="122" spans="1:23">
      <c r="A122" s="3"/>
      <c r="B122" s="3"/>
      <c r="C122" s="13"/>
      <c r="D122" s="13"/>
      <c r="E122" s="13"/>
      <c r="F122" s="13"/>
      <c r="G122" s="3"/>
      <c r="H122" s="3"/>
      <c r="I122" s="3"/>
      <c r="J122" s="3"/>
      <c r="K122" s="3"/>
      <c r="L122" s="3"/>
      <c r="M122" s="3"/>
      <c r="N122" s="3"/>
      <c r="O122" s="3"/>
      <c r="P122" s="3"/>
      <c r="Q122" s="3"/>
      <c r="R122" s="3"/>
      <c r="S122" s="3"/>
      <c r="T122" s="3"/>
      <c r="U122" s="3"/>
      <c r="V122" s="3"/>
      <c r="W122" s="3"/>
    </row>
    <row r="123" spans="1:23">
      <c r="A123" s="3"/>
      <c r="B123" s="3"/>
      <c r="C123" s="13"/>
      <c r="D123" s="13"/>
      <c r="E123" s="13"/>
      <c r="F123" s="13"/>
      <c r="G123" s="3"/>
      <c r="H123" s="3"/>
      <c r="I123" s="3"/>
      <c r="J123" s="3"/>
      <c r="K123" s="3"/>
      <c r="L123" s="3"/>
      <c r="M123" s="3"/>
      <c r="N123" s="3"/>
      <c r="O123" s="3"/>
      <c r="P123" s="3"/>
      <c r="Q123" s="3"/>
      <c r="R123" s="3"/>
      <c r="S123" s="3"/>
      <c r="T123" s="3"/>
      <c r="U123" s="3"/>
      <c r="V123" s="3"/>
      <c r="W123" s="3"/>
    </row>
    <row r="124" spans="1:23">
      <c r="A124" s="3"/>
      <c r="B124" s="3"/>
      <c r="C124" s="13"/>
      <c r="D124" s="13"/>
      <c r="E124" s="13"/>
      <c r="F124" s="13"/>
      <c r="G124" s="3"/>
      <c r="H124" s="3"/>
      <c r="I124" s="3"/>
      <c r="J124" s="3"/>
      <c r="K124" s="3"/>
      <c r="L124" s="3"/>
      <c r="M124" s="3"/>
      <c r="N124" s="3"/>
      <c r="O124" s="3"/>
      <c r="P124" s="3"/>
      <c r="Q124" s="3"/>
      <c r="R124" s="3"/>
      <c r="S124" s="3"/>
      <c r="T124" s="3"/>
      <c r="U124" s="3"/>
      <c r="V124" s="3"/>
      <c r="W124" s="3"/>
    </row>
    <row r="125" spans="1:23">
      <c r="A125" s="3"/>
      <c r="B125" s="3"/>
      <c r="C125" s="13"/>
      <c r="D125" s="13"/>
      <c r="E125" s="13"/>
      <c r="F125" s="13"/>
      <c r="G125" s="3"/>
      <c r="H125" s="3"/>
      <c r="I125" s="3"/>
      <c r="J125" s="3"/>
      <c r="K125" s="3"/>
      <c r="L125" s="3"/>
      <c r="M125" s="3"/>
      <c r="N125" s="3"/>
      <c r="O125" s="3"/>
      <c r="P125" s="3"/>
      <c r="Q125" s="3"/>
      <c r="R125" s="3"/>
      <c r="S125" s="3"/>
      <c r="T125" s="3"/>
      <c r="U125" s="3"/>
      <c r="V125" s="3"/>
      <c r="W125" s="3"/>
    </row>
    <row r="126" spans="1:23">
      <c r="A126" s="3"/>
      <c r="B126" s="3"/>
      <c r="C126" s="13"/>
      <c r="D126" s="13"/>
      <c r="E126" s="13"/>
      <c r="F126" s="13"/>
      <c r="G126" s="3"/>
      <c r="H126" s="3"/>
      <c r="I126" s="3"/>
      <c r="J126" s="3"/>
      <c r="K126" s="3"/>
      <c r="L126" s="3"/>
      <c r="M126" s="3"/>
      <c r="N126" s="3"/>
      <c r="O126" s="3"/>
      <c r="P126" s="3"/>
      <c r="Q126" s="3"/>
      <c r="R126" s="3"/>
      <c r="S126" s="3"/>
      <c r="T126" s="3"/>
      <c r="U126" s="3"/>
      <c r="V126" s="3"/>
      <c r="W126" s="3"/>
    </row>
    <row r="127" spans="1:23">
      <c r="A127" s="3"/>
      <c r="B127" s="3"/>
      <c r="C127" s="13"/>
      <c r="D127" s="13"/>
      <c r="E127" s="13"/>
      <c r="F127" s="13"/>
      <c r="G127" s="3"/>
      <c r="H127" s="3"/>
      <c r="I127" s="3"/>
      <c r="J127" s="3"/>
      <c r="K127" s="3"/>
      <c r="L127" s="3"/>
      <c r="M127" s="3"/>
      <c r="N127" s="3"/>
      <c r="O127" s="3"/>
      <c r="P127" s="3"/>
      <c r="Q127" s="3"/>
      <c r="R127" s="3"/>
      <c r="S127" s="3"/>
      <c r="T127" s="3"/>
      <c r="U127" s="3"/>
      <c r="V127" s="3"/>
      <c r="W127" s="3"/>
    </row>
    <row r="128" spans="1:23">
      <c r="A128" s="3"/>
      <c r="B128" s="3"/>
      <c r="C128" s="13"/>
      <c r="D128" s="13"/>
      <c r="E128" s="13"/>
      <c r="F128" s="13"/>
      <c r="G128" s="3"/>
      <c r="H128" s="3"/>
      <c r="I128" s="3"/>
      <c r="J128" s="3"/>
      <c r="K128" s="3"/>
      <c r="L128" s="3"/>
      <c r="M128" s="3"/>
      <c r="N128" s="3"/>
      <c r="O128" s="3"/>
      <c r="P128" s="3"/>
      <c r="Q128" s="3"/>
      <c r="R128" s="3"/>
      <c r="S128" s="3"/>
      <c r="T128" s="3"/>
      <c r="U128" s="3"/>
      <c r="V128" s="3"/>
      <c r="W128" s="3"/>
    </row>
    <row r="129" spans="1:23">
      <c r="A129" s="3"/>
      <c r="B129" s="3"/>
      <c r="C129" s="13"/>
      <c r="D129" s="13"/>
      <c r="E129" s="13"/>
      <c r="F129" s="13"/>
      <c r="G129" s="3"/>
      <c r="H129" s="3"/>
      <c r="I129" s="3"/>
      <c r="J129" s="3"/>
      <c r="K129" s="3"/>
      <c r="L129" s="3"/>
      <c r="M129" s="3"/>
      <c r="N129" s="3"/>
      <c r="O129" s="3"/>
      <c r="P129" s="3"/>
      <c r="Q129" s="3"/>
      <c r="R129" s="3"/>
      <c r="S129" s="3"/>
      <c r="T129" s="3"/>
      <c r="U129" s="3"/>
      <c r="V129" s="3"/>
      <c r="W129" s="3"/>
    </row>
    <row r="130" spans="1:23">
      <c r="A130" s="3"/>
      <c r="B130" s="3"/>
      <c r="C130" s="13"/>
      <c r="D130" s="13"/>
      <c r="E130" s="13"/>
      <c r="F130" s="13"/>
      <c r="G130" s="3"/>
      <c r="H130" s="3"/>
      <c r="I130" s="3"/>
      <c r="J130" s="3"/>
      <c r="K130" s="3"/>
      <c r="L130" s="3"/>
      <c r="M130" s="3"/>
      <c r="N130" s="3"/>
      <c r="O130" s="3"/>
      <c r="P130" s="3"/>
      <c r="Q130" s="3"/>
      <c r="R130" s="3"/>
      <c r="S130" s="3"/>
      <c r="T130" s="3"/>
      <c r="U130" s="3"/>
      <c r="V130" s="3"/>
      <c r="W130" s="3"/>
    </row>
    <row r="131" spans="1:23">
      <c r="A131" s="3"/>
      <c r="B131" s="3"/>
      <c r="C131" s="13"/>
      <c r="D131" s="13"/>
      <c r="E131" s="13"/>
      <c r="F131" s="13"/>
      <c r="G131" s="3"/>
      <c r="H131" s="3"/>
      <c r="I131" s="3"/>
      <c r="J131" s="3"/>
      <c r="K131" s="3"/>
      <c r="L131" s="3"/>
      <c r="M131" s="3"/>
      <c r="N131" s="3"/>
      <c r="O131" s="3"/>
      <c r="P131" s="3"/>
      <c r="Q131" s="3"/>
      <c r="R131" s="3"/>
      <c r="S131" s="3"/>
      <c r="T131" s="3"/>
      <c r="U131" s="3"/>
      <c r="V131" s="3"/>
      <c r="W131" s="3"/>
    </row>
    <row r="132" spans="1:23">
      <c r="A132" s="3"/>
      <c r="B132" s="3"/>
      <c r="C132" s="13"/>
      <c r="D132" s="13"/>
      <c r="E132" s="13"/>
      <c r="F132" s="13"/>
      <c r="G132" s="3"/>
      <c r="H132" s="3"/>
      <c r="I132" s="3"/>
      <c r="J132" s="3"/>
      <c r="K132" s="3"/>
      <c r="L132" s="3"/>
      <c r="M132" s="3"/>
      <c r="N132" s="3"/>
      <c r="O132" s="3"/>
      <c r="P132" s="3"/>
      <c r="Q132" s="3"/>
      <c r="R132" s="3"/>
      <c r="S132" s="3"/>
      <c r="T132" s="3"/>
      <c r="U132" s="3"/>
      <c r="V132" s="3"/>
      <c r="W132" s="3"/>
    </row>
    <row r="133" spans="1:23">
      <c r="A133" s="3"/>
      <c r="B133" s="3"/>
      <c r="C133" s="13"/>
      <c r="D133" s="13"/>
      <c r="E133" s="13"/>
      <c r="F133" s="13"/>
      <c r="G133" s="3"/>
      <c r="H133" s="3"/>
      <c r="I133" s="3"/>
      <c r="J133" s="3"/>
      <c r="K133" s="3"/>
      <c r="L133" s="3"/>
      <c r="M133" s="3"/>
      <c r="N133" s="3"/>
      <c r="O133" s="3"/>
      <c r="P133" s="3"/>
      <c r="Q133" s="3"/>
      <c r="R133" s="3"/>
      <c r="S133" s="3"/>
      <c r="T133" s="3"/>
      <c r="U133" s="3"/>
      <c r="V133" s="3"/>
      <c r="W133" s="3"/>
    </row>
    <row r="134" spans="1:23">
      <c r="A134" s="3"/>
      <c r="B134" s="3"/>
      <c r="C134" s="13"/>
      <c r="D134" s="13"/>
      <c r="E134" s="13"/>
      <c r="F134" s="13"/>
      <c r="G134" s="3"/>
      <c r="H134" s="3"/>
      <c r="I134" s="3"/>
      <c r="J134" s="3"/>
      <c r="K134" s="3"/>
      <c r="L134" s="3"/>
      <c r="M134" s="3"/>
      <c r="N134" s="3"/>
      <c r="O134" s="3"/>
      <c r="P134" s="3"/>
      <c r="Q134" s="3"/>
      <c r="R134" s="3"/>
      <c r="S134" s="3"/>
      <c r="T134" s="3"/>
      <c r="U134" s="3"/>
      <c r="V134" s="3"/>
      <c r="W134" s="3"/>
    </row>
    <row r="135" spans="1:23">
      <c r="A135" s="3"/>
      <c r="B135" s="3"/>
      <c r="C135" s="13"/>
      <c r="D135" s="13"/>
      <c r="E135" s="13"/>
      <c r="F135" s="13"/>
      <c r="G135" s="3"/>
      <c r="H135" s="3"/>
      <c r="I135" s="3"/>
      <c r="J135" s="3"/>
      <c r="K135" s="3"/>
      <c r="L135" s="3"/>
      <c r="M135" s="3"/>
      <c r="N135" s="3"/>
      <c r="O135" s="3"/>
      <c r="P135" s="3"/>
      <c r="Q135" s="3"/>
      <c r="R135" s="3"/>
      <c r="S135" s="3"/>
      <c r="T135" s="3"/>
      <c r="U135" s="3"/>
      <c r="V135" s="3"/>
      <c r="W135" s="3"/>
    </row>
    <row r="136" spans="1:23">
      <c r="A136" s="3"/>
      <c r="B136" s="3"/>
      <c r="C136" s="13"/>
      <c r="D136" s="13"/>
      <c r="E136" s="13"/>
      <c r="F136" s="13"/>
      <c r="G136" s="3"/>
      <c r="H136" s="3"/>
      <c r="I136" s="3"/>
      <c r="J136" s="3"/>
      <c r="K136" s="3"/>
      <c r="L136" s="3"/>
      <c r="M136" s="3"/>
      <c r="N136" s="3"/>
      <c r="O136" s="3"/>
      <c r="P136" s="3"/>
      <c r="Q136" s="3"/>
      <c r="R136" s="3"/>
      <c r="S136" s="3"/>
      <c r="T136" s="3"/>
      <c r="U136" s="3"/>
      <c r="V136" s="3"/>
      <c r="W136" s="3"/>
    </row>
    <row r="137" spans="1:23">
      <c r="A137" s="3"/>
      <c r="B137" s="3"/>
      <c r="C137" s="13"/>
      <c r="D137" s="13"/>
      <c r="E137" s="13"/>
      <c r="F137" s="13"/>
      <c r="G137" s="3"/>
      <c r="H137" s="3"/>
      <c r="I137" s="3"/>
      <c r="J137" s="3"/>
      <c r="K137" s="3"/>
      <c r="L137" s="3"/>
      <c r="M137" s="3"/>
      <c r="N137" s="3"/>
      <c r="O137" s="3"/>
      <c r="P137" s="3"/>
      <c r="Q137" s="3"/>
      <c r="R137" s="3"/>
      <c r="S137" s="3"/>
      <c r="T137" s="3"/>
      <c r="U137" s="3"/>
      <c r="V137" s="3"/>
      <c r="W137" s="3"/>
    </row>
    <row r="138" spans="1:23">
      <c r="A138" s="3"/>
      <c r="B138" s="3"/>
      <c r="C138" s="13"/>
      <c r="D138" s="13"/>
      <c r="E138" s="13"/>
      <c r="F138" s="13"/>
      <c r="G138" s="3"/>
      <c r="H138" s="3"/>
      <c r="I138" s="3"/>
      <c r="J138" s="3"/>
      <c r="K138" s="3"/>
      <c r="L138" s="3"/>
      <c r="M138" s="3"/>
      <c r="N138" s="3"/>
      <c r="O138" s="3"/>
      <c r="P138" s="3"/>
      <c r="Q138" s="3"/>
      <c r="R138" s="3"/>
      <c r="S138" s="3"/>
      <c r="T138" s="3"/>
      <c r="U138" s="3"/>
      <c r="V138" s="3"/>
      <c r="W138" s="3"/>
    </row>
    <row r="139" spans="1:23">
      <c r="A139" s="3"/>
      <c r="B139" s="3"/>
      <c r="C139" s="13"/>
      <c r="D139" s="13"/>
      <c r="E139" s="13"/>
      <c r="F139" s="13"/>
      <c r="G139" s="3"/>
      <c r="H139" s="3"/>
      <c r="I139" s="3"/>
      <c r="J139" s="3"/>
      <c r="K139" s="3"/>
      <c r="L139" s="3"/>
      <c r="M139" s="3"/>
      <c r="N139" s="3"/>
      <c r="O139" s="3"/>
      <c r="P139" s="3"/>
      <c r="Q139" s="3"/>
      <c r="R139" s="3"/>
      <c r="S139" s="3"/>
      <c r="T139" s="3"/>
      <c r="U139" s="3"/>
      <c r="V139" s="3"/>
      <c r="W139" s="3"/>
    </row>
    <row r="140" spans="1:23">
      <c r="A140" s="3"/>
      <c r="B140" s="3"/>
      <c r="C140" s="13"/>
      <c r="D140" s="13"/>
      <c r="E140" s="13"/>
      <c r="F140" s="13"/>
      <c r="G140" s="3"/>
      <c r="H140" s="3"/>
      <c r="I140" s="3"/>
      <c r="J140" s="3"/>
      <c r="K140" s="3"/>
      <c r="L140" s="3"/>
      <c r="M140" s="3"/>
      <c r="N140" s="3"/>
      <c r="O140" s="3"/>
      <c r="P140" s="3"/>
      <c r="Q140" s="3"/>
      <c r="R140" s="3"/>
      <c r="S140" s="3"/>
      <c r="T140" s="3"/>
      <c r="U140" s="3"/>
      <c r="V140" s="3"/>
      <c r="W140" s="3"/>
    </row>
    <row r="141" spans="1:23">
      <c r="A141" s="3"/>
      <c r="B141" s="3"/>
      <c r="C141" s="13"/>
      <c r="D141" s="13"/>
      <c r="E141" s="13"/>
      <c r="F141" s="13"/>
      <c r="G141" s="3"/>
      <c r="H141" s="3"/>
      <c r="I141" s="3"/>
      <c r="J141" s="3"/>
      <c r="K141" s="3"/>
      <c r="L141" s="3"/>
      <c r="M141" s="3"/>
      <c r="N141" s="3"/>
      <c r="O141" s="3"/>
      <c r="P141" s="3"/>
      <c r="Q141" s="3"/>
      <c r="R141" s="3"/>
      <c r="S141" s="3"/>
      <c r="T141" s="3"/>
      <c r="U141" s="3"/>
      <c r="V141" s="3"/>
      <c r="W141" s="3"/>
    </row>
    <row r="142" spans="1:23">
      <c r="A142" s="3"/>
      <c r="B142" s="3"/>
      <c r="C142" s="13"/>
      <c r="D142" s="13"/>
      <c r="E142" s="13"/>
      <c r="F142" s="13"/>
      <c r="G142" s="3"/>
      <c r="H142" s="3"/>
      <c r="I142" s="3"/>
      <c r="J142" s="3"/>
      <c r="K142" s="3"/>
      <c r="L142" s="3"/>
      <c r="M142" s="3"/>
      <c r="N142" s="3"/>
      <c r="O142" s="3"/>
      <c r="P142" s="3"/>
      <c r="Q142" s="3"/>
      <c r="R142" s="3"/>
      <c r="S142" s="3"/>
      <c r="T142" s="3"/>
      <c r="U142" s="3"/>
      <c r="V142" s="3"/>
      <c r="W142" s="3"/>
    </row>
    <row r="143" spans="1:23">
      <c r="A143" s="3"/>
      <c r="B143" s="3"/>
      <c r="C143" s="13"/>
      <c r="D143" s="13"/>
      <c r="E143" s="13"/>
      <c r="F143" s="13"/>
      <c r="G143" s="3"/>
      <c r="H143" s="3"/>
      <c r="I143" s="3"/>
      <c r="J143" s="3"/>
      <c r="K143" s="3"/>
      <c r="L143" s="3"/>
      <c r="M143" s="3"/>
      <c r="N143" s="3"/>
      <c r="O143" s="3"/>
      <c r="P143" s="3"/>
      <c r="Q143" s="3"/>
      <c r="R143" s="3"/>
      <c r="S143" s="3"/>
      <c r="T143" s="3"/>
      <c r="U143" s="3"/>
      <c r="V143" s="3"/>
      <c r="W143" s="3"/>
    </row>
    <row r="144" spans="1:23">
      <c r="A144" s="3"/>
      <c r="B144" s="3"/>
      <c r="C144" s="13"/>
      <c r="D144" s="13"/>
      <c r="E144" s="13"/>
      <c r="F144" s="13"/>
      <c r="G144" s="3"/>
      <c r="H144" s="3"/>
      <c r="I144" s="3"/>
      <c r="J144" s="3"/>
      <c r="K144" s="3"/>
      <c r="L144" s="3"/>
      <c r="M144" s="3"/>
      <c r="N144" s="3"/>
      <c r="O144" s="3"/>
      <c r="P144" s="3"/>
      <c r="Q144" s="3"/>
      <c r="R144" s="3"/>
      <c r="S144" s="3"/>
      <c r="T144" s="3"/>
      <c r="U144" s="3"/>
      <c r="V144" s="3"/>
      <c r="W144" s="3"/>
    </row>
    <row r="145" spans="1:23">
      <c r="A145" s="3"/>
      <c r="B145" s="3"/>
      <c r="C145" s="13"/>
      <c r="D145" s="13"/>
      <c r="E145" s="13"/>
      <c r="F145" s="13"/>
      <c r="G145" s="3"/>
      <c r="H145" s="3"/>
      <c r="I145" s="3"/>
      <c r="J145" s="3"/>
      <c r="K145" s="3"/>
      <c r="L145" s="3"/>
      <c r="M145" s="3"/>
      <c r="N145" s="3"/>
      <c r="O145" s="3"/>
      <c r="P145" s="3"/>
      <c r="Q145" s="3"/>
      <c r="R145" s="3"/>
      <c r="S145" s="3"/>
      <c r="T145" s="3"/>
      <c r="U145" s="3"/>
      <c r="V145" s="3"/>
      <c r="W145" s="3"/>
    </row>
    <row r="146" spans="1:23">
      <c r="A146" s="3"/>
      <c r="B146" s="3"/>
      <c r="C146" s="13"/>
      <c r="D146" s="13"/>
      <c r="E146" s="13"/>
      <c r="F146" s="13"/>
      <c r="G146" s="3"/>
      <c r="H146" s="3"/>
      <c r="I146" s="3"/>
      <c r="J146" s="3"/>
      <c r="K146" s="3"/>
      <c r="L146" s="3"/>
      <c r="M146" s="3"/>
      <c r="N146" s="3"/>
      <c r="O146" s="3"/>
      <c r="P146" s="3"/>
      <c r="Q146" s="3"/>
      <c r="R146" s="3"/>
      <c r="S146" s="3"/>
      <c r="T146" s="3"/>
      <c r="U146" s="3"/>
      <c r="V146" s="3"/>
      <c r="W146" s="3"/>
    </row>
    <row r="147" spans="1:23">
      <c r="A147" s="3"/>
      <c r="B147" s="3"/>
      <c r="C147" s="13"/>
      <c r="D147" s="13"/>
      <c r="E147" s="13"/>
      <c r="F147" s="13"/>
      <c r="G147" s="3"/>
      <c r="H147" s="3"/>
      <c r="I147" s="3"/>
      <c r="J147" s="3"/>
      <c r="K147" s="3"/>
      <c r="L147" s="3"/>
      <c r="M147" s="3"/>
      <c r="N147" s="3"/>
      <c r="O147" s="3"/>
      <c r="P147" s="3"/>
      <c r="Q147" s="3"/>
      <c r="R147" s="3"/>
      <c r="S147" s="3"/>
      <c r="T147" s="3"/>
      <c r="U147" s="3"/>
      <c r="V147" s="3"/>
      <c r="W147" s="3"/>
    </row>
    <row r="148" spans="1:23">
      <c r="A148" s="3"/>
      <c r="B148" s="3"/>
      <c r="C148" s="13"/>
      <c r="D148" s="13"/>
      <c r="E148" s="13"/>
      <c r="F148" s="13"/>
      <c r="G148" s="3"/>
      <c r="H148" s="3"/>
      <c r="I148" s="3"/>
      <c r="J148" s="3"/>
      <c r="K148" s="3"/>
      <c r="L148" s="3"/>
      <c r="M148" s="3"/>
      <c r="N148" s="3"/>
      <c r="O148" s="3"/>
      <c r="P148" s="3"/>
      <c r="Q148" s="3"/>
      <c r="R148" s="3"/>
      <c r="S148" s="3"/>
      <c r="T148" s="3"/>
      <c r="U148" s="3"/>
      <c r="V148" s="3"/>
      <c r="W148" s="3"/>
    </row>
    <row r="149" spans="1:23">
      <c r="A149" s="3"/>
      <c r="B149" s="3"/>
      <c r="C149" s="13"/>
      <c r="D149" s="13"/>
      <c r="E149" s="13"/>
      <c r="F149" s="13"/>
      <c r="G149" s="3"/>
      <c r="H149" s="3"/>
      <c r="I149" s="3"/>
      <c r="J149" s="3"/>
      <c r="K149" s="3"/>
      <c r="L149" s="3"/>
      <c r="M149" s="3"/>
      <c r="N149" s="3"/>
      <c r="O149" s="3"/>
      <c r="P149" s="3"/>
      <c r="Q149" s="3"/>
      <c r="R149" s="3"/>
      <c r="S149" s="3"/>
      <c r="T149" s="3"/>
      <c r="U149" s="3"/>
      <c r="V149" s="3"/>
      <c r="W149" s="3"/>
    </row>
    <row r="150" spans="1:23">
      <c r="A150" s="3"/>
      <c r="B150" s="3"/>
      <c r="C150" s="13"/>
      <c r="D150" s="13"/>
      <c r="E150" s="13"/>
      <c r="F150" s="13"/>
      <c r="G150" s="3"/>
      <c r="H150" s="3"/>
      <c r="I150" s="3"/>
      <c r="J150" s="3"/>
      <c r="K150" s="3"/>
      <c r="L150" s="3"/>
      <c r="M150" s="3"/>
      <c r="N150" s="3"/>
      <c r="O150" s="3"/>
      <c r="P150" s="3"/>
      <c r="Q150" s="3"/>
      <c r="R150" s="3"/>
      <c r="S150" s="3"/>
      <c r="T150" s="3"/>
      <c r="U150" s="3"/>
      <c r="V150" s="3"/>
      <c r="W150" s="3"/>
    </row>
    <row r="151" spans="1:23">
      <c r="A151" s="3"/>
      <c r="B151" s="3"/>
      <c r="C151" s="13"/>
      <c r="D151" s="13"/>
      <c r="E151" s="13"/>
      <c r="F151" s="13"/>
      <c r="G151" s="3"/>
      <c r="H151" s="3"/>
      <c r="I151" s="3"/>
      <c r="J151" s="3"/>
      <c r="K151" s="3"/>
      <c r="L151" s="3"/>
      <c r="M151" s="3"/>
      <c r="N151" s="3"/>
      <c r="O151" s="3"/>
      <c r="P151" s="3"/>
      <c r="Q151" s="3"/>
      <c r="R151" s="3"/>
      <c r="S151" s="3"/>
      <c r="T151" s="3"/>
      <c r="U151" s="3"/>
      <c r="V151" s="3"/>
      <c r="W151" s="3"/>
    </row>
    <row r="152" spans="1:23">
      <c r="A152" s="3"/>
      <c r="B152" s="3"/>
      <c r="C152" s="13"/>
      <c r="D152" s="13"/>
      <c r="E152" s="13"/>
      <c r="F152" s="13"/>
      <c r="G152" s="3"/>
      <c r="H152" s="3"/>
      <c r="I152" s="3"/>
      <c r="J152" s="3"/>
      <c r="K152" s="3"/>
      <c r="L152" s="3"/>
      <c r="M152" s="3"/>
      <c r="N152" s="3"/>
      <c r="O152" s="3"/>
      <c r="P152" s="3"/>
      <c r="Q152" s="3"/>
      <c r="R152" s="3"/>
      <c r="S152" s="3"/>
      <c r="T152" s="3"/>
      <c r="U152" s="3"/>
      <c r="V152" s="3"/>
      <c r="W152" s="3"/>
    </row>
    <row r="153" spans="1:23">
      <c r="A153" s="3"/>
      <c r="B153" s="3"/>
      <c r="C153" s="13"/>
      <c r="D153" s="13"/>
      <c r="E153" s="13"/>
      <c r="F153" s="13"/>
      <c r="G153" s="3"/>
      <c r="H153" s="3"/>
      <c r="I153" s="3"/>
      <c r="J153" s="3"/>
      <c r="K153" s="3"/>
      <c r="L153" s="3"/>
      <c r="M153" s="3"/>
      <c r="N153" s="3"/>
      <c r="O153" s="3"/>
      <c r="P153" s="3"/>
      <c r="Q153" s="3"/>
      <c r="R153" s="3"/>
      <c r="S153" s="3"/>
      <c r="T153" s="3"/>
      <c r="U153" s="3"/>
      <c r="V153" s="3"/>
      <c r="W153" s="3"/>
    </row>
    <row r="154" spans="1:23">
      <c r="A154" s="3"/>
      <c r="B154" s="3"/>
      <c r="C154" s="13"/>
      <c r="D154" s="13"/>
      <c r="E154" s="13"/>
      <c r="F154" s="13"/>
      <c r="G154" s="3"/>
      <c r="H154" s="3"/>
      <c r="I154" s="3"/>
      <c r="J154" s="3"/>
      <c r="K154" s="3"/>
      <c r="L154" s="3"/>
      <c r="M154" s="3"/>
      <c r="N154" s="3"/>
      <c r="O154" s="3"/>
      <c r="P154" s="3"/>
      <c r="Q154" s="3"/>
      <c r="R154" s="3"/>
      <c r="S154" s="3"/>
      <c r="T154" s="3"/>
      <c r="U154" s="3"/>
      <c r="V154" s="3"/>
      <c r="W154" s="3"/>
    </row>
    <row r="155" spans="1:23">
      <c r="A155" s="3"/>
      <c r="B155" s="3"/>
      <c r="C155" s="13"/>
      <c r="D155" s="13"/>
      <c r="E155" s="13"/>
      <c r="F155" s="13"/>
      <c r="G155" s="3"/>
      <c r="H155" s="3"/>
      <c r="I155" s="3"/>
      <c r="J155" s="3"/>
      <c r="K155" s="3"/>
      <c r="L155" s="3"/>
      <c r="M155" s="3"/>
      <c r="N155" s="3"/>
      <c r="O155" s="3"/>
      <c r="P155" s="3"/>
      <c r="Q155" s="3"/>
      <c r="R155" s="3"/>
      <c r="S155" s="3"/>
      <c r="T155" s="3"/>
      <c r="U155" s="3"/>
      <c r="V155" s="3"/>
      <c r="W155" s="3"/>
    </row>
    <row r="156" spans="1:23">
      <c r="A156" s="3"/>
      <c r="B156" s="3"/>
      <c r="C156" s="13"/>
      <c r="D156" s="13"/>
      <c r="E156" s="13"/>
      <c r="F156" s="13"/>
      <c r="G156" s="3"/>
      <c r="H156" s="3"/>
      <c r="I156" s="3"/>
      <c r="J156" s="3"/>
      <c r="K156" s="3"/>
      <c r="L156" s="3"/>
      <c r="M156" s="3"/>
      <c r="N156" s="3"/>
      <c r="O156" s="3"/>
      <c r="P156" s="3"/>
      <c r="Q156" s="3"/>
      <c r="R156" s="3"/>
      <c r="S156" s="3"/>
      <c r="T156" s="3"/>
      <c r="U156" s="3"/>
      <c r="V156" s="3"/>
      <c r="W156" s="3"/>
    </row>
    <row r="157" spans="1:23">
      <c r="A157" s="3"/>
      <c r="B157" s="3"/>
      <c r="C157" s="13"/>
      <c r="D157" s="13"/>
      <c r="E157" s="13"/>
      <c r="F157" s="13"/>
      <c r="G157" s="3"/>
      <c r="H157" s="3"/>
      <c r="I157" s="3"/>
      <c r="J157" s="3"/>
      <c r="K157" s="3"/>
      <c r="L157" s="3"/>
      <c r="M157" s="3"/>
      <c r="N157" s="3"/>
      <c r="O157" s="3"/>
      <c r="P157" s="3"/>
      <c r="Q157" s="3"/>
      <c r="R157" s="3"/>
      <c r="S157" s="3"/>
      <c r="T157" s="3"/>
      <c r="U157" s="3"/>
      <c r="V157" s="3"/>
      <c r="W157" s="3"/>
    </row>
    <row r="158" spans="1:23">
      <c r="A158" s="3"/>
      <c r="B158" s="3"/>
      <c r="C158" s="13"/>
      <c r="D158" s="13"/>
      <c r="E158" s="13"/>
      <c r="F158" s="13"/>
      <c r="G158" s="3"/>
      <c r="H158" s="3"/>
      <c r="I158" s="3"/>
      <c r="J158" s="3"/>
      <c r="K158" s="3"/>
      <c r="L158" s="3"/>
      <c r="M158" s="3"/>
      <c r="N158" s="3"/>
      <c r="O158" s="3"/>
      <c r="P158" s="3"/>
      <c r="Q158" s="3"/>
      <c r="R158" s="3"/>
      <c r="S158" s="3"/>
      <c r="T158" s="3"/>
      <c r="U158" s="3"/>
      <c r="V158" s="3"/>
      <c r="W158" s="3"/>
    </row>
    <row r="159" spans="1:23">
      <c r="A159" s="3"/>
      <c r="B159" s="3"/>
      <c r="C159" s="13"/>
      <c r="D159" s="13"/>
      <c r="E159" s="13"/>
      <c r="F159" s="13"/>
      <c r="G159" s="3"/>
      <c r="H159" s="3"/>
      <c r="I159" s="3"/>
      <c r="J159" s="3"/>
      <c r="K159" s="3"/>
      <c r="L159" s="3"/>
      <c r="M159" s="3"/>
      <c r="N159" s="3"/>
      <c r="O159" s="3"/>
      <c r="P159" s="3"/>
      <c r="Q159" s="3"/>
      <c r="R159" s="3"/>
      <c r="S159" s="3"/>
      <c r="T159" s="3"/>
      <c r="U159" s="3"/>
      <c r="V159" s="3"/>
      <c r="W159" s="3"/>
    </row>
    <row r="160" spans="1:23">
      <c r="A160" s="3"/>
      <c r="B160" s="3"/>
      <c r="C160" s="13"/>
      <c r="D160" s="13"/>
      <c r="E160" s="13"/>
      <c r="F160" s="13"/>
      <c r="G160" s="3"/>
      <c r="H160" s="3"/>
      <c r="I160" s="3"/>
      <c r="J160" s="3"/>
      <c r="K160" s="3"/>
      <c r="L160" s="3"/>
      <c r="M160" s="3"/>
      <c r="N160" s="3"/>
      <c r="O160" s="3"/>
      <c r="P160" s="3"/>
      <c r="Q160" s="3"/>
      <c r="R160" s="3"/>
      <c r="S160" s="3"/>
      <c r="T160" s="3"/>
      <c r="U160" s="3"/>
      <c r="V160" s="3"/>
      <c r="W160" s="3"/>
    </row>
    <row r="161" spans="1:23">
      <c r="A161" s="3"/>
      <c r="B161" s="3"/>
      <c r="C161" s="13"/>
      <c r="D161" s="13"/>
      <c r="E161" s="13"/>
      <c r="F161" s="13"/>
      <c r="G161" s="3"/>
      <c r="H161" s="3"/>
      <c r="I161" s="3"/>
      <c r="J161" s="3"/>
      <c r="K161" s="3"/>
      <c r="L161" s="3"/>
      <c r="M161" s="3"/>
      <c r="N161" s="3"/>
      <c r="O161" s="3"/>
      <c r="P161" s="3"/>
      <c r="Q161" s="3"/>
      <c r="R161" s="3"/>
      <c r="S161" s="3"/>
      <c r="T161" s="3"/>
      <c r="U161" s="3"/>
      <c r="V161" s="3"/>
      <c r="W161" s="3"/>
    </row>
    <row r="162" spans="1:23">
      <c r="A162" s="3"/>
      <c r="B162" s="3"/>
      <c r="C162" s="13"/>
      <c r="D162" s="13"/>
      <c r="E162" s="13"/>
      <c r="F162" s="13"/>
      <c r="G162" s="3"/>
      <c r="H162" s="3"/>
      <c r="I162" s="3"/>
      <c r="J162" s="3"/>
      <c r="K162" s="3"/>
      <c r="L162" s="3"/>
      <c r="M162" s="3"/>
      <c r="N162" s="3"/>
      <c r="O162" s="3"/>
      <c r="P162" s="3"/>
      <c r="Q162" s="3"/>
      <c r="R162" s="3"/>
      <c r="S162" s="3"/>
      <c r="T162" s="3"/>
      <c r="U162" s="3"/>
      <c r="V162" s="3"/>
      <c r="W162" s="3"/>
    </row>
    <row r="163" spans="1:23">
      <c r="A163" s="3"/>
      <c r="B163" s="3"/>
      <c r="C163" s="13"/>
      <c r="D163" s="13"/>
      <c r="E163" s="13"/>
      <c r="F163" s="13"/>
      <c r="G163" s="3"/>
      <c r="H163" s="3"/>
      <c r="I163" s="3"/>
      <c r="J163" s="3"/>
      <c r="K163" s="3"/>
      <c r="L163" s="3"/>
      <c r="M163" s="3"/>
      <c r="N163" s="3"/>
      <c r="O163" s="3"/>
      <c r="P163" s="3"/>
      <c r="Q163" s="3"/>
      <c r="R163" s="3"/>
      <c r="S163" s="3"/>
      <c r="T163" s="3"/>
      <c r="U163" s="3"/>
      <c r="V163" s="3"/>
      <c r="W163" s="3"/>
    </row>
    <row r="164" spans="1:23">
      <c r="A164" s="3"/>
      <c r="B164" s="3"/>
      <c r="C164" s="13"/>
      <c r="D164" s="13"/>
      <c r="E164" s="13"/>
      <c r="F164" s="13"/>
      <c r="G164" s="3"/>
      <c r="H164" s="3"/>
      <c r="I164" s="3"/>
      <c r="J164" s="3"/>
      <c r="K164" s="3"/>
      <c r="L164" s="3"/>
      <c r="M164" s="3"/>
      <c r="N164" s="3"/>
      <c r="O164" s="3"/>
      <c r="P164" s="3"/>
      <c r="Q164" s="3"/>
      <c r="R164" s="3"/>
      <c r="S164" s="3"/>
      <c r="T164" s="3"/>
      <c r="U164" s="3"/>
      <c r="V164" s="3"/>
      <c r="W164" s="3"/>
    </row>
    <row r="165" spans="1:23">
      <c r="A165" s="3"/>
      <c r="B165" s="3"/>
      <c r="C165" s="13"/>
      <c r="D165" s="13"/>
      <c r="E165" s="13"/>
      <c r="F165" s="13"/>
      <c r="G165" s="3"/>
      <c r="H165" s="3"/>
      <c r="I165" s="3"/>
      <c r="J165" s="3"/>
      <c r="K165" s="3"/>
      <c r="L165" s="3"/>
      <c r="M165" s="3"/>
      <c r="N165" s="3"/>
      <c r="O165" s="3"/>
      <c r="P165" s="3"/>
      <c r="Q165" s="3"/>
      <c r="R165" s="3"/>
      <c r="S165" s="3"/>
      <c r="T165" s="3"/>
      <c r="U165" s="3"/>
      <c r="V165" s="3"/>
      <c r="W165" s="3"/>
    </row>
    <row r="166" spans="1:23">
      <c r="A166" s="3"/>
      <c r="B166" s="3"/>
      <c r="C166" s="13"/>
      <c r="D166" s="13"/>
      <c r="E166" s="13"/>
      <c r="F166" s="13"/>
      <c r="G166" s="3"/>
      <c r="H166" s="3"/>
      <c r="I166" s="3"/>
      <c r="J166" s="3"/>
      <c r="K166" s="3"/>
      <c r="L166" s="3"/>
      <c r="M166" s="3"/>
      <c r="N166" s="3"/>
      <c r="O166" s="3"/>
      <c r="P166" s="3"/>
      <c r="Q166" s="3"/>
      <c r="R166" s="3"/>
      <c r="S166" s="3"/>
      <c r="T166" s="3"/>
      <c r="U166" s="3"/>
      <c r="V166" s="3"/>
      <c r="W166" s="3"/>
    </row>
    <row r="167" spans="1:23">
      <c r="A167" s="3"/>
      <c r="B167" s="3"/>
      <c r="C167" s="13"/>
      <c r="D167" s="13"/>
      <c r="E167" s="13"/>
      <c r="F167" s="13"/>
      <c r="G167" s="3"/>
      <c r="H167" s="3"/>
      <c r="I167" s="3"/>
      <c r="J167" s="3"/>
      <c r="K167" s="3"/>
      <c r="L167" s="3"/>
      <c r="M167" s="3"/>
      <c r="N167" s="3"/>
      <c r="O167" s="3"/>
      <c r="P167" s="3"/>
      <c r="Q167" s="3"/>
      <c r="R167" s="3"/>
      <c r="S167" s="3"/>
      <c r="T167" s="3"/>
      <c r="U167" s="3"/>
      <c r="V167" s="3"/>
      <c r="W167" s="3"/>
    </row>
    <row r="168" spans="1:23">
      <c r="A168" s="3"/>
      <c r="B168" s="3"/>
      <c r="C168" s="13"/>
      <c r="D168" s="13"/>
      <c r="E168" s="13"/>
      <c r="F168" s="13"/>
      <c r="G168" s="3"/>
      <c r="H168" s="3"/>
      <c r="I168" s="3"/>
      <c r="J168" s="3"/>
      <c r="K168" s="3"/>
      <c r="L168" s="3"/>
      <c r="M168" s="3"/>
      <c r="N168" s="3"/>
      <c r="O168" s="3"/>
      <c r="P168" s="3"/>
      <c r="Q168" s="3"/>
      <c r="R168" s="3"/>
      <c r="S168" s="3"/>
      <c r="T168" s="3"/>
      <c r="U168" s="3"/>
      <c r="V168" s="3"/>
      <c r="W168" s="3"/>
    </row>
    <row r="169" spans="1:23">
      <c r="A169" s="3"/>
      <c r="B169" s="3"/>
      <c r="C169" s="13"/>
      <c r="D169" s="13"/>
      <c r="E169" s="13"/>
      <c r="F169" s="13"/>
      <c r="G169" s="3"/>
      <c r="H169" s="3"/>
      <c r="I169" s="3"/>
      <c r="J169" s="3"/>
      <c r="K169" s="3"/>
      <c r="L169" s="3"/>
      <c r="M169" s="3"/>
      <c r="N169" s="3"/>
      <c r="O169" s="3"/>
      <c r="P169" s="3"/>
      <c r="Q169" s="3"/>
      <c r="R169" s="3"/>
      <c r="S169" s="3"/>
      <c r="T169" s="3"/>
      <c r="U169" s="3"/>
      <c r="V169" s="3"/>
      <c r="W169" s="3"/>
    </row>
    <row r="170" spans="1:23">
      <c r="A170" s="3"/>
      <c r="B170" s="3"/>
      <c r="C170" s="13"/>
      <c r="D170" s="13"/>
      <c r="E170" s="13"/>
      <c r="F170" s="13"/>
      <c r="G170" s="3"/>
      <c r="H170" s="3"/>
      <c r="I170" s="3"/>
      <c r="J170" s="3"/>
      <c r="K170" s="3"/>
      <c r="L170" s="3"/>
      <c r="M170" s="3"/>
      <c r="N170" s="3"/>
      <c r="O170" s="3"/>
      <c r="P170" s="3"/>
      <c r="Q170" s="3"/>
      <c r="R170" s="3"/>
      <c r="S170" s="3"/>
      <c r="T170" s="3"/>
      <c r="U170" s="3"/>
      <c r="V170" s="3"/>
      <c r="W170" s="3"/>
    </row>
    <row r="171" spans="1:23">
      <c r="A171" s="3"/>
      <c r="B171" s="3"/>
      <c r="C171" s="13"/>
      <c r="D171" s="13"/>
      <c r="E171" s="13"/>
      <c r="F171" s="13"/>
      <c r="G171" s="3"/>
      <c r="H171" s="3"/>
      <c r="I171" s="3"/>
      <c r="J171" s="3"/>
      <c r="K171" s="3"/>
      <c r="L171" s="3"/>
      <c r="M171" s="3"/>
      <c r="N171" s="3"/>
      <c r="O171" s="3"/>
      <c r="P171" s="3"/>
      <c r="Q171" s="3"/>
      <c r="R171" s="3"/>
      <c r="S171" s="3"/>
      <c r="T171" s="3"/>
      <c r="U171" s="3"/>
      <c r="V171" s="3"/>
      <c r="W171" s="3"/>
    </row>
    <row r="172" spans="1:23">
      <c r="A172" s="3"/>
      <c r="B172" s="3"/>
      <c r="C172" s="13"/>
      <c r="D172" s="13"/>
      <c r="E172" s="13"/>
      <c r="F172" s="13"/>
      <c r="G172" s="3"/>
      <c r="H172" s="3"/>
      <c r="I172" s="3"/>
      <c r="J172" s="3"/>
      <c r="K172" s="3"/>
      <c r="L172" s="3"/>
      <c r="M172" s="3"/>
      <c r="N172" s="3"/>
      <c r="O172" s="3"/>
      <c r="P172" s="3"/>
      <c r="Q172" s="3"/>
      <c r="R172" s="3"/>
      <c r="S172" s="3"/>
      <c r="T172" s="3"/>
      <c r="U172" s="3"/>
      <c r="V172" s="3"/>
      <c r="W172" s="3"/>
    </row>
    <row r="173" spans="1:23">
      <c r="A173" s="3"/>
      <c r="B173" s="3"/>
      <c r="C173" s="13"/>
      <c r="D173" s="13"/>
      <c r="E173" s="13"/>
      <c r="F173" s="13"/>
      <c r="G173" s="3"/>
      <c r="H173" s="3"/>
      <c r="I173" s="3"/>
      <c r="J173" s="3"/>
      <c r="K173" s="3"/>
      <c r="L173" s="3"/>
      <c r="M173" s="3"/>
      <c r="N173" s="3"/>
      <c r="O173" s="3"/>
      <c r="P173" s="3"/>
      <c r="Q173" s="3"/>
      <c r="R173" s="3"/>
      <c r="S173" s="3"/>
      <c r="T173" s="3"/>
      <c r="U173" s="3"/>
      <c r="V173" s="3"/>
      <c r="W173" s="3"/>
    </row>
    <row r="174" spans="1:23">
      <c r="A174" s="3"/>
      <c r="B174" s="3"/>
      <c r="C174" s="13"/>
      <c r="D174" s="13"/>
      <c r="E174" s="13"/>
      <c r="F174" s="13"/>
      <c r="G174" s="3"/>
      <c r="H174" s="3"/>
      <c r="I174" s="3"/>
      <c r="J174" s="3"/>
      <c r="K174" s="3"/>
      <c r="L174" s="3"/>
      <c r="M174" s="3"/>
      <c r="N174" s="3"/>
      <c r="O174" s="3"/>
      <c r="P174" s="3"/>
      <c r="Q174" s="3"/>
      <c r="R174" s="3"/>
      <c r="S174" s="3"/>
      <c r="T174" s="3"/>
      <c r="U174" s="3"/>
      <c r="V174" s="3"/>
      <c r="W174" s="3"/>
    </row>
    <row r="175" spans="1:23">
      <c r="A175" s="3"/>
      <c r="B175" s="3"/>
      <c r="C175" s="13"/>
      <c r="D175" s="13"/>
      <c r="E175" s="13"/>
      <c r="F175" s="13"/>
      <c r="G175" s="3"/>
      <c r="H175" s="3"/>
      <c r="I175" s="3"/>
      <c r="J175" s="3"/>
      <c r="K175" s="3"/>
      <c r="L175" s="3"/>
      <c r="M175" s="3"/>
      <c r="N175" s="3"/>
      <c r="O175" s="3"/>
      <c r="P175" s="3"/>
      <c r="Q175" s="3"/>
      <c r="R175" s="3"/>
      <c r="S175" s="3"/>
      <c r="T175" s="3"/>
      <c r="U175" s="3"/>
      <c r="V175" s="3"/>
      <c r="W175" s="3"/>
    </row>
    <row r="176" spans="1:23">
      <c r="A176" s="3"/>
      <c r="B176" s="3"/>
      <c r="C176" s="13"/>
      <c r="D176" s="13"/>
      <c r="E176" s="13"/>
      <c r="F176" s="13"/>
      <c r="G176" s="3"/>
      <c r="H176" s="3"/>
      <c r="I176" s="3"/>
      <c r="J176" s="3"/>
      <c r="K176" s="3"/>
      <c r="L176" s="3"/>
      <c r="M176" s="3"/>
      <c r="N176" s="3"/>
      <c r="O176" s="3"/>
      <c r="P176" s="3"/>
      <c r="Q176" s="3"/>
      <c r="R176" s="3"/>
      <c r="S176" s="3"/>
      <c r="T176" s="3"/>
      <c r="U176" s="3"/>
      <c r="V176" s="3"/>
      <c r="W176" s="3"/>
    </row>
    <row r="177" spans="1:23">
      <c r="A177" s="3"/>
      <c r="B177" s="3"/>
      <c r="C177" s="13"/>
      <c r="D177" s="13"/>
      <c r="E177" s="13"/>
      <c r="F177" s="13"/>
      <c r="G177" s="3"/>
      <c r="H177" s="3"/>
      <c r="I177" s="3"/>
      <c r="J177" s="3"/>
      <c r="K177" s="3"/>
      <c r="L177" s="3"/>
      <c r="M177" s="3"/>
      <c r="N177" s="3"/>
      <c r="O177" s="3"/>
      <c r="P177" s="3"/>
      <c r="Q177" s="3"/>
      <c r="R177" s="3"/>
      <c r="S177" s="3"/>
      <c r="T177" s="3"/>
      <c r="U177" s="3"/>
      <c r="V177" s="3"/>
      <c r="W177" s="3"/>
    </row>
    <row r="178" spans="1:23">
      <c r="A178" s="3"/>
      <c r="B178" s="3"/>
      <c r="C178" s="13"/>
      <c r="D178" s="13"/>
      <c r="E178" s="13"/>
      <c r="F178" s="13"/>
      <c r="G178" s="3"/>
      <c r="H178" s="3"/>
      <c r="I178" s="3"/>
      <c r="J178" s="3"/>
      <c r="K178" s="3"/>
      <c r="L178" s="3"/>
      <c r="M178" s="3"/>
      <c r="N178" s="3"/>
      <c r="O178" s="3"/>
      <c r="P178" s="3"/>
      <c r="Q178" s="3"/>
      <c r="R178" s="3"/>
      <c r="S178" s="3"/>
      <c r="T178" s="3"/>
      <c r="U178" s="3"/>
      <c r="V178" s="3"/>
      <c r="W178" s="3"/>
    </row>
    <row r="179" spans="1:23">
      <c r="A179" s="3"/>
      <c r="B179" s="3"/>
      <c r="C179" s="13"/>
      <c r="D179" s="13"/>
      <c r="E179" s="13"/>
      <c r="F179" s="13"/>
      <c r="G179" s="3"/>
      <c r="H179" s="3"/>
      <c r="I179" s="3"/>
      <c r="J179" s="3"/>
      <c r="K179" s="3"/>
      <c r="L179" s="3"/>
      <c r="M179" s="3"/>
      <c r="N179" s="3"/>
      <c r="O179" s="3"/>
      <c r="P179" s="3"/>
      <c r="Q179" s="3"/>
      <c r="R179" s="3"/>
      <c r="S179" s="3"/>
      <c r="T179" s="3"/>
      <c r="U179" s="3"/>
      <c r="V179" s="3"/>
      <c r="W179" s="3"/>
    </row>
    <row r="180" spans="1:23">
      <c r="A180" s="3"/>
      <c r="B180" s="3"/>
      <c r="C180" s="13"/>
      <c r="D180" s="13"/>
      <c r="E180" s="13"/>
      <c r="F180" s="13"/>
      <c r="G180" s="3"/>
      <c r="H180" s="3"/>
      <c r="I180" s="3"/>
      <c r="J180" s="3"/>
      <c r="K180" s="3"/>
      <c r="L180" s="3"/>
      <c r="M180" s="3"/>
      <c r="N180" s="3"/>
      <c r="O180" s="3"/>
      <c r="P180" s="3"/>
      <c r="Q180" s="3"/>
      <c r="R180" s="3"/>
      <c r="S180" s="3"/>
      <c r="T180" s="3"/>
      <c r="U180" s="3"/>
      <c r="V180" s="3"/>
      <c r="W180" s="3"/>
    </row>
    <row r="181" spans="1:23">
      <c r="A181" s="3"/>
      <c r="B181" s="3"/>
      <c r="C181" s="13"/>
      <c r="D181" s="13"/>
      <c r="E181" s="13"/>
      <c r="F181" s="13"/>
      <c r="G181" s="3"/>
      <c r="H181" s="3"/>
      <c r="I181" s="3"/>
      <c r="J181" s="3"/>
      <c r="K181" s="3"/>
      <c r="L181" s="3"/>
      <c r="M181" s="3"/>
      <c r="N181" s="3"/>
      <c r="O181" s="3"/>
      <c r="P181" s="3"/>
      <c r="Q181" s="3"/>
      <c r="R181" s="3"/>
      <c r="S181" s="3"/>
      <c r="T181" s="3"/>
      <c r="U181" s="3"/>
      <c r="V181" s="3"/>
      <c r="W181" s="3"/>
    </row>
    <row r="182" spans="1:23">
      <c r="A182" s="3"/>
      <c r="B182" s="3"/>
      <c r="C182" s="13"/>
      <c r="D182" s="13"/>
      <c r="E182" s="13"/>
      <c r="F182" s="13"/>
      <c r="G182" s="3"/>
      <c r="H182" s="3"/>
      <c r="I182" s="3"/>
      <c r="J182" s="3"/>
      <c r="K182" s="3"/>
      <c r="L182" s="3"/>
      <c r="M182" s="3"/>
      <c r="N182" s="3"/>
      <c r="O182" s="3"/>
      <c r="P182" s="3"/>
      <c r="Q182" s="3"/>
      <c r="R182" s="3"/>
      <c r="S182" s="3"/>
      <c r="T182" s="3"/>
      <c r="U182" s="3"/>
      <c r="V182" s="3"/>
      <c r="W182" s="3"/>
    </row>
    <row r="183" spans="1:23">
      <c r="A183" s="3"/>
      <c r="B183" s="3"/>
      <c r="C183" s="13"/>
      <c r="D183" s="13"/>
      <c r="E183" s="13"/>
      <c r="F183" s="13"/>
      <c r="G183" s="3"/>
      <c r="H183" s="3"/>
      <c r="I183" s="3"/>
      <c r="J183" s="3"/>
      <c r="K183" s="3"/>
      <c r="L183" s="3"/>
      <c r="M183" s="3"/>
      <c r="N183" s="3"/>
      <c r="O183" s="3"/>
      <c r="P183" s="3"/>
      <c r="Q183" s="3"/>
      <c r="R183" s="3"/>
      <c r="S183" s="3"/>
      <c r="T183" s="3"/>
      <c r="U183" s="3"/>
      <c r="V183" s="3"/>
      <c r="W183" s="3"/>
    </row>
    <row r="184" spans="1:23">
      <c r="A184" s="3"/>
      <c r="B184" s="3"/>
      <c r="C184" s="13"/>
      <c r="D184" s="13"/>
      <c r="E184" s="13"/>
      <c r="F184" s="13"/>
      <c r="G184" s="3"/>
      <c r="H184" s="3"/>
      <c r="I184" s="3"/>
      <c r="J184" s="3"/>
      <c r="K184" s="3"/>
      <c r="L184" s="3"/>
      <c r="M184" s="3"/>
      <c r="N184" s="3"/>
      <c r="O184" s="3"/>
      <c r="P184" s="3"/>
      <c r="Q184" s="3"/>
      <c r="R184" s="3"/>
      <c r="S184" s="3"/>
      <c r="T184" s="3"/>
      <c r="U184" s="3"/>
      <c r="V184" s="3"/>
      <c r="W184" s="3"/>
    </row>
    <row r="185" spans="1:23">
      <c r="A185" s="3"/>
      <c r="B185" s="3"/>
      <c r="C185" s="13"/>
      <c r="D185" s="13"/>
      <c r="E185" s="13"/>
      <c r="F185" s="13"/>
      <c r="G185" s="3"/>
      <c r="H185" s="3"/>
      <c r="I185" s="3"/>
      <c r="J185" s="3"/>
      <c r="K185" s="3"/>
      <c r="L185" s="3"/>
      <c r="M185" s="3"/>
      <c r="N185" s="3"/>
      <c r="O185" s="3"/>
      <c r="P185" s="3"/>
      <c r="Q185" s="3"/>
      <c r="R185" s="3"/>
      <c r="S185" s="3"/>
      <c r="T185" s="3"/>
      <c r="U185" s="3"/>
      <c r="V185" s="3"/>
      <c r="W185" s="3"/>
    </row>
    <row r="186" spans="1:23">
      <c r="A186" s="3"/>
      <c r="B186" s="3"/>
      <c r="C186" s="13"/>
      <c r="D186" s="13"/>
      <c r="E186" s="13"/>
      <c r="F186" s="13"/>
      <c r="G186" s="3"/>
      <c r="H186" s="3"/>
      <c r="I186" s="3"/>
      <c r="J186" s="3"/>
      <c r="K186" s="3"/>
      <c r="L186" s="3"/>
      <c r="M186" s="3"/>
      <c r="N186" s="3"/>
      <c r="O186" s="3"/>
      <c r="P186" s="3"/>
      <c r="Q186" s="3"/>
      <c r="R186" s="3"/>
      <c r="S186" s="3"/>
      <c r="T186" s="3"/>
      <c r="U186" s="3"/>
      <c r="V186" s="3"/>
      <c r="W186" s="3"/>
    </row>
    <row r="187" spans="1:23">
      <c r="A187" s="3"/>
      <c r="B187" s="3"/>
      <c r="C187" s="13"/>
      <c r="D187" s="13"/>
      <c r="E187" s="13"/>
      <c r="F187" s="13"/>
      <c r="G187" s="3"/>
      <c r="H187" s="3"/>
      <c r="I187" s="3"/>
      <c r="J187" s="3"/>
      <c r="K187" s="3"/>
      <c r="L187" s="3"/>
      <c r="M187" s="3"/>
      <c r="N187" s="3"/>
      <c r="O187" s="3"/>
      <c r="P187" s="3"/>
      <c r="Q187" s="3"/>
      <c r="R187" s="3"/>
      <c r="S187" s="3"/>
      <c r="T187" s="3"/>
      <c r="U187" s="3"/>
      <c r="V187" s="3"/>
      <c r="W187" s="3"/>
    </row>
    <row r="188" spans="1:23">
      <c r="A188" s="3"/>
      <c r="B188" s="3"/>
      <c r="C188" s="13"/>
      <c r="D188" s="13"/>
      <c r="E188" s="13"/>
      <c r="F188" s="13"/>
      <c r="G188" s="3"/>
      <c r="H188" s="3"/>
      <c r="I188" s="3"/>
      <c r="J188" s="3"/>
      <c r="K188" s="3"/>
      <c r="L188" s="3"/>
      <c r="M188" s="3"/>
      <c r="N188" s="3"/>
      <c r="O188" s="3"/>
      <c r="P188" s="3"/>
      <c r="Q188" s="3"/>
      <c r="R188" s="3"/>
      <c r="S188" s="3"/>
      <c r="T188" s="3"/>
      <c r="U188" s="3"/>
      <c r="V188" s="3"/>
      <c r="W188" s="3"/>
    </row>
    <row r="189" spans="1:23">
      <c r="A189" s="3"/>
      <c r="B189" s="3"/>
      <c r="C189" s="13"/>
      <c r="D189" s="13"/>
      <c r="E189" s="13"/>
      <c r="F189" s="13"/>
      <c r="G189" s="3"/>
      <c r="H189" s="3"/>
      <c r="I189" s="3"/>
      <c r="J189" s="3"/>
      <c r="K189" s="3"/>
      <c r="L189" s="3"/>
      <c r="M189" s="3"/>
      <c r="N189" s="3"/>
      <c r="O189" s="3"/>
      <c r="P189" s="3"/>
      <c r="Q189" s="3"/>
      <c r="R189" s="3"/>
      <c r="S189" s="3"/>
      <c r="T189" s="3"/>
      <c r="U189" s="3"/>
      <c r="V189" s="3"/>
      <c r="W189" s="3"/>
    </row>
    <row r="190" spans="1:23">
      <c r="A190" s="3"/>
      <c r="B190" s="3"/>
      <c r="C190" s="13"/>
      <c r="D190" s="13"/>
      <c r="E190" s="13"/>
      <c r="F190" s="13"/>
      <c r="G190" s="3"/>
      <c r="H190" s="3"/>
      <c r="I190" s="3"/>
      <c r="J190" s="3"/>
      <c r="K190" s="3"/>
      <c r="L190" s="3"/>
      <c r="M190" s="3"/>
      <c r="N190" s="3"/>
      <c r="O190" s="3"/>
      <c r="P190" s="3"/>
      <c r="Q190" s="3"/>
      <c r="R190" s="3"/>
      <c r="S190" s="3"/>
      <c r="T190" s="3"/>
      <c r="U190" s="3"/>
      <c r="V190" s="3"/>
      <c r="W190" s="3"/>
    </row>
    <row r="191" spans="1:23">
      <c r="A191" s="3"/>
      <c r="B191" s="3"/>
      <c r="C191" s="13"/>
      <c r="D191" s="13"/>
      <c r="E191" s="13"/>
      <c r="F191" s="13"/>
      <c r="G191" s="3"/>
      <c r="H191" s="3"/>
      <c r="I191" s="3"/>
      <c r="J191" s="3"/>
      <c r="K191" s="3"/>
      <c r="L191" s="3"/>
      <c r="M191" s="3"/>
      <c r="N191" s="3"/>
      <c r="O191" s="3"/>
      <c r="P191" s="3"/>
      <c r="Q191" s="3"/>
      <c r="R191" s="3"/>
      <c r="S191" s="3"/>
      <c r="T191" s="3"/>
      <c r="U191" s="3"/>
      <c r="V191" s="3"/>
      <c r="W191" s="3"/>
    </row>
    <row r="192" spans="1:23">
      <c r="A192" s="3"/>
      <c r="B192" s="3"/>
      <c r="C192" s="13"/>
      <c r="D192" s="13"/>
      <c r="E192" s="13"/>
      <c r="F192" s="13"/>
      <c r="G192" s="3"/>
      <c r="H192" s="3"/>
      <c r="I192" s="3"/>
      <c r="J192" s="3"/>
      <c r="K192" s="3"/>
      <c r="L192" s="3"/>
      <c r="M192" s="3"/>
      <c r="N192" s="3"/>
      <c r="O192" s="3"/>
      <c r="P192" s="3"/>
      <c r="Q192" s="3"/>
      <c r="R192" s="3"/>
      <c r="S192" s="3"/>
      <c r="T192" s="3"/>
      <c r="U192" s="3"/>
      <c r="V192" s="3"/>
      <c r="W192" s="3"/>
    </row>
    <row r="193" spans="1:23">
      <c r="A193" s="3"/>
      <c r="B193" s="3"/>
      <c r="C193" s="13"/>
      <c r="D193" s="13"/>
      <c r="E193" s="13"/>
      <c r="F193" s="13"/>
      <c r="G193" s="3"/>
      <c r="H193" s="3"/>
      <c r="I193" s="3"/>
      <c r="J193" s="3"/>
      <c r="K193" s="3"/>
      <c r="L193" s="3"/>
      <c r="M193" s="3"/>
      <c r="N193" s="3"/>
      <c r="O193" s="3"/>
      <c r="P193" s="3"/>
      <c r="Q193" s="3"/>
      <c r="R193" s="3"/>
      <c r="S193" s="3"/>
      <c r="T193" s="3"/>
      <c r="U193" s="3"/>
      <c r="V193" s="3"/>
      <c r="W193" s="3"/>
    </row>
    <row r="194" spans="1:23">
      <c r="A194" s="3"/>
      <c r="B194" s="3"/>
      <c r="C194" s="13"/>
      <c r="D194" s="13"/>
      <c r="E194" s="13"/>
      <c r="F194" s="13"/>
      <c r="G194" s="3"/>
      <c r="H194" s="3"/>
      <c r="I194" s="3"/>
      <c r="J194" s="3"/>
      <c r="K194" s="3"/>
      <c r="L194" s="3"/>
      <c r="M194" s="3"/>
      <c r="N194" s="3"/>
      <c r="O194" s="3"/>
      <c r="P194" s="3"/>
      <c r="Q194" s="3"/>
      <c r="R194" s="3"/>
      <c r="S194" s="3"/>
      <c r="T194" s="3"/>
      <c r="U194" s="3"/>
      <c r="V194" s="3"/>
      <c r="W194" s="3"/>
    </row>
    <row r="195" spans="1:23">
      <c r="A195" s="3"/>
      <c r="B195" s="3"/>
      <c r="C195" s="13"/>
      <c r="D195" s="13"/>
      <c r="E195" s="13"/>
      <c r="F195" s="13"/>
      <c r="G195" s="3"/>
      <c r="H195" s="3"/>
      <c r="I195" s="3"/>
      <c r="J195" s="3"/>
      <c r="K195" s="3"/>
      <c r="L195" s="3"/>
      <c r="M195" s="3"/>
      <c r="N195" s="3"/>
      <c r="O195" s="3"/>
      <c r="P195" s="3"/>
      <c r="Q195" s="3"/>
      <c r="R195" s="3"/>
      <c r="S195" s="3"/>
      <c r="T195" s="3"/>
      <c r="U195" s="3"/>
      <c r="V195" s="3"/>
      <c r="W195" s="3"/>
    </row>
    <row r="196" spans="1:23">
      <c r="A196" s="3"/>
      <c r="B196" s="3"/>
      <c r="C196" s="13"/>
      <c r="D196" s="13"/>
      <c r="E196" s="13"/>
      <c r="F196" s="13"/>
      <c r="G196" s="3"/>
      <c r="H196" s="3"/>
      <c r="I196" s="3"/>
      <c r="J196" s="3"/>
      <c r="K196" s="3"/>
      <c r="L196" s="3"/>
      <c r="M196" s="3"/>
      <c r="N196" s="3"/>
      <c r="O196" s="3"/>
      <c r="P196" s="3"/>
      <c r="Q196" s="3"/>
      <c r="R196" s="3"/>
      <c r="S196" s="3"/>
      <c r="T196" s="3"/>
      <c r="U196" s="3"/>
      <c r="V196" s="3"/>
      <c r="W196" s="3"/>
    </row>
    <row r="197" spans="1:23">
      <c r="A197" s="3"/>
      <c r="B197" s="3"/>
      <c r="C197" s="13"/>
      <c r="D197" s="13"/>
      <c r="E197" s="13"/>
      <c r="F197" s="13"/>
      <c r="G197" s="3"/>
      <c r="H197" s="3"/>
      <c r="I197" s="3"/>
      <c r="J197" s="3"/>
      <c r="K197" s="3"/>
      <c r="L197" s="3"/>
      <c r="M197" s="3"/>
      <c r="N197" s="3"/>
      <c r="O197" s="3"/>
      <c r="P197" s="3"/>
      <c r="Q197" s="3"/>
      <c r="R197" s="3"/>
      <c r="S197" s="3"/>
      <c r="T197" s="3"/>
      <c r="U197" s="3"/>
      <c r="V197" s="3"/>
      <c r="W197" s="3"/>
    </row>
    <row r="198" spans="1:23">
      <c r="A198" s="3"/>
      <c r="B198" s="3"/>
      <c r="C198" s="13"/>
      <c r="D198" s="13"/>
      <c r="E198" s="13"/>
      <c r="F198" s="13"/>
      <c r="G198" s="3"/>
      <c r="H198" s="3"/>
      <c r="I198" s="3"/>
      <c r="J198" s="3"/>
      <c r="K198" s="3"/>
      <c r="L198" s="3"/>
      <c r="M198" s="3"/>
      <c r="N198" s="3"/>
      <c r="O198" s="3"/>
      <c r="P198" s="3"/>
      <c r="Q198" s="3"/>
      <c r="R198" s="3"/>
      <c r="S198" s="3"/>
      <c r="T198" s="3"/>
      <c r="U198" s="3"/>
      <c r="V198" s="3"/>
      <c r="W198" s="3"/>
    </row>
    <row r="199" spans="1:23">
      <c r="A199" s="3"/>
      <c r="B199" s="3"/>
      <c r="C199" s="13"/>
      <c r="D199" s="13"/>
      <c r="E199" s="13"/>
      <c r="F199" s="13"/>
      <c r="G199" s="3"/>
      <c r="H199" s="3"/>
      <c r="I199" s="3"/>
      <c r="J199" s="3"/>
      <c r="K199" s="3"/>
      <c r="L199" s="3"/>
      <c r="M199" s="3"/>
      <c r="N199" s="3"/>
      <c r="O199" s="3"/>
      <c r="P199" s="3"/>
      <c r="Q199" s="3"/>
      <c r="R199" s="3"/>
      <c r="S199" s="3"/>
      <c r="T199" s="3"/>
      <c r="U199" s="3"/>
      <c r="V199" s="3"/>
      <c r="W199" s="3"/>
    </row>
    <row r="200" spans="1:23">
      <c r="A200" s="3"/>
      <c r="B200" s="3"/>
      <c r="C200" s="13"/>
      <c r="D200" s="13"/>
      <c r="E200" s="13"/>
      <c r="F200" s="13"/>
      <c r="G200" s="3"/>
      <c r="H200" s="3"/>
      <c r="I200" s="3"/>
      <c r="J200" s="3"/>
      <c r="K200" s="3"/>
      <c r="L200" s="3"/>
      <c r="M200" s="3"/>
      <c r="N200" s="3"/>
      <c r="O200" s="3"/>
      <c r="P200" s="3"/>
      <c r="Q200" s="3"/>
      <c r="R200" s="3"/>
      <c r="S200" s="3"/>
      <c r="T200" s="3"/>
      <c r="U200" s="3"/>
      <c r="V200" s="3"/>
      <c r="W200" s="3"/>
    </row>
    <row r="201" spans="1:23">
      <c r="A201" s="3"/>
      <c r="B201" s="3"/>
      <c r="C201" s="13"/>
      <c r="D201" s="13"/>
      <c r="E201" s="13"/>
      <c r="F201" s="13"/>
      <c r="G201" s="3"/>
      <c r="H201" s="3"/>
      <c r="I201" s="3"/>
      <c r="J201" s="3"/>
      <c r="K201" s="3"/>
      <c r="L201" s="3"/>
      <c r="M201" s="3"/>
      <c r="N201" s="3"/>
      <c r="O201" s="3"/>
      <c r="P201" s="3"/>
      <c r="Q201" s="3"/>
      <c r="R201" s="3"/>
      <c r="S201" s="3"/>
      <c r="T201" s="3"/>
      <c r="U201" s="3"/>
      <c r="V201" s="3"/>
      <c r="W201" s="3"/>
    </row>
    <row r="202" spans="1:23">
      <c r="A202" s="3"/>
      <c r="B202" s="3"/>
      <c r="C202" s="13"/>
      <c r="D202" s="13"/>
      <c r="E202" s="13"/>
      <c r="F202" s="13"/>
      <c r="G202" s="3"/>
      <c r="H202" s="3"/>
      <c r="I202" s="3"/>
      <c r="J202" s="3"/>
      <c r="K202" s="3"/>
      <c r="L202" s="3"/>
      <c r="M202" s="3"/>
      <c r="N202" s="3"/>
      <c r="O202" s="3"/>
      <c r="P202" s="3"/>
      <c r="Q202" s="3"/>
      <c r="R202" s="3"/>
      <c r="S202" s="3"/>
      <c r="T202" s="3"/>
      <c r="U202" s="3"/>
      <c r="V202" s="3"/>
      <c r="W202" s="3"/>
    </row>
    <row r="203" spans="1:23">
      <c r="A203" s="3"/>
      <c r="B203" s="3"/>
      <c r="C203" s="13"/>
      <c r="D203" s="13"/>
      <c r="E203" s="13"/>
      <c r="F203" s="13"/>
      <c r="G203" s="3"/>
      <c r="H203" s="3"/>
      <c r="I203" s="3"/>
      <c r="J203" s="3"/>
      <c r="K203" s="3"/>
      <c r="L203" s="3"/>
      <c r="M203" s="3"/>
      <c r="N203" s="3"/>
      <c r="O203" s="3"/>
      <c r="P203" s="3"/>
      <c r="Q203" s="3"/>
      <c r="R203" s="3"/>
      <c r="S203" s="3"/>
      <c r="T203" s="3"/>
      <c r="U203" s="3"/>
      <c r="V203" s="3"/>
      <c r="W203" s="3"/>
    </row>
    <row r="204" spans="1:23">
      <c r="A204" s="3"/>
      <c r="B204" s="3"/>
      <c r="C204" s="13"/>
      <c r="D204" s="13"/>
      <c r="E204" s="13"/>
      <c r="F204" s="13"/>
      <c r="G204" s="3"/>
      <c r="H204" s="3"/>
      <c r="I204" s="3"/>
      <c r="J204" s="3"/>
      <c r="K204" s="3"/>
      <c r="L204" s="3"/>
      <c r="M204" s="3"/>
      <c r="N204" s="3"/>
      <c r="O204" s="3"/>
      <c r="P204" s="3"/>
      <c r="Q204" s="3"/>
      <c r="R204" s="3"/>
      <c r="S204" s="3"/>
      <c r="T204" s="3"/>
      <c r="U204" s="3"/>
      <c r="V204" s="3"/>
      <c r="W204" s="3"/>
    </row>
    <row r="205" spans="1:23">
      <c r="A205" s="3"/>
      <c r="B205" s="3"/>
      <c r="C205" s="13"/>
      <c r="D205" s="13"/>
      <c r="E205" s="13"/>
      <c r="F205" s="13"/>
      <c r="G205" s="3"/>
      <c r="H205" s="3"/>
      <c r="I205" s="3"/>
      <c r="J205" s="3"/>
      <c r="K205" s="3"/>
      <c r="L205" s="3"/>
      <c r="M205" s="3"/>
      <c r="N205" s="3"/>
      <c r="O205" s="3"/>
      <c r="P205" s="3"/>
      <c r="Q205" s="3"/>
      <c r="R205" s="3"/>
      <c r="S205" s="3"/>
      <c r="T205" s="3"/>
      <c r="U205" s="3"/>
      <c r="V205" s="3"/>
      <c r="W205" s="3"/>
    </row>
    <row r="206" spans="1:23">
      <c r="A206" s="3"/>
      <c r="B206" s="3"/>
      <c r="C206" s="13"/>
      <c r="D206" s="13"/>
      <c r="E206" s="13"/>
      <c r="F206" s="13"/>
      <c r="G206" s="3"/>
      <c r="H206" s="3"/>
      <c r="I206" s="3"/>
      <c r="J206" s="3"/>
      <c r="K206" s="3"/>
      <c r="L206" s="3"/>
      <c r="M206" s="3"/>
      <c r="N206" s="3"/>
      <c r="O206" s="3"/>
      <c r="P206" s="3"/>
      <c r="Q206" s="3"/>
      <c r="R206" s="3"/>
      <c r="S206" s="3"/>
      <c r="T206" s="3"/>
      <c r="U206" s="3"/>
      <c r="V206" s="3"/>
      <c r="W206" s="3"/>
    </row>
    <row r="207" spans="1:23">
      <c r="A207" s="3"/>
      <c r="B207" s="3"/>
      <c r="C207" s="13"/>
      <c r="D207" s="13"/>
      <c r="E207" s="13"/>
      <c r="F207" s="13"/>
      <c r="G207" s="3"/>
      <c r="H207" s="3"/>
      <c r="I207" s="3"/>
      <c r="J207" s="3"/>
      <c r="K207" s="3"/>
      <c r="L207" s="3"/>
      <c r="M207" s="3"/>
      <c r="N207" s="3"/>
      <c r="O207" s="3"/>
      <c r="P207" s="3"/>
      <c r="Q207" s="3"/>
      <c r="R207" s="3"/>
      <c r="S207" s="3"/>
      <c r="T207" s="3"/>
      <c r="U207" s="3"/>
      <c r="V207" s="3"/>
      <c r="W207" s="3"/>
    </row>
    <row r="208" spans="1:23">
      <c r="A208" s="3"/>
      <c r="B208" s="3"/>
      <c r="C208" s="13"/>
      <c r="D208" s="13"/>
      <c r="E208" s="13"/>
      <c r="F208" s="13"/>
      <c r="G208" s="3"/>
      <c r="H208" s="3"/>
      <c r="I208" s="3"/>
      <c r="J208" s="3"/>
      <c r="K208" s="3"/>
      <c r="L208" s="3"/>
      <c r="M208" s="3"/>
      <c r="N208" s="3"/>
      <c r="O208" s="3"/>
      <c r="P208" s="3"/>
      <c r="Q208" s="3"/>
      <c r="R208" s="3"/>
      <c r="S208" s="3"/>
      <c r="T208" s="3"/>
      <c r="U208" s="3"/>
      <c r="V208" s="3"/>
      <c r="W208" s="3"/>
    </row>
    <row r="209" spans="1:23">
      <c r="A209" s="3"/>
      <c r="B209" s="3"/>
      <c r="C209" s="13"/>
      <c r="D209" s="13"/>
      <c r="E209" s="13"/>
      <c r="F209" s="13"/>
      <c r="G209" s="3"/>
      <c r="H209" s="3"/>
      <c r="I209" s="3"/>
      <c r="J209" s="3"/>
      <c r="K209" s="3"/>
      <c r="L209" s="3"/>
      <c r="M209" s="3"/>
      <c r="N209" s="3"/>
      <c r="O209" s="3"/>
      <c r="P209" s="3"/>
      <c r="Q209" s="3"/>
      <c r="R209" s="3"/>
      <c r="S209" s="3"/>
      <c r="T209" s="3"/>
      <c r="U209" s="3"/>
      <c r="V209" s="3"/>
      <c r="W209" s="3"/>
    </row>
    <row r="210" spans="1:23">
      <c r="A210" s="3"/>
      <c r="B210" s="3"/>
      <c r="C210" s="13"/>
      <c r="D210" s="13"/>
      <c r="E210" s="13"/>
      <c r="F210" s="13"/>
      <c r="G210" s="3"/>
      <c r="H210" s="3"/>
      <c r="I210" s="3"/>
      <c r="J210" s="3"/>
      <c r="K210" s="3"/>
      <c r="L210" s="3"/>
      <c r="M210" s="3"/>
      <c r="N210" s="3"/>
      <c r="O210" s="3"/>
      <c r="P210" s="3"/>
      <c r="Q210" s="3"/>
      <c r="R210" s="3"/>
      <c r="S210" s="3"/>
      <c r="T210" s="3"/>
      <c r="U210" s="3"/>
      <c r="V210" s="3"/>
      <c r="W210" s="3"/>
    </row>
    <row r="211" spans="1:23">
      <c r="A211" s="3"/>
      <c r="B211" s="3"/>
      <c r="C211" s="13"/>
      <c r="D211" s="13"/>
      <c r="E211" s="13"/>
      <c r="F211" s="13"/>
      <c r="G211" s="3"/>
      <c r="H211" s="3"/>
      <c r="I211" s="3"/>
      <c r="J211" s="3"/>
      <c r="K211" s="3"/>
      <c r="L211" s="3"/>
      <c r="M211" s="3"/>
      <c r="N211" s="3"/>
      <c r="O211" s="3"/>
      <c r="P211" s="3"/>
      <c r="Q211" s="3"/>
      <c r="R211" s="3"/>
      <c r="S211" s="3"/>
      <c r="T211" s="3"/>
      <c r="U211" s="3"/>
      <c r="V211" s="3"/>
      <c r="W211" s="3"/>
    </row>
    <row r="212" spans="1:23">
      <c r="A212" s="3"/>
      <c r="B212" s="3"/>
      <c r="C212" s="13"/>
      <c r="D212" s="13"/>
      <c r="E212" s="13"/>
      <c r="F212" s="13"/>
      <c r="G212" s="3"/>
      <c r="H212" s="3"/>
      <c r="I212" s="3"/>
      <c r="J212" s="3"/>
      <c r="K212" s="3"/>
      <c r="L212" s="3"/>
      <c r="M212" s="3"/>
      <c r="N212" s="3"/>
      <c r="O212" s="3"/>
      <c r="P212" s="3"/>
      <c r="Q212" s="3"/>
      <c r="R212" s="3"/>
      <c r="S212" s="3"/>
      <c r="T212" s="3"/>
      <c r="U212" s="3"/>
      <c r="V212" s="3"/>
      <c r="W212" s="3"/>
    </row>
    <row r="213" spans="1:23">
      <c r="A213" s="3"/>
      <c r="B213" s="3"/>
      <c r="C213" s="13"/>
      <c r="D213" s="13"/>
      <c r="E213" s="13"/>
      <c r="F213" s="13"/>
      <c r="G213" s="3"/>
      <c r="H213" s="3"/>
      <c r="I213" s="3"/>
      <c r="J213" s="3"/>
      <c r="K213" s="3"/>
      <c r="L213" s="3"/>
      <c r="M213" s="3"/>
      <c r="N213" s="3"/>
      <c r="O213" s="3"/>
      <c r="P213" s="3"/>
      <c r="Q213" s="3"/>
      <c r="R213" s="3"/>
      <c r="S213" s="3"/>
      <c r="T213" s="3"/>
      <c r="U213" s="3"/>
      <c r="V213" s="3"/>
      <c r="W213" s="3"/>
    </row>
    <row r="214" spans="1:23">
      <c r="A214" s="3"/>
      <c r="B214" s="3"/>
      <c r="C214" s="13"/>
      <c r="D214" s="13"/>
      <c r="E214" s="13"/>
      <c r="F214" s="13"/>
      <c r="G214" s="3"/>
      <c r="H214" s="3"/>
      <c r="I214" s="3"/>
      <c r="J214" s="3"/>
      <c r="K214" s="3"/>
      <c r="L214" s="3"/>
      <c r="M214" s="3"/>
      <c r="N214" s="3"/>
      <c r="O214" s="3"/>
      <c r="P214" s="3"/>
      <c r="Q214" s="3"/>
      <c r="R214" s="3"/>
      <c r="S214" s="3"/>
      <c r="T214" s="3"/>
      <c r="U214" s="3"/>
      <c r="V214" s="3"/>
      <c r="W214" s="3"/>
    </row>
    <row r="215" spans="1:23">
      <c r="A215" s="3"/>
      <c r="B215" s="3"/>
      <c r="C215" s="13"/>
      <c r="D215" s="13"/>
      <c r="E215" s="13"/>
      <c r="F215" s="13"/>
      <c r="G215" s="3"/>
      <c r="H215" s="3"/>
      <c r="I215" s="3"/>
      <c r="J215" s="3"/>
      <c r="K215" s="3"/>
      <c r="L215" s="3"/>
      <c r="M215" s="3"/>
      <c r="N215" s="3"/>
      <c r="O215" s="3"/>
      <c r="P215" s="3"/>
      <c r="Q215" s="3"/>
      <c r="R215" s="3"/>
      <c r="S215" s="3"/>
      <c r="T215" s="3"/>
      <c r="U215" s="3"/>
      <c r="V215" s="3"/>
      <c r="W215" s="3"/>
    </row>
    <row r="216" spans="1:23">
      <c r="A216" s="3"/>
      <c r="B216" s="3"/>
      <c r="C216" s="13"/>
      <c r="D216" s="13"/>
      <c r="E216" s="13"/>
      <c r="F216" s="13"/>
      <c r="G216" s="3"/>
      <c r="H216" s="3"/>
      <c r="I216" s="3"/>
      <c r="J216" s="3"/>
      <c r="K216" s="3"/>
      <c r="L216" s="3"/>
      <c r="M216" s="3"/>
      <c r="N216" s="3"/>
      <c r="O216" s="3"/>
      <c r="P216" s="3"/>
      <c r="Q216" s="3"/>
      <c r="R216" s="3"/>
      <c r="S216" s="3"/>
      <c r="T216" s="3"/>
      <c r="U216" s="3"/>
      <c r="V216" s="3"/>
      <c r="W216" s="3"/>
    </row>
    <row r="217" spans="1:23">
      <c r="A217" s="3"/>
      <c r="B217" s="3"/>
      <c r="C217" s="13"/>
      <c r="D217" s="13"/>
      <c r="E217" s="13"/>
      <c r="F217" s="13"/>
      <c r="G217" s="3"/>
      <c r="H217" s="3"/>
      <c r="I217" s="3"/>
      <c r="J217" s="3"/>
      <c r="K217" s="3"/>
      <c r="L217" s="3"/>
      <c r="M217" s="3"/>
      <c r="N217" s="3"/>
      <c r="O217" s="3"/>
      <c r="P217" s="3"/>
      <c r="Q217" s="3"/>
      <c r="R217" s="3"/>
      <c r="S217" s="3"/>
      <c r="T217" s="3"/>
      <c r="U217" s="3"/>
      <c r="V217" s="3"/>
      <c r="W217" s="3"/>
    </row>
    <row r="218" spans="1:23">
      <c r="A218" s="3"/>
      <c r="B218" s="3"/>
      <c r="C218" s="13"/>
      <c r="D218" s="13"/>
      <c r="E218" s="13"/>
      <c r="F218" s="13"/>
      <c r="G218" s="3"/>
      <c r="H218" s="3"/>
      <c r="I218" s="3"/>
      <c r="J218" s="3"/>
      <c r="K218" s="3"/>
      <c r="L218" s="3"/>
      <c r="M218" s="3"/>
      <c r="N218" s="3"/>
      <c r="O218" s="3"/>
      <c r="P218" s="3"/>
      <c r="Q218" s="3"/>
      <c r="R218" s="3"/>
      <c r="S218" s="3"/>
      <c r="T218" s="3"/>
      <c r="U218" s="3"/>
      <c r="V218" s="3"/>
      <c r="W218" s="3"/>
    </row>
    <row r="219" spans="1:23">
      <c r="A219" s="3"/>
      <c r="B219" s="3"/>
      <c r="C219" s="13"/>
      <c r="D219" s="13"/>
      <c r="E219" s="13"/>
      <c r="F219" s="13"/>
      <c r="G219" s="3"/>
      <c r="H219" s="3"/>
      <c r="I219" s="3"/>
      <c r="J219" s="3"/>
      <c r="K219" s="3"/>
      <c r="L219" s="3"/>
      <c r="M219" s="3"/>
      <c r="N219" s="3"/>
      <c r="O219" s="3"/>
      <c r="P219" s="3"/>
      <c r="Q219" s="3"/>
      <c r="R219" s="3"/>
      <c r="S219" s="3"/>
      <c r="T219" s="3"/>
      <c r="U219" s="3"/>
      <c r="V219" s="3"/>
      <c r="W219" s="3"/>
    </row>
    <row r="220" spans="1:23">
      <c r="A220" s="3"/>
      <c r="B220" s="3"/>
      <c r="C220" s="13"/>
      <c r="D220" s="13"/>
      <c r="E220" s="13"/>
      <c r="F220" s="13"/>
      <c r="G220" s="3"/>
      <c r="H220" s="3"/>
      <c r="I220" s="3"/>
      <c r="J220" s="3"/>
      <c r="K220" s="3"/>
      <c r="L220" s="3"/>
      <c r="M220" s="3"/>
      <c r="N220" s="3"/>
      <c r="O220" s="3"/>
      <c r="P220" s="3"/>
      <c r="Q220" s="3"/>
      <c r="R220" s="3"/>
      <c r="S220" s="3"/>
      <c r="T220" s="3"/>
      <c r="U220" s="3"/>
      <c r="V220" s="3"/>
      <c r="W220" s="3"/>
    </row>
    <row r="221" spans="1:23">
      <c r="A221" s="3"/>
      <c r="B221" s="3"/>
      <c r="C221" s="13"/>
      <c r="D221" s="13"/>
      <c r="E221" s="13"/>
      <c r="F221" s="13"/>
      <c r="G221" s="3"/>
      <c r="H221" s="3"/>
      <c r="I221" s="3"/>
      <c r="J221" s="3"/>
      <c r="K221" s="3"/>
      <c r="L221" s="3"/>
      <c r="M221" s="3"/>
      <c r="N221" s="3"/>
      <c r="O221" s="3"/>
      <c r="P221" s="3"/>
      <c r="Q221" s="3"/>
      <c r="R221" s="3"/>
      <c r="S221" s="3"/>
      <c r="T221" s="3"/>
      <c r="U221" s="3"/>
      <c r="V221" s="3"/>
      <c r="W221" s="3"/>
    </row>
    <row r="222" spans="1:23">
      <c r="A222" s="3"/>
      <c r="B222" s="3"/>
      <c r="C222" s="13"/>
      <c r="D222" s="13"/>
      <c r="E222" s="13"/>
      <c r="F222" s="13"/>
      <c r="G222" s="3"/>
      <c r="H222" s="3"/>
      <c r="I222" s="3"/>
      <c r="J222" s="3"/>
      <c r="K222" s="3"/>
      <c r="L222" s="3"/>
      <c r="M222" s="3"/>
      <c r="N222" s="3"/>
      <c r="O222" s="3"/>
      <c r="P222" s="3"/>
      <c r="Q222" s="3"/>
      <c r="R222" s="3"/>
      <c r="S222" s="3"/>
      <c r="T222" s="3"/>
      <c r="U222" s="3"/>
      <c r="V222" s="3"/>
      <c r="W222" s="3"/>
    </row>
    <row r="223" spans="1:23">
      <c r="A223" s="3"/>
      <c r="B223" s="3"/>
      <c r="C223" s="13"/>
      <c r="D223" s="13"/>
      <c r="E223" s="13"/>
      <c r="F223" s="13"/>
      <c r="G223" s="3"/>
      <c r="H223" s="3"/>
      <c r="I223" s="3"/>
      <c r="J223" s="3"/>
      <c r="K223" s="3"/>
      <c r="L223" s="3"/>
      <c r="M223" s="3"/>
      <c r="N223" s="3"/>
      <c r="O223" s="3"/>
      <c r="P223" s="3"/>
      <c r="Q223" s="3"/>
      <c r="R223" s="3"/>
      <c r="S223" s="3"/>
      <c r="T223" s="3"/>
      <c r="U223" s="3"/>
      <c r="V223" s="3"/>
      <c r="W223" s="3"/>
    </row>
    <row r="224" spans="1:23">
      <c r="A224" s="3"/>
      <c r="B224" s="3"/>
      <c r="C224" s="13"/>
      <c r="D224" s="13"/>
      <c r="E224" s="13"/>
      <c r="F224" s="13"/>
      <c r="G224" s="3"/>
      <c r="H224" s="3"/>
      <c r="I224" s="3"/>
      <c r="J224" s="3"/>
      <c r="K224" s="3"/>
      <c r="L224" s="3"/>
      <c r="M224" s="3"/>
      <c r="N224" s="3"/>
      <c r="O224" s="3"/>
      <c r="P224" s="3"/>
      <c r="Q224" s="3"/>
      <c r="R224" s="3"/>
      <c r="S224" s="3"/>
      <c r="T224" s="3"/>
      <c r="U224" s="3"/>
      <c r="V224" s="3"/>
      <c r="W224" s="3"/>
    </row>
    <row r="225" spans="1:23">
      <c r="A225" s="3"/>
      <c r="B225" s="3"/>
      <c r="C225" s="13"/>
      <c r="D225" s="13"/>
      <c r="E225" s="13"/>
      <c r="F225" s="13"/>
      <c r="G225" s="3"/>
      <c r="H225" s="3"/>
      <c r="I225" s="3"/>
      <c r="J225" s="3"/>
      <c r="K225" s="3"/>
      <c r="L225" s="3"/>
      <c r="M225" s="3"/>
      <c r="N225" s="3"/>
      <c r="O225" s="3"/>
      <c r="P225" s="3"/>
      <c r="Q225" s="3"/>
      <c r="R225" s="3"/>
      <c r="S225" s="3"/>
      <c r="T225" s="3"/>
      <c r="U225" s="3"/>
      <c r="V225" s="3"/>
      <c r="W225" s="3"/>
    </row>
    <row r="226" spans="1:23">
      <c r="A226" s="3"/>
      <c r="B226" s="3"/>
      <c r="C226" s="13"/>
      <c r="D226" s="13"/>
      <c r="E226" s="13"/>
      <c r="F226" s="13"/>
      <c r="G226" s="3"/>
      <c r="H226" s="3"/>
      <c r="I226" s="3"/>
      <c r="J226" s="3"/>
      <c r="K226" s="3"/>
      <c r="L226" s="3"/>
      <c r="M226" s="3"/>
      <c r="N226" s="3"/>
      <c r="O226" s="3"/>
      <c r="P226" s="3"/>
      <c r="Q226" s="3"/>
      <c r="R226" s="3"/>
      <c r="S226" s="3"/>
      <c r="T226" s="3"/>
      <c r="U226" s="3"/>
      <c r="V226" s="3"/>
      <c r="W226" s="3"/>
    </row>
    <row r="227" spans="1:23">
      <c r="A227" s="3"/>
      <c r="B227" s="3"/>
      <c r="C227" s="13"/>
      <c r="D227" s="13"/>
      <c r="E227" s="13"/>
      <c r="F227" s="13"/>
      <c r="G227" s="3"/>
      <c r="H227" s="3"/>
      <c r="I227" s="3"/>
      <c r="J227" s="3"/>
      <c r="K227" s="3"/>
      <c r="L227" s="3"/>
      <c r="M227" s="3"/>
      <c r="N227" s="3"/>
      <c r="O227" s="3"/>
      <c r="P227" s="3"/>
      <c r="Q227" s="3"/>
      <c r="R227" s="3"/>
      <c r="S227" s="3"/>
      <c r="T227" s="3"/>
      <c r="U227" s="3"/>
      <c r="V227" s="3"/>
      <c r="W227" s="3"/>
    </row>
    <row r="228" spans="1:23">
      <c r="A228" s="3"/>
      <c r="B228" s="3"/>
      <c r="C228" s="13"/>
      <c r="D228" s="13"/>
      <c r="E228" s="13"/>
      <c r="F228" s="13"/>
      <c r="G228" s="3"/>
      <c r="H228" s="3"/>
      <c r="I228" s="3"/>
      <c r="J228" s="3"/>
      <c r="K228" s="3"/>
      <c r="L228" s="3"/>
      <c r="M228" s="3"/>
      <c r="N228" s="3"/>
      <c r="O228" s="3"/>
      <c r="P228" s="3"/>
      <c r="Q228" s="3"/>
      <c r="R228" s="3"/>
      <c r="S228" s="3"/>
      <c r="T228" s="3"/>
      <c r="U228" s="3"/>
      <c r="V228" s="3"/>
      <c r="W228" s="3"/>
    </row>
    <row r="229" spans="1:23">
      <c r="A229" s="3"/>
      <c r="B229" s="3"/>
      <c r="C229" s="13"/>
      <c r="D229" s="13"/>
      <c r="E229" s="13"/>
      <c r="F229" s="13"/>
      <c r="G229" s="3"/>
      <c r="H229" s="3"/>
      <c r="I229" s="3"/>
      <c r="J229" s="3"/>
      <c r="K229" s="3"/>
      <c r="L229" s="3"/>
      <c r="M229" s="3"/>
      <c r="N229" s="3"/>
      <c r="O229" s="3"/>
      <c r="P229" s="3"/>
      <c r="Q229" s="3"/>
      <c r="R229" s="3"/>
      <c r="S229" s="3"/>
      <c r="T229" s="3"/>
      <c r="U229" s="3"/>
      <c r="V229" s="3"/>
      <c r="W229" s="3"/>
    </row>
    <row r="230" spans="1:23">
      <c r="A230" s="3"/>
      <c r="B230" s="3"/>
      <c r="C230" s="13"/>
      <c r="D230" s="13"/>
      <c r="E230" s="13"/>
      <c r="F230" s="13"/>
      <c r="G230" s="3"/>
      <c r="H230" s="3"/>
      <c r="I230" s="3"/>
      <c r="J230" s="3"/>
      <c r="K230" s="3"/>
      <c r="L230" s="3"/>
      <c r="M230" s="3"/>
      <c r="N230" s="3"/>
      <c r="O230" s="3"/>
      <c r="P230" s="3"/>
      <c r="Q230" s="3"/>
      <c r="R230" s="3"/>
      <c r="S230" s="3"/>
      <c r="T230" s="3"/>
      <c r="U230" s="3"/>
      <c r="V230" s="3"/>
      <c r="W230" s="3"/>
    </row>
    <row r="231" spans="1:23">
      <c r="A231" s="3"/>
      <c r="B231" s="3"/>
      <c r="C231" s="13"/>
      <c r="D231" s="13"/>
      <c r="E231" s="13"/>
      <c r="F231" s="13"/>
      <c r="G231" s="3"/>
      <c r="H231" s="3"/>
      <c r="I231" s="3"/>
      <c r="J231" s="3"/>
      <c r="K231" s="3"/>
      <c r="L231" s="3"/>
      <c r="M231" s="3"/>
      <c r="N231" s="3"/>
      <c r="O231" s="3"/>
      <c r="P231" s="3"/>
      <c r="Q231" s="3"/>
      <c r="R231" s="3"/>
      <c r="S231" s="3"/>
      <c r="T231" s="3"/>
      <c r="U231" s="3"/>
      <c r="V231" s="3"/>
      <c r="W231" s="3"/>
    </row>
    <row r="232" spans="1:23">
      <c r="A232" s="3"/>
      <c r="B232" s="3"/>
      <c r="C232" s="13"/>
      <c r="D232" s="13"/>
      <c r="E232" s="13"/>
      <c r="F232" s="13"/>
      <c r="G232" s="3"/>
      <c r="H232" s="3"/>
      <c r="I232" s="3"/>
      <c r="J232" s="3"/>
      <c r="K232" s="3"/>
      <c r="L232" s="3"/>
      <c r="M232" s="3"/>
      <c r="N232" s="3"/>
      <c r="O232" s="3"/>
      <c r="P232" s="3"/>
      <c r="Q232" s="3"/>
      <c r="R232" s="3"/>
      <c r="S232" s="3"/>
      <c r="T232" s="3"/>
      <c r="U232" s="3"/>
      <c r="V232" s="3"/>
      <c r="W232" s="3"/>
    </row>
    <row r="233" spans="1:23">
      <c r="A233" s="3"/>
      <c r="B233" s="3"/>
      <c r="C233" s="13"/>
      <c r="D233" s="13"/>
      <c r="E233" s="13"/>
      <c r="F233" s="13"/>
      <c r="G233" s="3"/>
      <c r="H233" s="3"/>
      <c r="I233" s="3"/>
      <c r="J233" s="3"/>
      <c r="K233" s="3"/>
      <c r="L233" s="3"/>
      <c r="M233" s="3"/>
      <c r="N233" s="3"/>
      <c r="O233" s="3"/>
      <c r="P233" s="3"/>
      <c r="Q233" s="3"/>
      <c r="R233" s="3"/>
      <c r="S233" s="3"/>
      <c r="T233" s="3"/>
      <c r="U233" s="3"/>
      <c r="V233" s="3"/>
      <c r="W233" s="3"/>
    </row>
    <row r="234" spans="1:23">
      <c r="A234" s="3"/>
      <c r="B234" s="3"/>
      <c r="C234" s="13"/>
      <c r="D234" s="13"/>
      <c r="E234" s="13"/>
      <c r="F234" s="13"/>
      <c r="G234" s="3"/>
      <c r="H234" s="3"/>
      <c r="I234" s="3"/>
      <c r="J234" s="3"/>
      <c r="K234" s="3"/>
      <c r="L234" s="3"/>
      <c r="M234" s="3"/>
      <c r="N234" s="3"/>
      <c r="O234" s="3"/>
      <c r="P234" s="3"/>
      <c r="Q234" s="3"/>
      <c r="R234" s="3"/>
      <c r="S234" s="3"/>
      <c r="T234" s="3"/>
      <c r="U234" s="3"/>
      <c r="V234" s="3"/>
      <c r="W234" s="3"/>
    </row>
    <row r="235" spans="1:23">
      <c r="A235" s="3"/>
      <c r="B235" s="3"/>
      <c r="C235" s="13"/>
      <c r="D235" s="13"/>
      <c r="E235" s="13"/>
      <c r="F235" s="13"/>
      <c r="G235" s="3"/>
      <c r="H235" s="3"/>
      <c r="I235" s="3"/>
      <c r="J235" s="3"/>
      <c r="K235" s="3"/>
      <c r="L235" s="3"/>
      <c r="M235" s="3"/>
      <c r="N235" s="3"/>
      <c r="O235" s="3"/>
      <c r="P235" s="3"/>
      <c r="Q235" s="3"/>
      <c r="R235" s="3"/>
      <c r="S235" s="3"/>
      <c r="T235" s="3"/>
      <c r="U235" s="3"/>
      <c r="V235" s="3"/>
      <c r="W235" s="3"/>
    </row>
    <row r="236" spans="1:23">
      <c r="A236" s="3"/>
      <c r="B236" s="3"/>
      <c r="C236" s="13"/>
      <c r="D236" s="13"/>
      <c r="E236" s="13"/>
      <c r="F236" s="13"/>
      <c r="G236" s="3"/>
      <c r="H236" s="3"/>
      <c r="I236" s="3"/>
      <c r="J236" s="3"/>
      <c r="K236" s="3"/>
      <c r="L236" s="3"/>
      <c r="M236" s="3"/>
      <c r="N236" s="3"/>
      <c r="O236" s="3"/>
      <c r="P236" s="3"/>
      <c r="Q236" s="3"/>
      <c r="R236" s="3"/>
      <c r="S236" s="3"/>
      <c r="T236" s="3"/>
      <c r="U236" s="3"/>
      <c r="V236" s="3"/>
      <c r="W236" s="3"/>
    </row>
    <row r="237" spans="1:23">
      <c r="A237" s="3"/>
      <c r="B237" s="3"/>
      <c r="C237" s="13"/>
      <c r="D237" s="13"/>
      <c r="E237" s="13"/>
      <c r="F237" s="13"/>
      <c r="G237" s="3"/>
      <c r="H237" s="3"/>
      <c r="I237" s="3"/>
      <c r="J237" s="3"/>
      <c r="K237" s="3"/>
      <c r="L237" s="3"/>
      <c r="M237" s="3"/>
      <c r="N237" s="3"/>
      <c r="O237" s="3"/>
      <c r="P237" s="3"/>
      <c r="Q237" s="3"/>
      <c r="R237" s="3"/>
      <c r="S237" s="3"/>
      <c r="T237" s="3"/>
      <c r="U237" s="3"/>
      <c r="V237" s="3"/>
      <c r="W237" s="3"/>
    </row>
    <row r="238" spans="1:23">
      <c r="A238" s="3"/>
      <c r="B238" s="3"/>
      <c r="C238" s="13"/>
      <c r="D238" s="13"/>
      <c r="E238" s="13"/>
      <c r="F238" s="13"/>
      <c r="G238" s="3"/>
      <c r="H238" s="3"/>
      <c r="I238" s="3"/>
      <c r="J238" s="3"/>
      <c r="K238" s="3"/>
      <c r="L238" s="3"/>
      <c r="M238" s="3"/>
      <c r="N238" s="3"/>
      <c r="O238" s="3"/>
      <c r="P238" s="3"/>
      <c r="Q238" s="3"/>
      <c r="R238" s="3"/>
      <c r="S238" s="3"/>
      <c r="T238" s="3"/>
      <c r="U238" s="3"/>
      <c r="V238" s="3"/>
      <c r="W238" s="3"/>
    </row>
    <row r="239" spans="1:23">
      <c r="A239" s="3"/>
      <c r="B239" s="3"/>
      <c r="C239" s="13"/>
      <c r="D239" s="13"/>
      <c r="E239" s="13"/>
      <c r="F239" s="13"/>
      <c r="G239" s="3"/>
      <c r="H239" s="3"/>
      <c r="I239" s="3"/>
      <c r="J239" s="3"/>
      <c r="K239" s="3"/>
      <c r="L239" s="3"/>
      <c r="M239" s="3"/>
      <c r="N239" s="3"/>
      <c r="O239" s="3"/>
      <c r="P239" s="3"/>
      <c r="Q239" s="3"/>
      <c r="R239" s="3"/>
      <c r="S239" s="3"/>
      <c r="T239" s="3"/>
      <c r="U239" s="3"/>
      <c r="V239" s="3"/>
      <c r="W239" s="3"/>
    </row>
    <row r="240" spans="1:23">
      <c r="A240" s="3"/>
      <c r="B240" s="3"/>
      <c r="C240" s="13"/>
      <c r="D240" s="13"/>
      <c r="E240" s="13"/>
      <c r="F240" s="13"/>
      <c r="G240" s="3"/>
      <c r="H240" s="3"/>
      <c r="I240" s="3"/>
      <c r="J240" s="3"/>
      <c r="K240" s="3"/>
      <c r="L240" s="3"/>
      <c r="M240" s="3"/>
      <c r="N240" s="3"/>
      <c r="O240" s="3"/>
      <c r="P240" s="3"/>
      <c r="Q240" s="3"/>
      <c r="R240" s="3"/>
      <c r="S240" s="3"/>
      <c r="T240" s="3"/>
      <c r="U240" s="3"/>
      <c r="V240" s="3"/>
      <c r="W240" s="3"/>
    </row>
    <row r="241" spans="1:23">
      <c r="A241" s="3"/>
      <c r="B241" s="3"/>
      <c r="C241" s="13"/>
      <c r="D241" s="13"/>
      <c r="E241" s="13"/>
      <c r="F241" s="13"/>
      <c r="G241" s="3"/>
      <c r="H241" s="3"/>
      <c r="I241" s="3"/>
      <c r="J241" s="3"/>
      <c r="K241" s="3"/>
      <c r="L241" s="3"/>
      <c r="M241" s="3"/>
      <c r="N241" s="3"/>
      <c r="O241" s="3"/>
      <c r="P241" s="3"/>
      <c r="Q241" s="3"/>
      <c r="R241" s="3"/>
      <c r="S241" s="3"/>
      <c r="T241" s="3"/>
      <c r="U241" s="3"/>
      <c r="V241" s="3"/>
      <c r="W241" s="3"/>
    </row>
    <row r="242" spans="1:23">
      <c r="A242" s="3"/>
      <c r="B242" s="3"/>
      <c r="C242" s="13"/>
      <c r="D242" s="13"/>
      <c r="E242" s="13"/>
      <c r="F242" s="13"/>
      <c r="G242" s="3"/>
      <c r="H242" s="3"/>
      <c r="I242" s="3"/>
      <c r="J242" s="3"/>
      <c r="K242" s="3"/>
      <c r="L242" s="3"/>
      <c r="M242" s="3"/>
      <c r="N242" s="3"/>
      <c r="O242" s="3"/>
      <c r="P242" s="3"/>
      <c r="Q242" s="3"/>
      <c r="R242" s="3"/>
      <c r="S242" s="3"/>
      <c r="T242" s="3"/>
      <c r="U242" s="3"/>
      <c r="V242" s="3"/>
      <c r="W242" s="3"/>
    </row>
    <row r="243" spans="1:23">
      <c r="A243" s="3"/>
      <c r="B243" s="3"/>
      <c r="C243" s="13"/>
      <c r="D243" s="13"/>
      <c r="E243" s="13"/>
      <c r="F243" s="13"/>
      <c r="G243" s="3"/>
      <c r="H243" s="3"/>
      <c r="I243" s="3"/>
      <c r="J243" s="3"/>
      <c r="K243" s="3"/>
      <c r="L243" s="3"/>
      <c r="M243" s="3"/>
      <c r="N243" s="3"/>
      <c r="O243" s="3"/>
      <c r="P243" s="3"/>
      <c r="Q243" s="3"/>
      <c r="R243" s="3"/>
      <c r="S243" s="3"/>
      <c r="T243" s="3"/>
      <c r="U243" s="3"/>
      <c r="V243" s="3"/>
      <c r="W243" s="3"/>
    </row>
    <row r="244" spans="1:23">
      <c r="A244" s="3"/>
      <c r="B244" s="3"/>
      <c r="C244" s="13"/>
      <c r="D244" s="13"/>
      <c r="E244" s="13"/>
      <c r="F244" s="13"/>
      <c r="G244" s="3"/>
      <c r="H244" s="3"/>
      <c r="I244" s="3"/>
      <c r="J244" s="3"/>
      <c r="K244" s="3"/>
      <c r="L244" s="3"/>
      <c r="M244" s="3"/>
      <c r="N244" s="3"/>
      <c r="O244" s="3"/>
      <c r="P244" s="3"/>
      <c r="Q244" s="3"/>
      <c r="R244" s="3"/>
      <c r="S244" s="3"/>
      <c r="T244" s="3"/>
      <c r="U244" s="3"/>
      <c r="V244" s="3"/>
      <c r="W244" s="3"/>
    </row>
    <row r="245" spans="1:23">
      <c r="A245" s="3"/>
      <c r="B245" s="3"/>
      <c r="C245" s="13"/>
      <c r="D245" s="13"/>
      <c r="E245" s="13"/>
      <c r="F245" s="13"/>
      <c r="G245" s="3"/>
      <c r="H245" s="3"/>
      <c r="I245" s="3"/>
      <c r="J245" s="3"/>
      <c r="K245" s="3"/>
      <c r="L245" s="3"/>
      <c r="M245" s="3"/>
      <c r="N245" s="3"/>
      <c r="O245" s="3"/>
      <c r="P245" s="3"/>
      <c r="Q245" s="3"/>
      <c r="R245" s="3"/>
      <c r="S245" s="3"/>
      <c r="T245" s="3"/>
      <c r="U245" s="3"/>
      <c r="V245" s="3"/>
      <c r="W245" s="3"/>
    </row>
    <row r="246" spans="1:23">
      <c r="A246" s="3"/>
      <c r="B246" s="3"/>
      <c r="C246" s="13"/>
      <c r="D246" s="13"/>
      <c r="E246" s="13"/>
      <c r="F246" s="13"/>
      <c r="G246" s="3"/>
      <c r="H246" s="3"/>
      <c r="I246" s="3"/>
      <c r="J246" s="3"/>
      <c r="K246" s="3"/>
      <c r="L246" s="3"/>
      <c r="M246" s="3"/>
      <c r="N246" s="3"/>
      <c r="O246" s="3"/>
      <c r="P246" s="3"/>
      <c r="Q246" s="3"/>
      <c r="R246" s="3"/>
      <c r="S246" s="3"/>
      <c r="T246" s="3"/>
      <c r="U246" s="3"/>
      <c r="V246" s="3"/>
      <c r="W246" s="3"/>
    </row>
    <row r="247" spans="1:23">
      <c r="A247" s="3"/>
      <c r="B247" s="3"/>
      <c r="C247" s="13"/>
      <c r="D247" s="13"/>
      <c r="E247" s="13"/>
      <c r="F247" s="13"/>
      <c r="G247" s="3"/>
      <c r="H247" s="3"/>
      <c r="I247" s="3"/>
      <c r="J247" s="3"/>
      <c r="K247" s="3"/>
      <c r="L247" s="3"/>
      <c r="M247" s="3"/>
      <c r="N247" s="3"/>
      <c r="O247" s="3"/>
      <c r="P247" s="3"/>
      <c r="Q247" s="3"/>
      <c r="R247" s="3"/>
      <c r="S247" s="3"/>
      <c r="T247" s="3"/>
      <c r="U247" s="3"/>
      <c r="V247" s="3"/>
      <c r="W247" s="3"/>
    </row>
    <row r="248" spans="1:23">
      <c r="A248" s="3"/>
      <c r="B248" s="3"/>
      <c r="C248" s="13"/>
      <c r="D248" s="13"/>
      <c r="E248" s="13"/>
      <c r="F248" s="13"/>
      <c r="G248" s="3"/>
      <c r="H248" s="3"/>
      <c r="I248" s="3"/>
      <c r="J248" s="3"/>
      <c r="K248" s="3"/>
      <c r="L248" s="3"/>
      <c r="M248" s="3"/>
      <c r="N248" s="3"/>
      <c r="O248" s="3"/>
      <c r="P248" s="3"/>
      <c r="Q248" s="3"/>
      <c r="R248" s="3"/>
      <c r="S248" s="3"/>
      <c r="T248" s="3"/>
      <c r="U248" s="3"/>
      <c r="V248" s="3"/>
      <c r="W248" s="3"/>
    </row>
    <row r="249" spans="1:23">
      <c r="A249" s="3"/>
      <c r="B249" s="3"/>
      <c r="C249" s="13"/>
      <c r="D249" s="13"/>
      <c r="E249" s="13"/>
      <c r="F249" s="13"/>
      <c r="G249" s="3"/>
      <c r="H249" s="3"/>
      <c r="I249" s="3"/>
      <c r="J249" s="3"/>
      <c r="K249" s="3"/>
      <c r="L249" s="3"/>
      <c r="M249" s="3"/>
      <c r="N249" s="3"/>
      <c r="O249" s="3"/>
      <c r="P249" s="3"/>
      <c r="Q249" s="3"/>
      <c r="R249" s="3"/>
      <c r="S249" s="3"/>
      <c r="T249" s="3"/>
      <c r="U249" s="3"/>
      <c r="V249" s="3"/>
      <c r="W249" s="3"/>
    </row>
    <row r="250" spans="1:23">
      <c r="A250" s="3"/>
      <c r="B250" s="3"/>
      <c r="C250" s="13"/>
      <c r="D250" s="13"/>
      <c r="E250" s="13"/>
      <c r="F250" s="13"/>
      <c r="G250" s="3"/>
      <c r="H250" s="3"/>
      <c r="I250" s="3"/>
      <c r="J250" s="3"/>
      <c r="K250" s="3"/>
      <c r="L250" s="3"/>
      <c r="M250" s="3"/>
      <c r="N250" s="3"/>
      <c r="O250" s="3"/>
      <c r="P250" s="3"/>
      <c r="Q250" s="3"/>
      <c r="R250" s="3"/>
      <c r="S250" s="3"/>
      <c r="T250" s="3"/>
      <c r="U250" s="3"/>
      <c r="V250" s="3"/>
      <c r="W250" s="3"/>
    </row>
    <row r="251" spans="1:23">
      <c r="A251" s="3"/>
      <c r="B251" s="3"/>
      <c r="C251" s="13"/>
      <c r="D251" s="13"/>
      <c r="E251" s="13"/>
      <c r="F251" s="13"/>
      <c r="G251" s="3"/>
      <c r="H251" s="3"/>
      <c r="I251" s="3"/>
      <c r="J251" s="3"/>
      <c r="K251" s="3"/>
      <c r="L251" s="3"/>
      <c r="M251" s="3"/>
      <c r="N251" s="3"/>
      <c r="O251" s="3"/>
      <c r="P251" s="3"/>
      <c r="Q251" s="3"/>
      <c r="R251" s="3"/>
      <c r="S251" s="3"/>
      <c r="T251" s="3"/>
      <c r="U251" s="3"/>
      <c r="V251" s="3"/>
      <c r="W251" s="3"/>
    </row>
    <row r="252" spans="1:23">
      <c r="A252" s="3"/>
      <c r="B252" s="3"/>
      <c r="C252" s="13"/>
      <c r="D252" s="13"/>
      <c r="E252" s="13"/>
      <c r="F252" s="13"/>
      <c r="G252" s="3"/>
      <c r="H252" s="3"/>
      <c r="I252" s="3"/>
      <c r="J252" s="3"/>
      <c r="K252" s="3"/>
      <c r="L252" s="3"/>
      <c r="M252" s="3"/>
      <c r="N252" s="3"/>
      <c r="O252" s="3"/>
      <c r="P252" s="3"/>
      <c r="Q252" s="3"/>
      <c r="R252" s="3"/>
      <c r="S252" s="3"/>
      <c r="T252" s="3"/>
      <c r="U252" s="3"/>
      <c r="V252" s="3"/>
      <c r="W252" s="3"/>
    </row>
    <row r="253" spans="1:23">
      <c r="A253" s="3"/>
      <c r="B253" s="3"/>
      <c r="C253" s="13"/>
      <c r="D253" s="13"/>
      <c r="E253" s="13"/>
      <c r="F253" s="13"/>
      <c r="G253" s="3"/>
      <c r="H253" s="3"/>
      <c r="I253" s="3"/>
      <c r="J253" s="3"/>
      <c r="K253" s="3"/>
      <c r="L253" s="3"/>
      <c r="M253" s="3"/>
      <c r="N253" s="3"/>
      <c r="O253" s="3"/>
      <c r="P253" s="3"/>
      <c r="Q253" s="3"/>
      <c r="R253" s="3"/>
      <c r="S253" s="3"/>
      <c r="T253" s="3"/>
      <c r="U253" s="3"/>
      <c r="V253" s="3"/>
      <c r="W253" s="3"/>
    </row>
    <row r="254" spans="1:23">
      <c r="A254" s="3"/>
      <c r="B254" s="3"/>
      <c r="C254" s="13"/>
      <c r="D254" s="13"/>
      <c r="E254" s="13"/>
      <c r="F254" s="13"/>
      <c r="G254" s="3"/>
      <c r="H254" s="3"/>
      <c r="I254" s="3"/>
      <c r="J254" s="3"/>
      <c r="K254" s="3"/>
      <c r="L254" s="3"/>
      <c r="M254" s="3"/>
      <c r="N254" s="3"/>
      <c r="O254" s="3"/>
      <c r="P254" s="3"/>
      <c r="Q254" s="3"/>
      <c r="R254" s="3"/>
      <c r="S254" s="3"/>
      <c r="T254" s="3"/>
      <c r="U254" s="3"/>
      <c r="V254" s="3"/>
      <c r="W254" s="3"/>
    </row>
    <row r="255" spans="1:23">
      <c r="A255" s="3"/>
      <c r="B255" s="3"/>
      <c r="C255" s="13"/>
      <c r="D255" s="13"/>
      <c r="E255" s="13"/>
      <c r="F255" s="13"/>
      <c r="G255" s="3"/>
      <c r="H255" s="3"/>
      <c r="I255" s="3"/>
      <c r="J255" s="3"/>
      <c r="K255" s="3"/>
      <c r="L255" s="3"/>
      <c r="M255" s="3"/>
      <c r="N255" s="3"/>
      <c r="O255" s="3"/>
      <c r="P255" s="3"/>
      <c r="Q255" s="3"/>
      <c r="R255" s="3"/>
      <c r="S255" s="3"/>
      <c r="T255" s="3"/>
      <c r="U255" s="3"/>
      <c r="V255" s="3"/>
      <c r="W255" s="3"/>
    </row>
    <row r="256" spans="1:23">
      <c r="A256" s="3"/>
      <c r="B256" s="3"/>
      <c r="C256" s="13"/>
      <c r="D256" s="13"/>
      <c r="E256" s="13"/>
      <c r="F256" s="13"/>
      <c r="G256" s="3"/>
      <c r="H256" s="3"/>
      <c r="I256" s="3"/>
      <c r="J256" s="3"/>
      <c r="K256" s="3"/>
      <c r="L256" s="3"/>
      <c r="M256" s="3"/>
      <c r="N256" s="3"/>
      <c r="O256" s="3"/>
      <c r="P256" s="3"/>
      <c r="Q256" s="3"/>
      <c r="R256" s="3"/>
      <c r="S256" s="3"/>
      <c r="T256" s="3"/>
      <c r="U256" s="3"/>
      <c r="V256" s="3"/>
      <c r="W256" s="3"/>
    </row>
    <row r="257" spans="1:23">
      <c r="A257" s="3"/>
      <c r="B257" s="3"/>
      <c r="C257" s="13"/>
      <c r="D257" s="13"/>
      <c r="E257" s="13"/>
      <c r="F257" s="13"/>
      <c r="G257" s="3"/>
      <c r="H257" s="3"/>
      <c r="I257" s="3"/>
      <c r="J257" s="3"/>
      <c r="K257" s="3"/>
      <c r="L257" s="3"/>
      <c r="M257" s="3"/>
      <c r="N257" s="3"/>
      <c r="O257" s="3"/>
      <c r="P257" s="3"/>
      <c r="Q257" s="3"/>
      <c r="R257" s="3"/>
      <c r="S257" s="3"/>
      <c r="T257" s="3"/>
      <c r="U257" s="3"/>
      <c r="V257" s="3"/>
      <c r="W257" s="3"/>
    </row>
    <row r="258" spans="1:23">
      <c r="A258" s="3"/>
      <c r="B258" s="3"/>
      <c r="C258" s="13"/>
      <c r="D258" s="13"/>
      <c r="E258" s="13"/>
      <c r="F258" s="13"/>
      <c r="G258" s="3"/>
      <c r="H258" s="3"/>
      <c r="I258" s="3"/>
      <c r="J258" s="3"/>
      <c r="K258" s="3"/>
      <c r="L258" s="3"/>
      <c r="M258" s="3"/>
      <c r="N258" s="3"/>
      <c r="O258" s="3"/>
      <c r="P258" s="3"/>
      <c r="Q258" s="3"/>
      <c r="R258" s="3"/>
      <c r="S258" s="3"/>
      <c r="T258" s="3"/>
      <c r="U258" s="3"/>
      <c r="V258" s="3"/>
      <c r="W258" s="3"/>
    </row>
    <row r="259" spans="1:23">
      <c r="A259" s="3"/>
      <c r="B259" s="3"/>
      <c r="C259" s="13"/>
      <c r="D259" s="13"/>
      <c r="E259" s="13"/>
      <c r="F259" s="13"/>
      <c r="G259" s="3"/>
      <c r="H259" s="3"/>
      <c r="I259" s="3"/>
      <c r="J259" s="3"/>
      <c r="K259" s="3"/>
      <c r="L259" s="3"/>
      <c r="M259" s="3"/>
      <c r="N259" s="3"/>
      <c r="O259" s="3"/>
      <c r="P259" s="3"/>
      <c r="Q259" s="3"/>
      <c r="R259" s="3"/>
      <c r="S259" s="3"/>
      <c r="T259" s="3"/>
      <c r="U259" s="3"/>
      <c r="V259" s="3"/>
      <c r="W259" s="3"/>
    </row>
    <row r="260" spans="1:23">
      <c r="A260" s="3"/>
      <c r="B260" s="3"/>
      <c r="C260" s="13"/>
      <c r="D260" s="13"/>
      <c r="E260" s="13"/>
      <c r="F260" s="13"/>
      <c r="G260" s="3"/>
      <c r="H260" s="3"/>
      <c r="I260" s="3"/>
      <c r="J260" s="3"/>
      <c r="K260" s="3"/>
      <c r="L260" s="3"/>
      <c r="M260" s="3"/>
      <c r="N260" s="3"/>
      <c r="O260" s="3"/>
      <c r="P260" s="3"/>
      <c r="Q260" s="3"/>
      <c r="R260" s="3"/>
      <c r="S260" s="3"/>
      <c r="T260" s="3"/>
      <c r="U260" s="3"/>
      <c r="V260" s="3"/>
      <c r="W260" s="3"/>
    </row>
    <row r="261" spans="1:23">
      <c r="A261" s="3"/>
      <c r="B261" s="3"/>
      <c r="C261" s="13"/>
      <c r="D261" s="13"/>
      <c r="E261" s="13"/>
      <c r="F261" s="13"/>
      <c r="G261" s="3"/>
      <c r="H261" s="3"/>
      <c r="I261" s="3"/>
      <c r="J261" s="3"/>
      <c r="K261" s="3"/>
      <c r="L261" s="3"/>
      <c r="M261" s="3"/>
      <c r="N261" s="3"/>
      <c r="O261" s="3"/>
      <c r="P261" s="3"/>
      <c r="Q261" s="3"/>
      <c r="R261" s="3"/>
      <c r="S261" s="3"/>
      <c r="T261" s="3"/>
      <c r="U261" s="3"/>
      <c r="V261" s="3"/>
      <c r="W261" s="3"/>
    </row>
    <row r="262" spans="1:23">
      <c r="A262" s="3"/>
      <c r="B262" s="3"/>
      <c r="C262" s="13"/>
      <c r="D262" s="13"/>
      <c r="E262" s="13"/>
      <c r="F262" s="13"/>
      <c r="G262" s="3"/>
      <c r="H262" s="3"/>
      <c r="I262" s="3"/>
      <c r="J262" s="3"/>
      <c r="K262" s="3"/>
      <c r="L262" s="3"/>
      <c r="M262" s="3"/>
      <c r="N262" s="3"/>
      <c r="O262" s="3"/>
      <c r="P262" s="3"/>
      <c r="Q262" s="3"/>
      <c r="R262" s="3"/>
      <c r="S262" s="3"/>
      <c r="T262" s="3"/>
      <c r="U262" s="3"/>
      <c r="V262" s="3"/>
      <c r="W262" s="3"/>
    </row>
    <row r="263" spans="1:23">
      <c r="A263" s="3"/>
      <c r="B263" s="3"/>
      <c r="C263" s="13"/>
      <c r="D263" s="13"/>
      <c r="E263" s="13"/>
      <c r="F263" s="13"/>
      <c r="G263" s="3"/>
      <c r="H263" s="3"/>
      <c r="I263" s="3"/>
      <c r="J263" s="3"/>
      <c r="K263" s="3"/>
      <c r="L263" s="3"/>
      <c r="M263" s="3"/>
      <c r="N263" s="3"/>
      <c r="O263" s="3"/>
      <c r="P263" s="3"/>
      <c r="Q263" s="3"/>
      <c r="R263" s="3"/>
      <c r="S263" s="3"/>
      <c r="T263" s="3"/>
      <c r="U263" s="3"/>
      <c r="V263" s="3"/>
      <c r="W263" s="3"/>
    </row>
    <row r="264" spans="1:23">
      <c r="A264" s="3"/>
      <c r="B264" s="3"/>
      <c r="C264" s="13"/>
      <c r="D264" s="13"/>
      <c r="E264" s="13"/>
      <c r="F264" s="13"/>
      <c r="G264" s="3"/>
      <c r="H264" s="3"/>
      <c r="I264" s="3"/>
      <c r="J264" s="3"/>
      <c r="K264" s="3"/>
      <c r="L264" s="3"/>
      <c r="M264" s="3"/>
      <c r="N264" s="3"/>
      <c r="O264" s="3"/>
      <c r="P264" s="3"/>
      <c r="Q264" s="3"/>
      <c r="R264" s="3"/>
      <c r="S264" s="3"/>
      <c r="T264" s="3"/>
      <c r="U264" s="3"/>
      <c r="V264" s="3"/>
      <c r="W264" s="3"/>
    </row>
    <row r="265" spans="1:23">
      <c r="A265" s="3"/>
      <c r="B265" s="3"/>
      <c r="C265" s="13"/>
      <c r="D265" s="13"/>
      <c r="E265" s="13"/>
      <c r="F265" s="13"/>
      <c r="G265" s="3"/>
      <c r="H265" s="3"/>
      <c r="I265" s="3"/>
      <c r="J265" s="3"/>
      <c r="K265" s="3"/>
      <c r="L265" s="3"/>
      <c r="M265" s="3"/>
      <c r="N265" s="3"/>
      <c r="O265" s="3"/>
      <c r="P265" s="3"/>
      <c r="Q265" s="3"/>
      <c r="R265" s="3"/>
      <c r="S265" s="3"/>
      <c r="T265" s="3"/>
      <c r="U265" s="3"/>
      <c r="V265" s="3"/>
      <c r="W265" s="3"/>
    </row>
    <row r="266" spans="1:23">
      <c r="A266" s="3"/>
      <c r="B266" s="3"/>
      <c r="C266" s="13"/>
      <c r="D266" s="13"/>
      <c r="E266" s="13"/>
      <c r="F266" s="13"/>
      <c r="G266" s="3"/>
      <c r="H266" s="3"/>
      <c r="I266" s="3"/>
      <c r="J266" s="3"/>
      <c r="K266" s="3"/>
      <c r="L266" s="3"/>
      <c r="M266" s="3"/>
      <c r="N266" s="3"/>
      <c r="O266" s="3"/>
      <c r="P266" s="3"/>
      <c r="Q266" s="3"/>
      <c r="R266" s="3"/>
      <c r="S266" s="3"/>
      <c r="T266" s="3"/>
      <c r="U266" s="3"/>
      <c r="V266" s="3"/>
      <c r="W266" s="3"/>
    </row>
    <row r="267" spans="1:23">
      <c r="A267" s="3"/>
      <c r="B267" s="3"/>
      <c r="C267" s="13"/>
      <c r="D267" s="13"/>
      <c r="E267" s="13"/>
      <c r="F267" s="13"/>
      <c r="G267" s="3"/>
      <c r="H267" s="3"/>
      <c r="I267" s="3"/>
      <c r="J267" s="3"/>
      <c r="K267" s="3"/>
      <c r="L267" s="3"/>
      <c r="M267" s="3"/>
      <c r="N267" s="3"/>
      <c r="O267" s="3"/>
      <c r="P267" s="3"/>
      <c r="Q267" s="3"/>
      <c r="R267" s="3"/>
      <c r="S267" s="3"/>
      <c r="T267" s="3"/>
      <c r="U267" s="3"/>
      <c r="V267" s="3"/>
      <c r="W267" s="3"/>
    </row>
    <row r="268" spans="1:23">
      <c r="A268" s="3"/>
      <c r="B268" s="3"/>
      <c r="C268" s="13"/>
      <c r="D268" s="13"/>
      <c r="E268" s="13"/>
      <c r="F268" s="13"/>
      <c r="G268" s="3"/>
      <c r="H268" s="3"/>
      <c r="I268" s="3"/>
      <c r="J268" s="3"/>
      <c r="K268" s="3"/>
      <c r="L268" s="3"/>
      <c r="M268" s="3"/>
      <c r="N268" s="3"/>
      <c r="O268" s="3"/>
      <c r="P268" s="3"/>
      <c r="Q268" s="3"/>
      <c r="R268" s="3"/>
      <c r="S268" s="3"/>
      <c r="T268" s="3"/>
      <c r="U268" s="3"/>
      <c r="V268" s="3"/>
      <c r="W268" s="3"/>
    </row>
    <row r="269" spans="1:23">
      <c r="A269" s="3"/>
      <c r="B269" s="3"/>
      <c r="C269" s="13"/>
      <c r="D269" s="13"/>
      <c r="E269" s="13"/>
      <c r="F269" s="13"/>
      <c r="G269" s="3"/>
      <c r="H269" s="3"/>
      <c r="I269" s="3"/>
      <c r="J269" s="3"/>
      <c r="K269" s="3"/>
      <c r="L269" s="3"/>
      <c r="M269" s="3"/>
      <c r="N269" s="3"/>
      <c r="O269" s="3"/>
      <c r="P269" s="3"/>
      <c r="Q269" s="3"/>
      <c r="R269" s="3"/>
      <c r="S269" s="3"/>
      <c r="T269" s="3"/>
      <c r="U269" s="3"/>
      <c r="V269" s="3"/>
      <c r="W269" s="3"/>
    </row>
    <row r="270" spans="1:23">
      <c r="A270" s="3"/>
      <c r="B270" s="3"/>
      <c r="C270" s="13"/>
      <c r="D270" s="13"/>
      <c r="E270" s="13"/>
      <c r="F270" s="13"/>
      <c r="G270" s="3"/>
      <c r="H270" s="3"/>
      <c r="I270" s="3"/>
      <c r="J270" s="3"/>
      <c r="K270" s="3"/>
      <c r="L270" s="3"/>
      <c r="M270" s="3"/>
      <c r="N270" s="3"/>
      <c r="O270" s="3"/>
      <c r="P270" s="3"/>
      <c r="Q270" s="3"/>
      <c r="R270" s="3"/>
      <c r="S270" s="3"/>
      <c r="T270" s="3"/>
      <c r="U270" s="3"/>
      <c r="V270" s="3"/>
      <c r="W270" s="3"/>
    </row>
    <row r="271" spans="1:23">
      <c r="A271" s="3"/>
      <c r="B271" s="3"/>
      <c r="C271" s="13"/>
      <c r="D271" s="13"/>
      <c r="E271" s="13"/>
      <c r="F271" s="13"/>
      <c r="G271" s="3"/>
      <c r="H271" s="3"/>
      <c r="I271" s="3"/>
      <c r="J271" s="3"/>
      <c r="K271" s="3"/>
      <c r="L271" s="3"/>
      <c r="M271" s="3"/>
      <c r="N271" s="3"/>
      <c r="O271" s="3"/>
      <c r="P271" s="3"/>
      <c r="Q271" s="3"/>
      <c r="R271" s="3"/>
      <c r="S271" s="3"/>
      <c r="T271" s="3"/>
      <c r="U271" s="3"/>
      <c r="V271" s="3"/>
      <c r="W271" s="3"/>
    </row>
    <row r="272" spans="1:23">
      <c r="A272" s="3"/>
      <c r="B272" s="3"/>
      <c r="C272" s="13"/>
      <c r="D272" s="13"/>
      <c r="E272" s="13"/>
      <c r="F272" s="13"/>
      <c r="G272" s="3"/>
      <c r="H272" s="3"/>
      <c r="I272" s="3"/>
      <c r="J272" s="3"/>
      <c r="K272" s="3"/>
      <c r="L272" s="3"/>
      <c r="M272" s="3"/>
      <c r="N272" s="3"/>
      <c r="O272" s="3"/>
      <c r="P272" s="3"/>
      <c r="Q272" s="3"/>
      <c r="R272" s="3"/>
      <c r="S272" s="3"/>
      <c r="T272" s="3"/>
      <c r="U272" s="3"/>
      <c r="V272" s="3"/>
      <c r="W272" s="3"/>
    </row>
    <row r="273" spans="1:23">
      <c r="A273" s="3"/>
      <c r="B273" s="3"/>
      <c r="C273" s="13"/>
      <c r="D273" s="13"/>
      <c r="E273" s="13"/>
      <c r="F273" s="13"/>
      <c r="G273" s="3"/>
      <c r="H273" s="3"/>
      <c r="I273" s="3"/>
      <c r="J273" s="3"/>
      <c r="K273" s="3"/>
      <c r="L273" s="3"/>
      <c r="M273" s="3"/>
      <c r="N273" s="3"/>
      <c r="O273" s="3"/>
      <c r="P273" s="3"/>
      <c r="Q273" s="3"/>
      <c r="R273" s="3"/>
      <c r="S273" s="3"/>
      <c r="T273" s="3"/>
      <c r="U273" s="3"/>
      <c r="V273" s="3"/>
      <c r="W273" s="3"/>
    </row>
    <row r="274" spans="1:23">
      <c r="A274" s="3"/>
      <c r="B274" s="3"/>
      <c r="C274" s="13"/>
      <c r="D274" s="13"/>
      <c r="E274" s="13"/>
      <c r="F274" s="13"/>
      <c r="G274" s="3"/>
      <c r="H274" s="3"/>
      <c r="I274" s="3"/>
      <c r="J274" s="3"/>
      <c r="K274" s="3"/>
      <c r="L274" s="3"/>
      <c r="M274" s="3"/>
      <c r="N274" s="3"/>
      <c r="O274" s="3"/>
      <c r="P274" s="3"/>
      <c r="Q274" s="3"/>
      <c r="R274" s="3"/>
      <c r="S274" s="3"/>
      <c r="T274" s="3"/>
      <c r="U274" s="3"/>
      <c r="V274" s="3"/>
      <c r="W274" s="3"/>
    </row>
    <row r="275" spans="1:23">
      <c r="A275" s="3"/>
      <c r="B275" s="3"/>
      <c r="C275" s="13"/>
      <c r="D275" s="13"/>
      <c r="E275" s="13"/>
      <c r="F275" s="13"/>
      <c r="G275" s="3"/>
      <c r="H275" s="3"/>
      <c r="I275" s="3"/>
      <c r="J275" s="3"/>
      <c r="K275" s="3"/>
      <c r="L275" s="3"/>
      <c r="M275" s="3"/>
      <c r="N275" s="3"/>
      <c r="O275" s="3"/>
      <c r="P275" s="3"/>
      <c r="Q275" s="3"/>
      <c r="R275" s="3"/>
      <c r="S275" s="3"/>
      <c r="T275" s="3"/>
      <c r="U275" s="3"/>
      <c r="V275" s="3"/>
      <c r="W275" s="3"/>
    </row>
    <row r="276" spans="1:23">
      <c r="A276" s="3"/>
      <c r="B276" s="3"/>
      <c r="C276" s="13"/>
      <c r="D276" s="13"/>
      <c r="E276" s="13"/>
      <c r="F276" s="13"/>
      <c r="G276" s="3"/>
      <c r="H276" s="3"/>
      <c r="I276" s="3"/>
      <c r="J276" s="3"/>
      <c r="K276" s="3"/>
      <c r="L276" s="3"/>
      <c r="M276" s="3"/>
      <c r="N276" s="3"/>
      <c r="O276" s="3"/>
      <c r="P276" s="3"/>
      <c r="Q276" s="3"/>
      <c r="R276" s="3"/>
      <c r="S276" s="3"/>
      <c r="T276" s="3"/>
      <c r="U276" s="3"/>
      <c r="V276" s="3"/>
      <c r="W276" s="3"/>
    </row>
    <row r="277" spans="1:23">
      <c r="A277" s="3"/>
      <c r="B277" s="3"/>
      <c r="C277" s="13"/>
      <c r="D277" s="13"/>
      <c r="E277" s="13"/>
      <c r="F277" s="13"/>
      <c r="G277" s="3"/>
      <c r="H277" s="3"/>
      <c r="I277" s="3"/>
      <c r="J277" s="3"/>
      <c r="K277" s="3"/>
      <c r="L277" s="3"/>
      <c r="M277" s="3"/>
      <c r="N277" s="3"/>
      <c r="O277" s="3"/>
      <c r="P277" s="3"/>
      <c r="Q277" s="3"/>
      <c r="R277" s="3"/>
      <c r="S277" s="3"/>
      <c r="T277" s="3"/>
      <c r="U277" s="3"/>
      <c r="V277" s="3"/>
      <c r="W277" s="3"/>
    </row>
    <row r="278" spans="1:23">
      <c r="A278" s="3"/>
      <c r="B278" s="3"/>
      <c r="C278" s="13"/>
      <c r="D278" s="13"/>
      <c r="E278" s="13"/>
      <c r="F278" s="13"/>
      <c r="G278" s="3"/>
      <c r="H278" s="3"/>
      <c r="I278" s="3"/>
      <c r="J278" s="3"/>
      <c r="K278" s="3"/>
      <c r="L278" s="3"/>
      <c r="M278" s="3"/>
      <c r="N278" s="3"/>
      <c r="O278" s="3"/>
      <c r="P278" s="3"/>
      <c r="Q278" s="3"/>
      <c r="R278" s="3"/>
      <c r="S278" s="3"/>
      <c r="T278" s="3"/>
      <c r="U278" s="3"/>
      <c r="V278" s="3"/>
      <c r="W278" s="3"/>
    </row>
    <row r="279" spans="1:23">
      <c r="A279" s="3"/>
      <c r="B279" s="3"/>
      <c r="C279" s="13"/>
      <c r="D279" s="13"/>
      <c r="E279" s="13"/>
      <c r="F279" s="13"/>
      <c r="G279" s="3"/>
      <c r="H279" s="3"/>
      <c r="I279" s="3"/>
      <c r="J279" s="3"/>
      <c r="K279" s="3"/>
      <c r="L279" s="3"/>
      <c r="M279" s="3"/>
      <c r="N279" s="3"/>
      <c r="O279" s="3"/>
      <c r="P279" s="3"/>
      <c r="Q279" s="3"/>
      <c r="R279" s="3"/>
      <c r="S279" s="3"/>
      <c r="T279" s="3"/>
      <c r="U279" s="3"/>
      <c r="V279" s="3"/>
      <c r="W279" s="3"/>
    </row>
    <row r="280" spans="1:23">
      <c r="A280" s="3"/>
      <c r="B280" s="3"/>
      <c r="C280" s="13"/>
      <c r="D280" s="13"/>
      <c r="E280" s="13"/>
      <c r="F280" s="13"/>
      <c r="G280" s="3"/>
      <c r="H280" s="3"/>
      <c r="I280" s="3"/>
      <c r="J280" s="3"/>
      <c r="K280" s="3"/>
      <c r="L280" s="3"/>
      <c r="M280" s="3"/>
      <c r="N280" s="3"/>
      <c r="O280" s="3"/>
      <c r="P280" s="3"/>
      <c r="Q280" s="3"/>
      <c r="R280" s="3"/>
      <c r="S280" s="3"/>
      <c r="T280" s="3"/>
      <c r="U280" s="3"/>
      <c r="V280" s="3"/>
      <c r="W280" s="3"/>
    </row>
    <row r="281" spans="1:23">
      <c r="A281" s="3"/>
      <c r="B281" s="3"/>
      <c r="C281" s="13"/>
      <c r="D281" s="13"/>
      <c r="E281" s="13"/>
      <c r="F281" s="13"/>
      <c r="G281" s="3"/>
      <c r="H281" s="3"/>
      <c r="I281" s="3"/>
      <c r="J281" s="3"/>
      <c r="K281" s="3"/>
      <c r="L281" s="3"/>
      <c r="M281" s="3"/>
      <c r="N281" s="3"/>
      <c r="O281" s="3"/>
      <c r="P281" s="3"/>
      <c r="Q281" s="3"/>
      <c r="R281" s="3"/>
      <c r="S281" s="3"/>
      <c r="T281" s="3"/>
      <c r="U281" s="3"/>
      <c r="V281" s="3"/>
      <c r="W281" s="3"/>
    </row>
    <row r="282" spans="1:23">
      <c r="A282" s="3"/>
      <c r="B282" s="3"/>
      <c r="C282" s="13"/>
      <c r="D282" s="13"/>
      <c r="E282" s="13"/>
      <c r="F282" s="13"/>
      <c r="G282" s="3"/>
      <c r="H282" s="3"/>
      <c r="I282" s="3"/>
      <c r="J282" s="3"/>
      <c r="K282" s="3"/>
      <c r="L282" s="3"/>
      <c r="M282" s="3"/>
      <c r="N282" s="3"/>
      <c r="O282" s="3"/>
      <c r="P282" s="3"/>
      <c r="Q282" s="3"/>
      <c r="R282" s="3"/>
      <c r="S282" s="3"/>
      <c r="T282" s="3"/>
      <c r="U282" s="3"/>
      <c r="V282" s="3"/>
      <c r="W282" s="3"/>
    </row>
    <row r="283" spans="1:23">
      <c r="A283" s="3"/>
      <c r="B283" s="3"/>
      <c r="C283" s="13"/>
      <c r="D283" s="13"/>
      <c r="E283" s="13"/>
      <c r="F283" s="13"/>
      <c r="G283" s="3"/>
      <c r="H283" s="3"/>
      <c r="I283" s="3"/>
      <c r="J283" s="3"/>
      <c r="K283" s="3"/>
      <c r="L283" s="3"/>
      <c r="M283" s="3"/>
      <c r="N283" s="3"/>
      <c r="O283" s="3"/>
      <c r="P283" s="3"/>
      <c r="Q283" s="3"/>
      <c r="R283" s="3"/>
      <c r="S283" s="3"/>
      <c r="T283" s="3"/>
      <c r="U283" s="3"/>
      <c r="V283" s="3"/>
      <c r="W283" s="3"/>
    </row>
    <row r="284" spans="1:23">
      <c r="A284" s="3"/>
      <c r="B284" s="3"/>
      <c r="C284" s="13"/>
      <c r="D284" s="13"/>
      <c r="E284" s="13"/>
      <c r="F284" s="13"/>
      <c r="G284" s="3"/>
      <c r="H284" s="3"/>
      <c r="I284" s="3"/>
      <c r="J284" s="3"/>
      <c r="K284" s="3"/>
      <c r="L284" s="3"/>
      <c r="M284" s="3"/>
      <c r="N284" s="3"/>
      <c r="O284" s="3"/>
      <c r="P284" s="3"/>
      <c r="Q284" s="3"/>
      <c r="R284" s="3"/>
      <c r="S284" s="3"/>
      <c r="T284" s="3"/>
      <c r="U284" s="3"/>
      <c r="V284" s="3"/>
      <c r="W284" s="3"/>
    </row>
    <row r="285" spans="1:23">
      <c r="A285" s="3"/>
      <c r="B285" s="3"/>
      <c r="C285" s="13"/>
      <c r="D285" s="13"/>
      <c r="E285" s="13"/>
      <c r="F285" s="13"/>
      <c r="G285" s="3"/>
      <c r="H285" s="3"/>
      <c r="I285" s="3"/>
      <c r="J285" s="3"/>
      <c r="K285" s="3"/>
      <c r="L285" s="3"/>
      <c r="M285" s="3"/>
      <c r="N285" s="3"/>
      <c r="O285" s="3"/>
      <c r="P285" s="3"/>
      <c r="Q285" s="3"/>
      <c r="R285" s="3"/>
      <c r="S285" s="3"/>
      <c r="T285" s="3"/>
      <c r="U285" s="3"/>
      <c r="V285" s="3"/>
      <c r="W285" s="3"/>
    </row>
    <row r="286" spans="1:23">
      <c r="A286" s="3"/>
      <c r="B286" s="3"/>
      <c r="C286" s="13"/>
      <c r="D286" s="13"/>
      <c r="E286" s="13"/>
      <c r="F286" s="13"/>
      <c r="G286" s="3"/>
      <c r="H286" s="3"/>
      <c r="I286" s="3"/>
      <c r="J286" s="3"/>
      <c r="K286" s="3"/>
      <c r="L286" s="3"/>
      <c r="M286" s="3"/>
      <c r="N286" s="3"/>
      <c r="O286" s="3"/>
      <c r="P286" s="3"/>
      <c r="Q286" s="3"/>
      <c r="R286" s="3"/>
      <c r="S286" s="3"/>
      <c r="T286" s="3"/>
      <c r="U286" s="3"/>
      <c r="V286" s="3"/>
      <c r="W286" s="3"/>
    </row>
    <row r="287" spans="1:23">
      <c r="A287" s="3"/>
      <c r="B287" s="3"/>
      <c r="C287" s="13"/>
      <c r="D287" s="13"/>
      <c r="E287" s="13"/>
      <c r="F287" s="13"/>
      <c r="G287" s="3"/>
      <c r="H287" s="3"/>
      <c r="I287" s="3"/>
      <c r="J287" s="3"/>
      <c r="K287" s="3"/>
      <c r="L287" s="3"/>
      <c r="M287" s="3"/>
      <c r="N287" s="3"/>
      <c r="O287" s="3"/>
      <c r="P287" s="3"/>
      <c r="Q287" s="3"/>
      <c r="R287" s="3"/>
      <c r="S287" s="3"/>
      <c r="T287" s="3"/>
      <c r="U287" s="3"/>
      <c r="V287" s="3"/>
      <c r="W287" s="3"/>
    </row>
    <row r="288" spans="1:23">
      <c r="A288" s="3"/>
      <c r="B288" s="3"/>
      <c r="C288" s="13"/>
      <c r="D288" s="13"/>
      <c r="E288" s="13"/>
      <c r="F288" s="13"/>
      <c r="G288" s="3"/>
      <c r="H288" s="3"/>
      <c r="I288" s="3"/>
      <c r="J288" s="3"/>
      <c r="K288" s="3"/>
      <c r="L288" s="3"/>
      <c r="M288" s="3"/>
      <c r="N288" s="3"/>
      <c r="O288" s="3"/>
      <c r="P288" s="3"/>
      <c r="Q288" s="3"/>
      <c r="R288" s="3"/>
      <c r="S288" s="3"/>
      <c r="T288" s="3"/>
      <c r="U288" s="3"/>
      <c r="V288" s="3"/>
      <c r="W288" s="3"/>
    </row>
    <row r="289" spans="1:23">
      <c r="A289" s="3"/>
      <c r="B289" s="3"/>
      <c r="C289" s="13"/>
      <c r="D289" s="13"/>
      <c r="E289" s="13"/>
      <c r="F289" s="13"/>
      <c r="G289" s="3"/>
      <c r="H289" s="3"/>
      <c r="I289" s="3"/>
      <c r="J289" s="3"/>
      <c r="K289" s="3"/>
      <c r="L289" s="3"/>
      <c r="M289" s="3"/>
      <c r="N289" s="3"/>
      <c r="O289" s="3"/>
      <c r="P289" s="3"/>
      <c r="Q289" s="3"/>
      <c r="R289" s="3"/>
      <c r="S289" s="3"/>
      <c r="T289" s="3"/>
      <c r="U289" s="3"/>
      <c r="V289" s="3"/>
      <c r="W289" s="3"/>
    </row>
    <row r="290" spans="1:23">
      <c r="A290" s="3"/>
      <c r="B290" s="3"/>
      <c r="C290" s="13"/>
      <c r="D290" s="13"/>
      <c r="E290" s="13"/>
      <c r="F290" s="13"/>
      <c r="G290" s="3"/>
      <c r="H290" s="3"/>
      <c r="I290" s="3"/>
      <c r="J290" s="3"/>
      <c r="K290" s="3"/>
      <c r="L290" s="3"/>
      <c r="M290" s="3"/>
      <c r="N290" s="3"/>
      <c r="O290" s="3"/>
      <c r="P290" s="3"/>
      <c r="Q290" s="3"/>
      <c r="R290" s="3"/>
      <c r="S290" s="3"/>
      <c r="T290" s="3"/>
      <c r="U290" s="3"/>
      <c r="V290" s="3"/>
      <c r="W290" s="3"/>
    </row>
    <row r="291" spans="1:23">
      <c r="A291" s="3"/>
      <c r="B291" s="3"/>
      <c r="C291" s="13"/>
      <c r="D291" s="13"/>
      <c r="E291" s="13"/>
      <c r="F291" s="13"/>
      <c r="G291" s="3"/>
      <c r="H291" s="3"/>
      <c r="I291" s="3"/>
      <c r="J291" s="3"/>
      <c r="K291" s="3"/>
      <c r="L291" s="3"/>
      <c r="M291" s="3"/>
      <c r="N291" s="3"/>
      <c r="O291" s="3"/>
      <c r="P291" s="3"/>
      <c r="Q291" s="3"/>
      <c r="R291" s="3"/>
      <c r="S291" s="3"/>
      <c r="T291" s="3"/>
      <c r="U291" s="3"/>
      <c r="V291" s="3"/>
      <c r="W291" s="3"/>
    </row>
    <row r="292" spans="1:23">
      <c r="A292" s="3"/>
      <c r="B292" s="3"/>
      <c r="C292" s="13"/>
      <c r="D292" s="13"/>
      <c r="E292" s="13"/>
      <c r="F292" s="13"/>
      <c r="G292" s="3"/>
      <c r="H292" s="3"/>
      <c r="I292" s="3"/>
      <c r="J292" s="3"/>
      <c r="K292" s="3"/>
      <c r="L292" s="3"/>
      <c r="M292" s="3"/>
      <c r="N292" s="3"/>
      <c r="O292" s="3"/>
      <c r="P292" s="3"/>
      <c r="Q292" s="3"/>
      <c r="R292" s="3"/>
      <c r="S292" s="3"/>
      <c r="T292" s="3"/>
      <c r="U292" s="3"/>
      <c r="V292" s="3"/>
      <c r="W292" s="3"/>
    </row>
    <row r="293" spans="1:23">
      <c r="A293" s="3"/>
      <c r="B293" s="3"/>
      <c r="C293" s="13"/>
      <c r="D293" s="13"/>
      <c r="E293" s="13"/>
      <c r="F293" s="13"/>
      <c r="G293" s="3"/>
      <c r="H293" s="3"/>
      <c r="I293" s="3"/>
      <c r="J293" s="3"/>
      <c r="K293" s="3"/>
      <c r="L293" s="3"/>
      <c r="M293" s="3"/>
      <c r="N293" s="3"/>
      <c r="O293" s="3"/>
      <c r="P293" s="3"/>
      <c r="Q293" s="3"/>
      <c r="R293" s="3"/>
      <c r="S293" s="3"/>
      <c r="T293" s="3"/>
      <c r="U293" s="3"/>
      <c r="V293" s="3"/>
      <c r="W293" s="3"/>
    </row>
    <row r="294" spans="1:23">
      <c r="A294" s="3"/>
      <c r="B294" s="3"/>
      <c r="C294" s="13"/>
      <c r="D294" s="13"/>
      <c r="E294" s="13"/>
      <c r="F294" s="13"/>
      <c r="G294" s="3"/>
      <c r="H294" s="3"/>
      <c r="I294" s="3"/>
      <c r="J294" s="3"/>
      <c r="K294" s="3"/>
      <c r="L294" s="3"/>
      <c r="M294" s="3"/>
      <c r="N294" s="3"/>
      <c r="O294" s="3"/>
      <c r="P294" s="3"/>
      <c r="Q294" s="3"/>
      <c r="R294" s="3"/>
      <c r="S294" s="3"/>
      <c r="T294" s="3"/>
      <c r="U294" s="3"/>
      <c r="V294" s="3"/>
      <c r="W294" s="3"/>
    </row>
    <row r="295" spans="1:23">
      <c r="A295" s="3"/>
      <c r="B295" s="3"/>
      <c r="C295" s="13"/>
      <c r="D295" s="13"/>
      <c r="E295" s="13"/>
      <c r="F295" s="13"/>
      <c r="G295" s="3"/>
      <c r="H295" s="3"/>
      <c r="I295" s="3"/>
      <c r="J295" s="3"/>
      <c r="K295" s="3"/>
      <c r="L295" s="3"/>
      <c r="M295" s="3"/>
      <c r="N295" s="3"/>
      <c r="O295" s="3"/>
      <c r="P295" s="3"/>
      <c r="Q295" s="3"/>
      <c r="R295" s="3"/>
      <c r="S295" s="3"/>
      <c r="T295" s="3"/>
      <c r="U295" s="3"/>
      <c r="V295" s="3"/>
      <c r="W295" s="3"/>
    </row>
    <row r="296" spans="1:23">
      <c r="A296" s="3"/>
      <c r="B296" s="3"/>
      <c r="C296" s="13"/>
      <c r="D296" s="13"/>
      <c r="E296" s="13"/>
      <c r="F296" s="13"/>
      <c r="G296" s="3"/>
      <c r="H296" s="3"/>
      <c r="I296" s="3"/>
      <c r="J296" s="3"/>
      <c r="K296" s="3"/>
      <c r="L296" s="3"/>
      <c r="M296" s="3"/>
      <c r="N296" s="3"/>
      <c r="O296" s="3"/>
      <c r="P296" s="3"/>
      <c r="Q296" s="3"/>
      <c r="R296" s="3"/>
      <c r="S296" s="3"/>
      <c r="T296" s="3"/>
      <c r="U296" s="3"/>
      <c r="V296" s="3"/>
      <c r="W296" s="3"/>
    </row>
    <row r="297" spans="1:23">
      <c r="A297" s="3"/>
      <c r="B297" s="3"/>
      <c r="C297" s="13"/>
      <c r="D297" s="13"/>
      <c r="E297" s="13"/>
      <c r="F297" s="13"/>
      <c r="G297" s="3"/>
      <c r="H297" s="3"/>
      <c r="I297" s="3"/>
      <c r="J297" s="3"/>
      <c r="K297" s="3"/>
      <c r="L297" s="3"/>
      <c r="M297" s="3"/>
      <c r="N297" s="3"/>
      <c r="O297" s="3"/>
      <c r="P297" s="3"/>
      <c r="Q297" s="3"/>
      <c r="R297" s="3"/>
      <c r="S297" s="3"/>
      <c r="T297" s="3"/>
      <c r="U297" s="3"/>
      <c r="V297" s="3"/>
      <c r="W297" s="3"/>
    </row>
    <row r="298" spans="1:23">
      <c r="A298" s="3"/>
      <c r="B298" s="3"/>
      <c r="C298" s="13"/>
      <c r="D298" s="13"/>
      <c r="E298" s="13"/>
      <c r="F298" s="13"/>
      <c r="G298" s="3"/>
      <c r="H298" s="3"/>
      <c r="I298" s="3"/>
      <c r="J298" s="3"/>
      <c r="K298" s="3"/>
      <c r="L298" s="3"/>
      <c r="M298" s="3"/>
      <c r="N298" s="3"/>
      <c r="O298" s="3"/>
      <c r="P298" s="3"/>
      <c r="Q298" s="3"/>
      <c r="R298" s="3"/>
      <c r="S298" s="3"/>
      <c r="T298" s="3"/>
      <c r="U298" s="3"/>
      <c r="V298" s="3"/>
      <c r="W298" s="3"/>
    </row>
    <row r="299" spans="1:23">
      <c r="A299" s="3"/>
      <c r="B299" s="3"/>
      <c r="C299" s="13"/>
      <c r="D299" s="13"/>
      <c r="E299" s="13"/>
      <c r="F299" s="13"/>
      <c r="G299" s="3"/>
      <c r="H299" s="3"/>
      <c r="I299" s="3"/>
      <c r="J299" s="3"/>
      <c r="K299" s="3"/>
      <c r="L299" s="3"/>
      <c r="M299" s="3"/>
      <c r="N299" s="3"/>
      <c r="O299" s="3"/>
      <c r="P299" s="3"/>
      <c r="Q299" s="3"/>
      <c r="R299" s="3"/>
      <c r="S299" s="3"/>
      <c r="T299" s="3"/>
      <c r="U299" s="3"/>
      <c r="V299" s="3"/>
      <c r="W299" s="3"/>
    </row>
    <row r="300" spans="1:23">
      <c r="A300" s="3"/>
      <c r="B300" s="3"/>
      <c r="C300" s="13"/>
      <c r="D300" s="13"/>
      <c r="E300" s="13"/>
      <c r="F300" s="13"/>
      <c r="G300" s="3"/>
      <c r="H300" s="3"/>
      <c r="I300" s="3"/>
      <c r="J300" s="3"/>
      <c r="K300" s="3"/>
      <c r="L300" s="3"/>
      <c r="M300" s="3"/>
      <c r="N300" s="3"/>
      <c r="O300" s="3"/>
      <c r="P300" s="3"/>
      <c r="Q300" s="3"/>
      <c r="R300" s="3"/>
      <c r="S300" s="3"/>
      <c r="T300" s="3"/>
      <c r="U300" s="3"/>
      <c r="V300" s="3"/>
      <c r="W300" s="3"/>
    </row>
    <row r="301" spans="1:23">
      <c r="A301" s="3"/>
      <c r="B301" s="3"/>
      <c r="C301" s="13"/>
      <c r="D301" s="13"/>
      <c r="E301" s="13"/>
      <c r="F301" s="13"/>
      <c r="G301" s="3"/>
      <c r="H301" s="3"/>
      <c r="I301" s="3"/>
      <c r="J301" s="3"/>
      <c r="K301" s="3"/>
      <c r="L301" s="3"/>
      <c r="M301" s="3"/>
      <c r="N301" s="3"/>
      <c r="O301" s="3"/>
      <c r="P301" s="3"/>
      <c r="Q301" s="3"/>
      <c r="R301" s="3"/>
      <c r="S301" s="3"/>
      <c r="T301" s="3"/>
      <c r="U301" s="3"/>
      <c r="V301" s="3"/>
      <c r="W301" s="3"/>
    </row>
    <row r="302" spans="1:23">
      <c r="A302" s="3"/>
      <c r="B302" s="3"/>
      <c r="C302" s="13"/>
      <c r="D302" s="13"/>
      <c r="E302" s="13"/>
      <c r="F302" s="13"/>
      <c r="G302" s="3"/>
      <c r="H302" s="3"/>
      <c r="I302" s="3"/>
      <c r="J302" s="3"/>
      <c r="K302" s="3"/>
      <c r="L302" s="3"/>
      <c r="M302" s="3"/>
      <c r="N302" s="3"/>
      <c r="O302" s="3"/>
      <c r="P302" s="3"/>
      <c r="Q302" s="3"/>
      <c r="R302" s="3"/>
      <c r="S302" s="3"/>
      <c r="T302" s="3"/>
      <c r="U302" s="3"/>
      <c r="V302" s="3"/>
      <c r="W302" s="3"/>
    </row>
    <row r="303" spans="1:23">
      <c r="A303" s="3"/>
      <c r="B303" s="3"/>
      <c r="C303" s="13"/>
      <c r="D303" s="13"/>
      <c r="E303" s="13"/>
      <c r="F303" s="13"/>
      <c r="G303" s="3"/>
      <c r="H303" s="3"/>
      <c r="I303" s="3"/>
      <c r="J303" s="3"/>
      <c r="K303" s="3"/>
      <c r="L303" s="3"/>
      <c r="M303" s="3"/>
      <c r="N303" s="3"/>
      <c r="O303" s="3"/>
      <c r="P303" s="3"/>
      <c r="Q303" s="3"/>
      <c r="R303" s="3"/>
      <c r="S303" s="3"/>
      <c r="T303" s="3"/>
      <c r="U303" s="3"/>
      <c r="V303" s="3"/>
      <c r="W303" s="3"/>
    </row>
    <row r="304" spans="1:23">
      <c r="A304" s="3"/>
      <c r="B304" s="3"/>
      <c r="C304" s="13"/>
      <c r="D304" s="13"/>
      <c r="E304" s="13"/>
      <c r="F304" s="13"/>
      <c r="G304" s="3"/>
      <c r="H304" s="3"/>
      <c r="I304" s="3"/>
      <c r="J304" s="3"/>
      <c r="K304" s="3"/>
      <c r="L304" s="3"/>
      <c r="M304" s="3"/>
      <c r="N304" s="3"/>
      <c r="O304" s="3"/>
      <c r="P304" s="3"/>
      <c r="Q304" s="3"/>
      <c r="R304" s="3"/>
      <c r="S304" s="3"/>
      <c r="T304" s="3"/>
      <c r="U304" s="3"/>
      <c r="V304" s="3"/>
      <c r="W304" s="3"/>
    </row>
    <row r="305" spans="1:23">
      <c r="A305" s="3"/>
      <c r="B305" s="3"/>
      <c r="C305" s="13"/>
      <c r="D305" s="13"/>
      <c r="E305" s="13"/>
      <c r="F305" s="13"/>
      <c r="G305" s="3"/>
      <c r="H305" s="3"/>
      <c r="I305" s="3"/>
      <c r="J305" s="3"/>
      <c r="K305" s="3"/>
      <c r="L305" s="3"/>
      <c r="M305" s="3"/>
      <c r="N305" s="3"/>
      <c r="O305" s="3"/>
      <c r="P305" s="3"/>
      <c r="Q305" s="3"/>
      <c r="R305" s="3"/>
      <c r="S305" s="3"/>
      <c r="T305" s="3"/>
      <c r="U305" s="3"/>
      <c r="V305" s="3"/>
      <c r="W305" s="3"/>
    </row>
    <row r="306" spans="1:23">
      <c r="A306" s="3"/>
      <c r="B306" s="3"/>
      <c r="C306" s="13"/>
      <c r="D306" s="13"/>
      <c r="E306" s="13"/>
      <c r="F306" s="13"/>
      <c r="G306" s="3"/>
      <c r="H306" s="3"/>
      <c r="I306" s="3"/>
      <c r="J306" s="3"/>
      <c r="K306" s="3"/>
      <c r="L306" s="3"/>
      <c r="M306" s="3"/>
      <c r="N306" s="3"/>
      <c r="O306" s="3"/>
      <c r="P306" s="3"/>
      <c r="Q306" s="3"/>
      <c r="R306" s="3"/>
      <c r="S306" s="3"/>
      <c r="T306" s="3"/>
      <c r="U306" s="3"/>
      <c r="V306" s="3"/>
      <c r="W306" s="3"/>
    </row>
    <row r="307" spans="1:23">
      <c r="A307" s="3"/>
      <c r="B307" s="3"/>
      <c r="C307" s="13"/>
      <c r="D307" s="13"/>
      <c r="E307" s="13"/>
      <c r="F307" s="13"/>
      <c r="G307" s="3"/>
      <c r="H307" s="3"/>
      <c r="I307" s="3"/>
      <c r="J307" s="3"/>
      <c r="K307" s="3"/>
      <c r="L307" s="3"/>
      <c r="M307" s="3"/>
      <c r="N307" s="3"/>
      <c r="O307" s="3"/>
      <c r="P307" s="3"/>
      <c r="Q307" s="3"/>
      <c r="R307" s="3"/>
      <c r="S307" s="3"/>
      <c r="T307" s="3"/>
      <c r="U307" s="3"/>
      <c r="V307" s="3"/>
      <c r="W307" s="3"/>
    </row>
    <row r="308" spans="1:23">
      <c r="A308" s="3"/>
      <c r="B308" s="3"/>
      <c r="C308" s="13"/>
      <c r="D308" s="13"/>
      <c r="E308" s="13"/>
      <c r="F308" s="13"/>
      <c r="G308" s="3"/>
      <c r="H308" s="3"/>
      <c r="I308" s="3"/>
      <c r="J308" s="3"/>
      <c r="K308" s="3"/>
      <c r="L308" s="3"/>
      <c r="M308" s="3"/>
      <c r="N308" s="3"/>
      <c r="O308" s="3"/>
      <c r="P308" s="3"/>
      <c r="Q308" s="3"/>
      <c r="R308" s="3"/>
      <c r="S308" s="3"/>
      <c r="T308" s="3"/>
      <c r="U308" s="3"/>
      <c r="V308" s="3"/>
      <c r="W308" s="3"/>
    </row>
    <row r="309" spans="1:23">
      <c r="A309" s="3"/>
      <c r="B309" s="3"/>
      <c r="C309" s="13"/>
      <c r="D309" s="13"/>
      <c r="E309" s="13"/>
      <c r="F309" s="13"/>
      <c r="G309" s="3"/>
      <c r="H309" s="3"/>
      <c r="I309" s="3"/>
      <c r="J309" s="3"/>
      <c r="K309" s="3"/>
      <c r="L309" s="3"/>
      <c r="M309" s="3"/>
      <c r="N309" s="3"/>
      <c r="O309" s="3"/>
      <c r="P309" s="3"/>
      <c r="Q309" s="3"/>
      <c r="R309" s="3"/>
      <c r="S309" s="3"/>
      <c r="T309" s="3"/>
      <c r="U309" s="3"/>
      <c r="V309" s="3"/>
      <c r="W309" s="3"/>
    </row>
    <row r="310" spans="1:23">
      <c r="A310" s="3"/>
      <c r="B310" s="3"/>
      <c r="C310" s="13"/>
      <c r="D310" s="13"/>
      <c r="E310" s="13"/>
      <c r="F310" s="13"/>
      <c r="G310" s="3"/>
      <c r="H310" s="3"/>
      <c r="I310" s="3"/>
      <c r="J310" s="3"/>
      <c r="K310" s="3"/>
      <c r="L310" s="3"/>
      <c r="M310" s="3"/>
      <c r="N310" s="3"/>
      <c r="O310" s="3"/>
      <c r="P310" s="3"/>
      <c r="Q310" s="3"/>
      <c r="R310" s="3"/>
      <c r="S310" s="3"/>
      <c r="T310" s="3"/>
      <c r="U310" s="3"/>
      <c r="V310" s="3"/>
      <c r="W310" s="3"/>
    </row>
    <row r="311" spans="1:23">
      <c r="A311" s="3"/>
      <c r="B311" s="3"/>
      <c r="C311" s="13"/>
      <c r="D311" s="13"/>
      <c r="E311" s="13"/>
      <c r="F311" s="13"/>
      <c r="G311" s="3"/>
      <c r="H311" s="3"/>
      <c r="I311" s="3"/>
      <c r="J311" s="3"/>
      <c r="K311" s="3"/>
      <c r="L311" s="3"/>
      <c r="M311" s="3"/>
      <c r="N311" s="3"/>
      <c r="O311" s="3"/>
      <c r="P311" s="3"/>
      <c r="Q311" s="3"/>
      <c r="R311" s="3"/>
      <c r="S311" s="3"/>
      <c r="T311" s="3"/>
      <c r="U311" s="3"/>
      <c r="V311" s="3"/>
      <c r="W311" s="3"/>
    </row>
    <row r="312" spans="1:23">
      <c r="A312" s="3"/>
      <c r="B312" s="3"/>
      <c r="C312" s="13"/>
      <c r="D312" s="13"/>
      <c r="E312" s="13"/>
      <c r="F312" s="13"/>
      <c r="G312" s="3"/>
      <c r="H312" s="3"/>
      <c r="I312" s="3"/>
      <c r="J312" s="3"/>
      <c r="K312" s="3"/>
      <c r="L312" s="3"/>
      <c r="M312" s="3"/>
      <c r="N312" s="3"/>
      <c r="O312" s="3"/>
      <c r="P312" s="3"/>
      <c r="Q312" s="3"/>
      <c r="R312" s="3"/>
      <c r="S312" s="3"/>
      <c r="T312" s="3"/>
      <c r="U312" s="3"/>
      <c r="V312" s="3"/>
      <c r="W312" s="3"/>
    </row>
    <row r="313" spans="1:23">
      <c r="A313" s="3"/>
      <c r="B313" s="3"/>
      <c r="C313" s="13"/>
      <c r="D313" s="13"/>
      <c r="E313" s="13"/>
      <c r="F313" s="13"/>
      <c r="G313" s="3"/>
      <c r="H313" s="3"/>
      <c r="I313" s="3"/>
      <c r="J313" s="3"/>
      <c r="K313" s="3"/>
      <c r="L313" s="3"/>
      <c r="M313" s="3"/>
      <c r="N313" s="3"/>
      <c r="O313" s="3"/>
      <c r="P313" s="3"/>
      <c r="Q313" s="3"/>
      <c r="R313" s="3"/>
      <c r="S313" s="3"/>
      <c r="T313" s="3"/>
      <c r="U313" s="3"/>
      <c r="V313" s="3"/>
      <c r="W313" s="3"/>
    </row>
    <row r="314" spans="1:23">
      <c r="A314" s="3"/>
      <c r="B314" s="3"/>
      <c r="C314" s="13"/>
      <c r="D314" s="13"/>
      <c r="E314" s="13"/>
      <c r="F314" s="13"/>
      <c r="G314" s="3"/>
      <c r="H314" s="3"/>
      <c r="I314" s="3"/>
      <c r="J314" s="3"/>
      <c r="K314" s="3"/>
      <c r="L314" s="3"/>
      <c r="M314" s="3"/>
      <c r="N314" s="3"/>
      <c r="O314" s="3"/>
      <c r="P314" s="3"/>
      <c r="Q314" s="3"/>
      <c r="R314" s="3"/>
      <c r="S314" s="3"/>
      <c r="T314" s="3"/>
      <c r="U314" s="3"/>
      <c r="V314" s="3"/>
      <c r="W314" s="3"/>
    </row>
    <row r="315" spans="1:23">
      <c r="A315" s="3"/>
      <c r="B315" s="3"/>
      <c r="C315" s="13"/>
      <c r="D315" s="13"/>
      <c r="E315" s="13"/>
      <c r="F315" s="13"/>
      <c r="G315" s="3"/>
      <c r="H315" s="3"/>
      <c r="I315" s="3"/>
      <c r="J315" s="3"/>
      <c r="K315" s="3"/>
      <c r="L315" s="3"/>
      <c r="M315" s="3"/>
      <c r="N315" s="3"/>
      <c r="O315" s="3"/>
      <c r="P315" s="3"/>
      <c r="Q315" s="3"/>
      <c r="R315" s="3"/>
      <c r="S315" s="3"/>
      <c r="T315" s="3"/>
      <c r="U315" s="3"/>
      <c r="V315" s="3"/>
      <c r="W315" s="3"/>
    </row>
    <row r="316" spans="1:23">
      <c r="A316" s="3"/>
      <c r="B316" s="3"/>
      <c r="C316" s="13"/>
      <c r="D316" s="13"/>
      <c r="E316" s="13"/>
      <c r="F316" s="13"/>
      <c r="G316" s="3"/>
      <c r="H316" s="3"/>
      <c r="I316" s="3"/>
      <c r="J316" s="3"/>
      <c r="K316" s="3"/>
      <c r="L316" s="3"/>
      <c r="M316" s="3"/>
      <c r="N316" s="3"/>
      <c r="O316" s="3"/>
      <c r="P316" s="3"/>
      <c r="Q316" s="3"/>
      <c r="R316" s="3"/>
      <c r="S316" s="3"/>
      <c r="T316" s="3"/>
      <c r="U316" s="3"/>
      <c r="V316" s="3"/>
      <c r="W316" s="3"/>
    </row>
    <row r="317" spans="1:23">
      <c r="A317" s="3"/>
      <c r="B317" s="3"/>
      <c r="C317" s="13"/>
      <c r="D317" s="13"/>
      <c r="E317" s="13"/>
      <c r="F317" s="13"/>
      <c r="G317" s="3"/>
      <c r="H317" s="3"/>
      <c r="I317" s="3"/>
      <c r="J317" s="3"/>
      <c r="K317" s="3"/>
      <c r="L317" s="3"/>
      <c r="M317" s="3"/>
      <c r="N317" s="3"/>
      <c r="O317" s="3"/>
      <c r="P317" s="3"/>
      <c r="Q317" s="3"/>
      <c r="R317" s="3"/>
      <c r="S317" s="3"/>
      <c r="T317" s="3"/>
      <c r="U317" s="3"/>
      <c r="V317" s="3"/>
      <c r="W317" s="3"/>
    </row>
    <row r="318" spans="1:23">
      <c r="A318" s="3"/>
      <c r="B318" s="3"/>
      <c r="C318" s="13"/>
      <c r="D318" s="13"/>
      <c r="E318" s="13"/>
      <c r="F318" s="13"/>
      <c r="G318" s="3"/>
      <c r="H318" s="3"/>
      <c r="I318" s="3"/>
      <c r="J318" s="3"/>
      <c r="K318" s="3"/>
      <c r="L318" s="3"/>
      <c r="M318" s="3"/>
      <c r="N318" s="3"/>
      <c r="O318" s="3"/>
      <c r="P318" s="3"/>
      <c r="Q318" s="3"/>
      <c r="R318" s="3"/>
      <c r="S318" s="3"/>
      <c r="T318" s="3"/>
      <c r="U318" s="3"/>
      <c r="V318" s="3"/>
      <c r="W318" s="3"/>
    </row>
    <row r="319" spans="1:23">
      <c r="A319" s="3"/>
      <c r="B319" s="3"/>
      <c r="C319" s="13"/>
      <c r="D319" s="13"/>
      <c r="E319" s="13"/>
      <c r="F319" s="13"/>
      <c r="G319" s="3"/>
      <c r="H319" s="3"/>
      <c r="I319" s="3"/>
      <c r="J319" s="3"/>
      <c r="K319" s="3"/>
      <c r="L319" s="3"/>
      <c r="M319" s="3"/>
      <c r="N319" s="3"/>
      <c r="O319" s="3"/>
      <c r="P319" s="3"/>
      <c r="Q319" s="3"/>
      <c r="R319" s="3"/>
      <c r="S319" s="3"/>
      <c r="T319" s="3"/>
      <c r="U319" s="3"/>
      <c r="V319" s="3"/>
      <c r="W319" s="3"/>
    </row>
    <row r="320" spans="1:23">
      <c r="A320" s="3"/>
      <c r="B320" s="3"/>
      <c r="C320" s="13"/>
      <c r="D320" s="13"/>
      <c r="E320" s="13"/>
      <c r="F320" s="13"/>
      <c r="G320" s="3"/>
      <c r="H320" s="3"/>
      <c r="I320" s="3"/>
      <c r="J320" s="3"/>
      <c r="K320" s="3"/>
      <c r="L320" s="3"/>
      <c r="M320" s="3"/>
      <c r="N320" s="3"/>
      <c r="O320" s="3"/>
      <c r="P320" s="3"/>
      <c r="Q320" s="3"/>
      <c r="R320" s="3"/>
      <c r="S320" s="3"/>
      <c r="T320" s="3"/>
      <c r="U320" s="3"/>
      <c r="V320" s="3"/>
      <c r="W320" s="3"/>
    </row>
    <row r="321" spans="1:23">
      <c r="A321" s="3"/>
      <c r="B321" s="3"/>
      <c r="C321" s="13"/>
      <c r="D321" s="13"/>
      <c r="E321" s="13"/>
      <c r="F321" s="13"/>
      <c r="G321" s="3"/>
      <c r="H321" s="3"/>
      <c r="I321" s="3"/>
      <c r="J321" s="3"/>
      <c r="K321" s="3"/>
      <c r="L321" s="3"/>
      <c r="M321" s="3"/>
      <c r="N321" s="3"/>
      <c r="O321" s="3"/>
      <c r="P321" s="3"/>
      <c r="Q321" s="3"/>
      <c r="R321" s="3"/>
      <c r="S321" s="3"/>
      <c r="T321" s="3"/>
      <c r="U321" s="3"/>
      <c r="V321" s="3"/>
      <c r="W321" s="3"/>
    </row>
    <row r="322" spans="1:23">
      <c r="A322" s="3"/>
      <c r="B322" s="3"/>
      <c r="C322" s="13"/>
      <c r="D322" s="13"/>
      <c r="E322" s="13"/>
      <c r="F322" s="13"/>
      <c r="G322" s="3"/>
      <c r="H322" s="3"/>
      <c r="I322" s="3"/>
      <c r="J322" s="3"/>
      <c r="K322" s="3"/>
      <c r="L322" s="3"/>
      <c r="M322" s="3"/>
      <c r="N322" s="3"/>
      <c r="O322" s="3"/>
      <c r="P322" s="3"/>
      <c r="Q322" s="3"/>
      <c r="R322" s="3"/>
      <c r="S322" s="3"/>
      <c r="T322" s="3"/>
      <c r="U322" s="3"/>
      <c r="V322" s="3"/>
      <c r="W322" s="3"/>
    </row>
    <row r="323" spans="1:23">
      <c r="A323" s="3"/>
      <c r="B323" s="3"/>
      <c r="C323" s="13"/>
      <c r="D323" s="13"/>
      <c r="E323" s="13"/>
      <c r="F323" s="13"/>
      <c r="G323" s="3"/>
      <c r="H323" s="3"/>
      <c r="I323" s="3"/>
      <c r="J323" s="3"/>
      <c r="K323" s="3"/>
      <c r="L323" s="3"/>
      <c r="M323" s="3"/>
      <c r="N323" s="3"/>
      <c r="O323" s="3"/>
      <c r="P323" s="3"/>
      <c r="Q323" s="3"/>
      <c r="R323" s="3"/>
      <c r="S323" s="3"/>
      <c r="T323" s="3"/>
      <c r="U323" s="3"/>
      <c r="V323" s="3"/>
      <c r="W323" s="3"/>
    </row>
    <row r="324" spans="1:23">
      <c r="A324" s="3"/>
      <c r="B324" s="3"/>
      <c r="C324" s="13"/>
      <c r="D324" s="13"/>
      <c r="E324" s="13"/>
      <c r="F324" s="13"/>
      <c r="G324" s="3"/>
      <c r="H324" s="3"/>
      <c r="I324" s="3"/>
      <c r="J324" s="3"/>
      <c r="K324" s="3"/>
      <c r="L324" s="3"/>
      <c r="M324" s="3"/>
      <c r="N324" s="3"/>
      <c r="O324" s="3"/>
      <c r="P324" s="3"/>
      <c r="Q324" s="3"/>
      <c r="R324" s="3"/>
      <c r="S324" s="3"/>
      <c r="T324" s="3"/>
      <c r="U324" s="3"/>
      <c r="V324" s="3"/>
      <c r="W324" s="3"/>
    </row>
    <row r="325" spans="1:23">
      <c r="A325" s="3"/>
      <c r="B325" s="3"/>
      <c r="C325" s="13"/>
      <c r="D325" s="13"/>
      <c r="E325" s="13"/>
      <c r="F325" s="13"/>
      <c r="G325" s="3"/>
      <c r="H325" s="3"/>
      <c r="I325" s="3"/>
      <c r="J325" s="3"/>
      <c r="K325" s="3"/>
      <c r="L325" s="3"/>
      <c r="M325" s="3"/>
      <c r="N325" s="3"/>
      <c r="O325" s="3"/>
      <c r="P325" s="3"/>
      <c r="Q325" s="3"/>
      <c r="R325" s="3"/>
      <c r="S325" s="3"/>
      <c r="T325" s="3"/>
      <c r="U325" s="3"/>
      <c r="V325" s="3"/>
      <c r="W325" s="3"/>
    </row>
    <row r="326" spans="1:23">
      <c r="A326" s="3"/>
      <c r="B326" s="3"/>
      <c r="C326" s="13"/>
      <c r="D326" s="13"/>
      <c r="E326" s="13"/>
      <c r="F326" s="13"/>
      <c r="G326" s="3"/>
      <c r="H326" s="3"/>
      <c r="I326" s="3"/>
      <c r="J326" s="3"/>
      <c r="K326" s="3"/>
      <c r="L326" s="3"/>
      <c r="M326" s="3"/>
      <c r="N326" s="3"/>
      <c r="O326" s="3"/>
      <c r="P326" s="3"/>
      <c r="Q326" s="3"/>
      <c r="R326" s="3"/>
      <c r="S326" s="3"/>
      <c r="T326" s="3"/>
      <c r="U326" s="3"/>
      <c r="V326" s="3"/>
      <c r="W326" s="3"/>
    </row>
    <row r="327" spans="1:23">
      <c r="A327" s="3"/>
      <c r="B327" s="3"/>
      <c r="C327" s="13"/>
      <c r="D327" s="13"/>
      <c r="E327" s="13"/>
      <c r="F327" s="13"/>
      <c r="G327" s="3"/>
      <c r="H327" s="3"/>
      <c r="I327" s="3"/>
      <c r="J327" s="3"/>
      <c r="K327" s="3"/>
      <c r="L327" s="3"/>
      <c r="M327" s="3"/>
      <c r="N327" s="3"/>
      <c r="O327" s="3"/>
      <c r="P327" s="3"/>
      <c r="Q327" s="3"/>
      <c r="R327" s="3"/>
      <c r="S327" s="3"/>
      <c r="T327" s="3"/>
      <c r="U327" s="3"/>
      <c r="V327" s="3"/>
      <c r="W327" s="3"/>
    </row>
    <row r="328" spans="1:23">
      <c r="A328" s="3"/>
      <c r="B328" s="3"/>
      <c r="C328" s="13"/>
      <c r="D328" s="13"/>
      <c r="E328" s="13"/>
      <c r="F328" s="13"/>
      <c r="G328" s="3"/>
      <c r="H328" s="3"/>
      <c r="I328" s="3"/>
      <c r="J328" s="3"/>
      <c r="K328" s="3"/>
      <c r="L328" s="3"/>
      <c r="M328" s="3"/>
      <c r="N328" s="3"/>
      <c r="O328" s="3"/>
      <c r="P328" s="3"/>
      <c r="Q328" s="3"/>
      <c r="R328" s="3"/>
      <c r="S328" s="3"/>
      <c r="T328" s="3"/>
      <c r="U328" s="3"/>
      <c r="V328" s="3"/>
      <c r="W328" s="3"/>
    </row>
    <row r="329" spans="1:23">
      <c r="A329" s="3"/>
      <c r="B329" s="3"/>
      <c r="C329" s="13"/>
      <c r="D329" s="13"/>
      <c r="E329" s="13"/>
      <c r="F329" s="13"/>
      <c r="G329" s="3"/>
      <c r="H329" s="3"/>
      <c r="I329" s="3"/>
      <c r="J329" s="3"/>
      <c r="K329" s="3"/>
      <c r="L329" s="3"/>
      <c r="M329" s="3"/>
      <c r="N329" s="3"/>
      <c r="O329" s="3"/>
      <c r="P329" s="3"/>
      <c r="Q329" s="3"/>
      <c r="R329" s="3"/>
      <c r="S329" s="3"/>
      <c r="T329" s="3"/>
      <c r="U329" s="3"/>
      <c r="V329" s="3"/>
      <c r="W329" s="3"/>
    </row>
    <row r="330" spans="1:23">
      <c r="A330" s="3"/>
      <c r="B330" s="3"/>
      <c r="C330" s="13"/>
      <c r="D330" s="13"/>
      <c r="E330" s="13"/>
      <c r="F330" s="13"/>
      <c r="G330" s="3"/>
      <c r="H330" s="3"/>
      <c r="I330" s="3"/>
      <c r="J330" s="3"/>
      <c r="K330" s="3"/>
      <c r="L330" s="3"/>
      <c r="M330" s="3"/>
      <c r="N330" s="3"/>
      <c r="O330" s="3"/>
      <c r="P330" s="3"/>
      <c r="Q330" s="3"/>
      <c r="R330" s="3"/>
      <c r="S330" s="3"/>
      <c r="T330" s="3"/>
      <c r="U330" s="3"/>
      <c r="V330" s="3"/>
      <c r="W330" s="3"/>
    </row>
    <row r="331" spans="1:23">
      <c r="A331" s="3"/>
      <c r="B331" s="3"/>
      <c r="C331" s="13"/>
      <c r="D331" s="13"/>
      <c r="E331" s="13"/>
      <c r="F331" s="13"/>
      <c r="G331" s="3"/>
      <c r="H331" s="3"/>
      <c r="I331" s="3"/>
      <c r="J331" s="3"/>
      <c r="K331" s="3"/>
      <c r="L331" s="3"/>
      <c r="M331" s="3"/>
      <c r="N331" s="3"/>
      <c r="O331" s="3"/>
      <c r="P331" s="3"/>
      <c r="Q331" s="3"/>
      <c r="R331" s="3"/>
      <c r="S331" s="3"/>
      <c r="T331" s="3"/>
      <c r="U331" s="3"/>
      <c r="V331" s="3"/>
      <c r="W331" s="3"/>
    </row>
    <row r="332" spans="1:23">
      <c r="A332" s="3"/>
      <c r="B332" s="3"/>
      <c r="C332" s="13"/>
      <c r="D332" s="13"/>
      <c r="E332" s="13"/>
      <c r="F332" s="13"/>
      <c r="G332" s="3"/>
      <c r="H332" s="3"/>
      <c r="I332" s="3"/>
      <c r="J332" s="3"/>
      <c r="K332" s="3"/>
      <c r="L332" s="3"/>
      <c r="M332" s="3"/>
      <c r="N332" s="3"/>
      <c r="O332" s="3"/>
      <c r="P332" s="3"/>
      <c r="Q332" s="3"/>
      <c r="R332" s="3"/>
      <c r="S332" s="3"/>
      <c r="T332" s="3"/>
      <c r="U332" s="3"/>
      <c r="V332" s="3"/>
      <c r="W332" s="3"/>
    </row>
    <row r="333" spans="1:23">
      <c r="A333" s="3"/>
      <c r="B333" s="3"/>
      <c r="C333" s="13"/>
      <c r="D333" s="13"/>
      <c r="E333" s="13"/>
      <c r="F333" s="13"/>
      <c r="G333" s="3"/>
      <c r="H333" s="3"/>
      <c r="I333" s="3"/>
      <c r="J333" s="3"/>
      <c r="K333" s="3"/>
      <c r="L333" s="3"/>
      <c r="M333" s="3"/>
      <c r="N333" s="3"/>
      <c r="O333" s="3"/>
      <c r="P333" s="3"/>
      <c r="Q333" s="3"/>
      <c r="R333" s="3"/>
      <c r="S333" s="3"/>
      <c r="T333" s="3"/>
      <c r="U333" s="3"/>
      <c r="V333" s="3"/>
      <c r="W333" s="3"/>
    </row>
    <row r="334" spans="1:23">
      <c r="A334" s="3"/>
      <c r="B334" s="3"/>
      <c r="C334" s="13"/>
      <c r="D334" s="13"/>
      <c r="E334" s="13"/>
      <c r="F334" s="13"/>
      <c r="G334" s="3"/>
      <c r="H334" s="3"/>
      <c r="I334" s="3"/>
      <c r="J334" s="3"/>
      <c r="K334" s="3"/>
      <c r="L334" s="3"/>
      <c r="M334" s="3"/>
      <c r="N334" s="3"/>
      <c r="O334" s="3"/>
      <c r="P334" s="3"/>
      <c r="Q334" s="3"/>
      <c r="R334" s="3"/>
      <c r="S334" s="3"/>
      <c r="T334" s="3"/>
      <c r="U334" s="3"/>
      <c r="V334" s="3"/>
      <c r="W334" s="3"/>
    </row>
    <row r="335" spans="1:23">
      <c r="A335" s="3"/>
      <c r="B335" s="3"/>
      <c r="C335" s="13"/>
      <c r="D335" s="13"/>
      <c r="E335" s="13"/>
      <c r="F335" s="13"/>
      <c r="G335" s="3"/>
      <c r="H335" s="3"/>
      <c r="I335" s="3"/>
      <c r="J335" s="3"/>
      <c r="K335" s="3"/>
      <c r="L335" s="3"/>
      <c r="M335" s="3"/>
      <c r="N335" s="3"/>
      <c r="O335" s="3"/>
      <c r="P335" s="3"/>
      <c r="Q335" s="3"/>
      <c r="R335" s="3"/>
      <c r="S335" s="3"/>
      <c r="T335" s="3"/>
      <c r="U335" s="3"/>
      <c r="V335" s="3"/>
      <c r="W335" s="3"/>
    </row>
    <row r="336" spans="1:23">
      <c r="A336" s="3"/>
      <c r="B336" s="3"/>
      <c r="C336" s="13"/>
      <c r="D336" s="13"/>
      <c r="E336" s="13"/>
      <c r="F336" s="13"/>
      <c r="G336" s="3"/>
      <c r="H336" s="3"/>
      <c r="I336" s="3"/>
      <c r="J336" s="3"/>
      <c r="K336" s="3"/>
      <c r="L336" s="3"/>
      <c r="M336" s="3"/>
      <c r="N336" s="3"/>
      <c r="O336" s="3"/>
      <c r="P336" s="3"/>
      <c r="Q336" s="3"/>
      <c r="R336" s="3"/>
      <c r="S336" s="3"/>
      <c r="T336" s="3"/>
      <c r="U336" s="3"/>
      <c r="V336" s="3"/>
      <c r="W336" s="3"/>
    </row>
    <row r="337" spans="1:23">
      <c r="A337" s="3"/>
      <c r="B337" s="3"/>
      <c r="C337" s="13"/>
      <c r="D337" s="13"/>
      <c r="E337" s="13"/>
      <c r="F337" s="13"/>
      <c r="G337" s="3"/>
      <c r="H337" s="3"/>
      <c r="I337" s="3"/>
      <c r="J337" s="3"/>
      <c r="K337" s="3"/>
      <c r="L337" s="3"/>
      <c r="M337" s="3"/>
      <c r="N337" s="3"/>
      <c r="O337" s="3"/>
      <c r="P337" s="3"/>
      <c r="Q337" s="3"/>
      <c r="R337" s="3"/>
      <c r="S337" s="3"/>
      <c r="T337" s="3"/>
      <c r="U337" s="3"/>
      <c r="V337" s="3"/>
      <c r="W337" s="3"/>
    </row>
    <row r="338" spans="1:23">
      <c r="A338" s="3"/>
      <c r="B338" s="3"/>
      <c r="C338" s="13"/>
      <c r="D338" s="13"/>
      <c r="E338" s="13"/>
      <c r="F338" s="13"/>
      <c r="G338" s="3"/>
      <c r="H338" s="3"/>
      <c r="I338" s="3"/>
      <c r="J338" s="3"/>
      <c r="K338" s="3"/>
      <c r="L338" s="3"/>
      <c r="M338" s="3"/>
      <c r="N338" s="3"/>
      <c r="O338" s="3"/>
      <c r="P338" s="3"/>
      <c r="Q338" s="3"/>
      <c r="R338" s="3"/>
      <c r="S338" s="3"/>
      <c r="T338" s="3"/>
      <c r="U338" s="3"/>
      <c r="V338" s="3"/>
      <c r="W338" s="3"/>
    </row>
    <row r="339" spans="1:23">
      <c r="A339" s="3"/>
      <c r="B339" s="3"/>
      <c r="C339" s="13"/>
      <c r="D339" s="13"/>
      <c r="E339" s="13"/>
      <c r="F339" s="13"/>
      <c r="G339" s="3"/>
      <c r="H339" s="3"/>
      <c r="I339" s="3"/>
      <c r="J339" s="3"/>
      <c r="K339" s="3"/>
      <c r="L339" s="3"/>
      <c r="M339" s="3"/>
      <c r="N339" s="3"/>
      <c r="O339" s="3"/>
      <c r="P339" s="3"/>
      <c r="Q339" s="3"/>
      <c r="R339" s="3"/>
      <c r="S339" s="3"/>
      <c r="T339" s="3"/>
      <c r="U339" s="3"/>
      <c r="V339" s="3"/>
      <c r="W339" s="3"/>
    </row>
    <row r="340" spans="1:23">
      <c r="A340" s="3"/>
      <c r="B340" s="3"/>
      <c r="C340" s="13"/>
      <c r="D340" s="13"/>
      <c r="E340" s="13"/>
      <c r="F340" s="13"/>
      <c r="G340" s="3"/>
      <c r="H340" s="3"/>
      <c r="I340" s="3"/>
      <c r="J340" s="3"/>
      <c r="K340" s="3"/>
      <c r="L340" s="3"/>
      <c r="M340" s="3"/>
      <c r="N340" s="3"/>
      <c r="O340" s="3"/>
      <c r="P340" s="3"/>
      <c r="Q340" s="3"/>
      <c r="R340" s="3"/>
      <c r="S340" s="3"/>
      <c r="T340" s="3"/>
      <c r="U340" s="3"/>
      <c r="V340" s="3"/>
      <c r="W340" s="3"/>
    </row>
    <row r="341" spans="1:23">
      <c r="A341" s="3"/>
      <c r="B341" s="3"/>
      <c r="C341" s="13"/>
      <c r="D341" s="13"/>
      <c r="E341" s="13"/>
      <c r="F341" s="13"/>
      <c r="G341" s="3"/>
      <c r="H341" s="3"/>
      <c r="I341" s="3"/>
      <c r="J341" s="3"/>
      <c r="K341" s="3"/>
      <c r="L341" s="3"/>
      <c r="M341" s="3"/>
      <c r="N341" s="3"/>
      <c r="O341" s="3"/>
      <c r="P341" s="3"/>
      <c r="Q341" s="3"/>
      <c r="R341" s="3"/>
      <c r="S341" s="3"/>
      <c r="T341" s="3"/>
      <c r="U341" s="3"/>
      <c r="V341" s="3"/>
      <c r="W341" s="3"/>
    </row>
    <row r="342" spans="1:23">
      <c r="A342" s="3"/>
      <c r="B342" s="3"/>
      <c r="C342" s="13"/>
      <c r="D342" s="13"/>
      <c r="E342" s="13"/>
      <c r="F342" s="13"/>
      <c r="G342" s="3"/>
      <c r="H342" s="3"/>
      <c r="I342" s="3"/>
      <c r="J342" s="3"/>
      <c r="K342" s="3"/>
      <c r="L342" s="3"/>
      <c r="M342" s="3"/>
      <c r="N342" s="3"/>
      <c r="O342" s="3"/>
      <c r="P342" s="3"/>
      <c r="Q342" s="3"/>
      <c r="R342" s="3"/>
      <c r="S342" s="3"/>
      <c r="T342" s="3"/>
      <c r="U342" s="3"/>
      <c r="V342" s="3"/>
      <c r="W342" s="3"/>
    </row>
    <row r="343" spans="1:23">
      <c r="A343" s="3"/>
      <c r="B343" s="3"/>
      <c r="C343" s="13"/>
      <c r="D343" s="13"/>
      <c r="E343" s="13"/>
      <c r="F343" s="13"/>
      <c r="G343" s="3"/>
      <c r="H343" s="3"/>
      <c r="I343" s="3"/>
      <c r="J343" s="3"/>
      <c r="K343" s="3"/>
      <c r="L343" s="3"/>
      <c r="M343" s="3"/>
      <c r="N343" s="3"/>
      <c r="O343" s="3"/>
      <c r="P343" s="3"/>
      <c r="Q343" s="3"/>
      <c r="R343" s="3"/>
      <c r="S343" s="3"/>
      <c r="T343" s="3"/>
      <c r="U343" s="3"/>
      <c r="V343" s="3"/>
      <c r="W343" s="3"/>
    </row>
    <row r="344" spans="1:23">
      <c r="A344" s="3"/>
      <c r="B344" s="3"/>
      <c r="C344" s="13"/>
      <c r="D344" s="13"/>
      <c r="E344" s="13"/>
      <c r="F344" s="13"/>
      <c r="G344" s="3"/>
      <c r="H344" s="3"/>
      <c r="I344" s="3"/>
      <c r="J344" s="3"/>
      <c r="K344" s="3"/>
      <c r="L344" s="3"/>
      <c r="M344" s="3"/>
      <c r="N344" s="3"/>
      <c r="O344" s="3"/>
      <c r="P344" s="3"/>
      <c r="Q344" s="3"/>
      <c r="R344" s="3"/>
      <c r="S344" s="3"/>
      <c r="T344" s="3"/>
      <c r="U344" s="3"/>
      <c r="V344" s="3"/>
      <c r="W344" s="3"/>
    </row>
    <row r="345" spans="1:23">
      <c r="A345" s="3"/>
      <c r="B345" s="3"/>
      <c r="C345" s="13"/>
      <c r="D345" s="13"/>
      <c r="E345" s="13"/>
      <c r="F345" s="13"/>
      <c r="G345" s="3"/>
      <c r="H345" s="3"/>
      <c r="I345" s="3"/>
      <c r="J345" s="3"/>
      <c r="K345" s="3"/>
      <c r="L345" s="3"/>
      <c r="M345" s="3"/>
      <c r="N345" s="3"/>
      <c r="O345" s="3"/>
      <c r="P345" s="3"/>
      <c r="Q345" s="3"/>
      <c r="R345" s="3"/>
      <c r="S345" s="3"/>
      <c r="T345" s="3"/>
      <c r="U345" s="3"/>
      <c r="V345" s="3"/>
      <c r="W345" s="3"/>
    </row>
    <row r="346" spans="1:23">
      <c r="A346" s="3"/>
      <c r="B346" s="3"/>
      <c r="C346" s="13"/>
      <c r="D346" s="13"/>
      <c r="E346" s="13"/>
      <c r="F346" s="13"/>
      <c r="G346" s="3"/>
      <c r="H346" s="3"/>
      <c r="I346" s="3"/>
      <c r="J346" s="3"/>
      <c r="K346" s="3"/>
      <c r="L346" s="3"/>
      <c r="M346" s="3"/>
      <c r="N346" s="3"/>
      <c r="O346" s="3"/>
      <c r="P346" s="3"/>
      <c r="Q346" s="3"/>
      <c r="R346" s="3"/>
      <c r="S346" s="3"/>
      <c r="T346" s="3"/>
      <c r="U346" s="3"/>
      <c r="V346" s="3"/>
      <c r="W346" s="3"/>
    </row>
    <row r="347" spans="1:23">
      <c r="A347" s="3"/>
      <c r="B347" s="3"/>
      <c r="C347" s="13"/>
      <c r="D347" s="13"/>
      <c r="E347" s="13"/>
      <c r="F347" s="13"/>
      <c r="G347" s="3"/>
      <c r="H347" s="3"/>
      <c r="I347" s="3"/>
      <c r="J347" s="3"/>
      <c r="K347" s="3"/>
      <c r="L347" s="3"/>
      <c r="M347" s="3"/>
      <c r="N347" s="3"/>
      <c r="O347" s="3"/>
      <c r="P347" s="3"/>
      <c r="Q347" s="3"/>
      <c r="R347" s="3"/>
      <c r="S347" s="3"/>
      <c r="T347" s="3"/>
      <c r="U347" s="3"/>
      <c r="V347" s="3"/>
      <c r="W347" s="3"/>
    </row>
    <row r="348" spans="1:23">
      <c r="A348" s="3"/>
      <c r="B348" s="3"/>
      <c r="C348" s="13"/>
      <c r="D348" s="13"/>
      <c r="E348" s="13"/>
      <c r="F348" s="13"/>
      <c r="G348" s="3"/>
      <c r="H348" s="3"/>
      <c r="I348" s="3"/>
      <c r="J348" s="3"/>
      <c r="K348" s="3"/>
      <c r="L348" s="3"/>
      <c r="M348" s="3"/>
      <c r="N348" s="3"/>
      <c r="O348" s="3"/>
      <c r="P348" s="3"/>
      <c r="Q348" s="3"/>
      <c r="R348" s="3"/>
      <c r="S348" s="3"/>
      <c r="T348" s="3"/>
      <c r="U348" s="3"/>
      <c r="V348" s="3"/>
      <c r="W348" s="3"/>
    </row>
    <row r="349" spans="1:23">
      <c r="A349" s="3"/>
      <c r="B349" s="3"/>
      <c r="C349" s="13"/>
      <c r="D349" s="13"/>
      <c r="E349" s="13"/>
      <c r="F349" s="13"/>
      <c r="G349" s="3"/>
      <c r="H349" s="3"/>
      <c r="I349" s="3"/>
      <c r="J349" s="3"/>
      <c r="K349" s="3"/>
      <c r="L349" s="3"/>
      <c r="M349" s="3"/>
      <c r="N349" s="3"/>
      <c r="O349" s="3"/>
      <c r="P349" s="3"/>
      <c r="Q349" s="3"/>
      <c r="R349" s="3"/>
      <c r="S349" s="3"/>
      <c r="T349" s="3"/>
      <c r="U349" s="3"/>
      <c r="V349" s="3"/>
      <c r="W349" s="3"/>
    </row>
    <row r="350" spans="1:23">
      <c r="A350" s="3"/>
      <c r="B350" s="3"/>
      <c r="C350" s="13"/>
      <c r="D350" s="13"/>
      <c r="E350" s="13"/>
      <c r="F350" s="13"/>
      <c r="G350" s="3"/>
      <c r="H350" s="3"/>
      <c r="I350" s="3"/>
      <c r="J350" s="3"/>
      <c r="K350" s="3"/>
      <c r="L350" s="3"/>
      <c r="M350" s="3"/>
      <c r="N350" s="3"/>
      <c r="O350" s="3"/>
      <c r="P350" s="3"/>
      <c r="Q350" s="3"/>
      <c r="R350" s="3"/>
      <c r="S350" s="3"/>
      <c r="T350" s="3"/>
      <c r="U350" s="3"/>
      <c r="V350" s="3"/>
      <c r="W350" s="3"/>
    </row>
    <row r="351" spans="1:23">
      <c r="A351" s="3"/>
      <c r="B351" s="3"/>
      <c r="C351" s="13"/>
      <c r="D351" s="13"/>
      <c r="E351" s="13"/>
      <c r="F351" s="13"/>
      <c r="G351" s="3"/>
      <c r="H351" s="3"/>
      <c r="I351" s="3"/>
      <c r="J351" s="3"/>
      <c r="K351" s="3"/>
      <c r="L351" s="3"/>
      <c r="M351" s="3"/>
      <c r="N351" s="3"/>
      <c r="O351" s="3"/>
      <c r="P351" s="3"/>
      <c r="Q351" s="3"/>
      <c r="R351" s="3"/>
      <c r="S351" s="3"/>
      <c r="T351" s="3"/>
      <c r="U351" s="3"/>
      <c r="V351" s="3"/>
      <c r="W351" s="3"/>
    </row>
    <row r="352" spans="1:23">
      <c r="A352" s="3"/>
      <c r="B352" s="3"/>
      <c r="C352" s="13"/>
      <c r="D352" s="13"/>
      <c r="E352" s="13"/>
      <c r="F352" s="13"/>
      <c r="G352" s="3"/>
      <c r="H352" s="3"/>
      <c r="I352" s="3"/>
      <c r="J352" s="3"/>
      <c r="K352" s="3"/>
      <c r="L352" s="3"/>
      <c r="M352" s="3"/>
      <c r="N352" s="3"/>
      <c r="O352" s="3"/>
      <c r="P352" s="3"/>
      <c r="Q352" s="3"/>
      <c r="R352" s="3"/>
      <c r="S352" s="3"/>
      <c r="T352" s="3"/>
      <c r="U352" s="3"/>
      <c r="V352" s="3"/>
      <c r="W352" s="3"/>
    </row>
    <row r="353" spans="1:23">
      <c r="A353" s="3"/>
      <c r="B353" s="3"/>
      <c r="C353" s="13"/>
      <c r="D353" s="13"/>
      <c r="E353" s="13"/>
      <c r="F353" s="13"/>
      <c r="G353" s="3"/>
      <c r="H353" s="3"/>
      <c r="I353" s="3"/>
      <c r="J353" s="3"/>
      <c r="K353" s="3"/>
      <c r="L353" s="3"/>
      <c r="M353" s="3"/>
      <c r="N353" s="3"/>
      <c r="O353" s="3"/>
      <c r="P353" s="3"/>
      <c r="Q353" s="3"/>
      <c r="R353" s="3"/>
      <c r="S353" s="3"/>
      <c r="T353" s="3"/>
      <c r="U353" s="3"/>
      <c r="V353" s="3"/>
      <c r="W353" s="3"/>
    </row>
    <row r="354" spans="1:23">
      <c r="A354" s="3"/>
      <c r="B354" s="3"/>
      <c r="C354" s="13"/>
      <c r="D354" s="13"/>
      <c r="E354" s="13"/>
      <c r="F354" s="13"/>
      <c r="G354" s="3"/>
      <c r="H354" s="3"/>
      <c r="I354" s="3"/>
      <c r="J354" s="3"/>
      <c r="K354" s="3"/>
      <c r="L354" s="3"/>
      <c r="M354" s="3"/>
      <c r="N354" s="3"/>
      <c r="O354" s="3"/>
      <c r="P354" s="3"/>
      <c r="Q354" s="3"/>
      <c r="R354" s="3"/>
      <c r="S354" s="3"/>
      <c r="T354" s="3"/>
      <c r="U354" s="3"/>
      <c r="V354" s="3"/>
      <c r="W354" s="3"/>
    </row>
    <row r="355" spans="1:23">
      <c r="A355" s="3"/>
      <c r="B355" s="3"/>
      <c r="C355" s="13"/>
      <c r="D355" s="13"/>
      <c r="E355" s="13"/>
      <c r="F355" s="13"/>
      <c r="G355" s="3"/>
      <c r="H355" s="3"/>
      <c r="I355" s="3"/>
      <c r="J355" s="3"/>
      <c r="K355" s="3"/>
      <c r="L355" s="3"/>
      <c r="M355" s="3"/>
      <c r="N355" s="3"/>
      <c r="O355" s="3"/>
      <c r="P355" s="3"/>
      <c r="Q355" s="3"/>
      <c r="R355" s="3"/>
      <c r="S355" s="3"/>
      <c r="T355" s="3"/>
      <c r="U355" s="3"/>
      <c r="V355" s="3"/>
      <c r="W355" s="3"/>
    </row>
    <row r="356" spans="1:23">
      <c r="A356" s="3"/>
      <c r="B356" s="3"/>
      <c r="C356" s="13"/>
      <c r="D356" s="13"/>
      <c r="E356" s="13"/>
      <c r="F356" s="13"/>
      <c r="G356" s="3"/>
      <c r="H356" s="3"/>
      <c r="I356" s="3"/>
      <c r="J356" s="3"/>
      <c r="K356" s="3"/>
      <c r="L356" s="3"/>
      <c r="M356" s="3"/>
      <c r="N356" s="3"/>
      <c r="O356" s="3"/>
      <c r="P356" s="3"/>
      <c r="Q356" s="3"/>
      <c r="R356" s="3"/>
      <c r="S356" s="3"/>
      <c r="T356" s="3"/>
      <c r="U356" s="3"/>
      <c r="V356" s="3"/>
      <c r="W356" s="3"/>
    </row>
    <row r="357" spans="1:23">
      <c r="A357" s="3"/>
      <c r="B357" s="3"/>
      <c r="C357" s="13"/>
      <c r="D357" s="13"/>
      <c r="E357" s="13"/>
      <c r="F357" s="13"/>
      <c r="G357" s="3"/>
      <c r="H357" s="3"/>
      <c r="I357" s="3"/>
      <c r="J357" s="3"/>
      <c r="K357" s="3"/>
      <c r="L357" s="3"/>
      <c r="M357" s="3"/>
      <c r="N357" s="3"/>
      <c r="O357" s="3"/>
      <c r="P357" s="3"/>
      <c r="Q357" s="3"/>
      <c r="R357" s="3"/>
      <c r="S357" s="3"/>
      <c r="T357" s="3"/>
      <c r="U357" s="3"/>
      <c r="V357" s="3"/>
      <c r="W357" s="3"/>
    </row>
    <row r="358" spans="1:23">
      <c r="A358" s="3"/>
      <c r="B358" s="3"/>
      <c r="C358" s="13"/>
      <c r="D358" s="13"/>
      <c r="E358" s="13"/>
      <c r="F358" s="13"/>
      <c r="G358" s="3"/>
      <c r="H358" s="3"/>
      <c r="I358" s="3"/>
      <c r="J358" s="3"/>
      <c r="K358" s="3"/>
      <c r="L358" s="3"/>
      <c r="M358" s="3"/>
      <c r="N358" s="3"/>
      <c r="O358" s="3"/>
      <c r="P358" s="3"/>
      <c r="Q358" s="3"/>
      <c r="R358" s="3"/>
      <c r="S358" s="3"/>
      <c r="T358" s="3"/>
      <c r="U358" s="3"/>
      <c r="V358" s="3"/>
      <c r="W358" s="3"/>
    </row>
    <row r="359" spans="1:23">
      <c r="A359" s="3"/>
      <c r="B359" s="3"/>
      <c r="C359" s="13"/>
      <c r="D359" s="13"/>
      <c r="E359" s="13"/>
      <c r="F359" s="13"/>
      <c r="G359" s="3"/>
      <c r="H359" s="3"/>
      <c r="I359" s="3"/>
      <c r="J359" s="3"/>
      <c r="K359" s="3"/>
      <c r="L359" s="3"/>
      <c r="M359" s="3"/>
      <c r="N359" s="3"/>
      <c r="O359" s="3"/>
      <c r="P359" s="3"/>
      <c r="Q359" s="3"/>
      <c r="R359" s="3"/>
      <c r="S359" s="3"/>
      <c r="T359" s="3"/>
      <c r="U359" s="3"/>
      <c r="V359" s="3"/>
      <c r="W359" s="3"/>
    </row>
    <row r="360" spans="1:23">
      <c r="A360" s="3"/>
      <c r="B360" s="3"/>
      <c r="C360" s="13"/>
      <c r="D360" s="13"/>
      <c r="E360" s="13"/>
      <c r="F360" s="13"/>
      <c r="G360" s="3"/>
      <c r="H360" s="3"/>
      <c r="I360" s="3"/>
      <c r="J360" s="3"/>
      <c r="K360" s="3"/>
      <c r="L360" s="3"/>
      <c r="M360" s="3"/>
      <c r="N360" s="3"/>
      <c r="O360" s="3"/>
      <c r="P360" s="3"/>
      <c r="Q360" s="3"/>
      <c r="R360" s="3"/>
      <c r="S360" s="3"/>
      <c r="T360" s="3"/>
      <c r="U360" s="3"/>
      <c r="V360" s="3"/>
      <c r="W360" s="3"/>
    </row>
    <row r="361" spans="1:23">
      <c r="A361" s="3"/>
      <c r="B361" s="3"/>
      <c r="C361" s="13"/>
      <c r="D361" s="13"/>
      <c r="E361" s="13"/>
      <c r="F361" s="13"/>
      <c r="G361" s="3"/>
      <c r="H361" s="3"/>
      <c r="I361" s="3"/>
      <c r="J361" s="3"/>
      <c r="K361" s="3"/>
      <c r="L361" s="3"/>
      <c r="M361" s="3"/>
      <c r="N361" s="3"/>
      <c r="O361" s="3"/>
      <c r="P361" s="3"/>
      <c r="Q361" s="3"/>
      <c r="R361" s="3"/>
      <c r="S361" s="3"/>
      <c r="T361" s="3"/>
      <c r="U361" s="3"/>
      <c r="V361" s="3"/>
      <c r="W361" s="3"/>
    </row>
    <row r="362" spans="1:23">
      <c r="A362" s="3"/>
      <c r="B362" s="3"/>
      <c r="C362" s="13"/>
      <c r="D362" s="13"/>
      <c r="E362" s="13"/>
      <c r="F362" s="13"/>
      <c r="G362" s="3"/>
      <c r="H362" s="3"/>
      <c r="I362" s="3"/>
      <c r="J362" s="3"/>
      <c r="K362" s="3"/>
      <c r="L362" s="3"/>
      <c r="M362" s="3"/>
      <c r="N362" s="3"/>
      <c r="O362" s="3"/>
      <c r="P362" s="3"/>
      <c r="Q362" s="3"/>
      <c r="R362" s="3"/>
      <c r="S362" s="3"/>
      <c r="T362" s="3"/>
      <c r="U362" s="3"/>
      <c r="V362" s="3"/>
      <c r="W362" s="3"/>
    </row>
    <row r="363" spans="1:23">
      <c r="A363" s="3"/>
      <c r="B363" s="3"/>
      <c r="C363" s="13"/>
      <c r="D363" s="13"/>
      <c r="E363" s="13"/>
      <c r="F363" s="13"/>
      <c r="G363" s="3"/>
      <c r="H363" s="3"/>
      <c r="I363" s="3"/>
      <c r="J363" s="3"/>
      <c r="K363" s="3"/>
      <c r="L363" s="3"/>
      <c r="M363" s="3"/>
      <c r="N363" s="3"/>
      <c r="O363" s="3"/>
      <c r="P363" s="3"/>
      <c r="Q363" s="3"/>
      <c r="R363" s="3"/>
      <c r="S363" s="3"/>
      <c r="T363" s="3"/>
      <c r="U363" s="3"/>
      <c r="V363" s="3"/>
      <c r="W363" s="3"/>
    </row>
    <row r="364" spans="1:23">
      <c r="A364" s="3"/>
      <c r="B364" s="3"/>
      <c r="C364" s="13"/>
      <c r="D364" s="13"/>
      <c r="E364" s="13"/>
      <c r="F364" s="13"/>
      <c r="G364" s="3"/>
      <c r="H364" s="3"/>
      <c r="I364" s="3"/>
      <c r="J364" s="3"/>
      <c r="K364" s="3"/>
      <c r="L364" s="3"/>
      <c r="M364" s="3"/>
      <c r="N364" s="3"/>
      <c r="O364" s="3"/>
      <c r="P364" s="3"/>
      <c r="Q364" s="3"/>
      <c r="R364" s="3"/>
      <c r="S364" s="3"/>
      <c r="T364" s="3"/>
      <c r="U364" s="3"/>
      <c r="V364" s="3"/>
      <c r="W364" s="3"/>
    </row>
    <row r="365" spans="1:23">
      <c r="A365" s="3"/>
      <c r="B365" s="3"/>
      <c r="C365" s="13"/>
      <c r="D365" s="13"/>
      <c r="E365" s="13"/>
      <c r="F365" s="13"/>
      <c r="G365" s="3"/>
      <c r="H365" s="3"/>
      <c r="I365" s="3"/>
      <c r="J365" s="3"/>
      <c r="K365" s="3"/>
      <c r="L365" s="3"/>
      <c r="M365" s="3"/>
      <c r="N365" s="3"/>
      <c r="O365" s="3"/>
      <c r="P365" s="3"/>
      <c r="Q365" s="3"/>
      <c r="R365" s="3"/>
      <c r="S365" s="3"/>
      <c r="T365" s="3"/>
      <c r="U365" s="3"/>
      <c r="V365" s="3"/>
      <c r="W365" s="3"/>
    </row>
    <row r="366" spans="1:23">
      <c r="A366" s="3"/>
      <c r="B366" s="3"/>
      <c r="C366" s="13"/>
      <c r="D366" s="13"/>
      <c r="E366" s="13"/>
      <c r="F366" s="13"/>
      <c r="G366" s="3"/>
      <c r="H366" s="3"/>
      <c r="I366" s="3"/>
      <c r="J366" s="3"/>
      <c r="K366" s="3"/>
      <c r="L366" s="3"/>
      <c r="M366" s="3"/>
      <c r="N366" s="3"/>
      <c r="O366" s="3"/>
      <c r="P366" s="3"/>
      <c r="Q366" s="3"/>
      <c r="R366" s="3"/>
      <c r="S366" s="3"/>
      <c r="T366" s="3"/>
      <c r="U366" s="3"/>
      <c r="V366" s="3"/>
      <c r="W366" s="3"/>
    </row>
    <row r="367" spans="1:23">
      <c r="A367" s="3"/>
      <c r="B367" s="3"/>
      <c r="C367" s="13"/>
      <c r="D367" s="13"/>
      <c r="E367" s="13"/>
      <c r="F367" s="13"/>
      <c r="G367" s="3"/>
      <c r="H367" s="3"/>
      <c r="I367" s="3"/>
      <c r="J367" s="3"/>
      <c r="K367" s="3"/>
      <c r="L367" s="3"/>
      <c r="M367" s="3"/>
      <c r="N367" s="3"/>
      <c r="O367" s="3"/>
      <c r="P367" s="3"/>
      <c r="Q367" s="3"/>
      <c r="R367" s="3"/>
      <c r="S367" s="3"/>
      <c r="T367" s="3"/>
      <c r="U367" s="3"/>
      <c r="V367" s="3"/>
      <c r="W367" s="3"/>
    </row>
    <row r="368" spans="1:23">
      <c r="A368" s="3"/>
      <c r="B368" s="3"/>
      <c r="C368" s="13"/>
      <c r="D368" s="13"/>
      <c r="E368" s="13"/>
      <c r="F368" s="13"/>
      <c r="G368" s="3"/>
      <c r="H368" s="3"/>
      <c r="I368" s="3"/>
      <c r="J368" s="3"/>
      <c r="K368" s="3"/>
      <c r="L368" s="3"/>
      <c r="M368" s="3"/>
      <c r="N368" s="3"/>
      <c r="O368" s="3"/>
      <c r="P368" s="3"/>
      <c r="Q368" s="3"/>
      <c r="R368" s="3"/>
      <c r="S368" s="3"/>
      <c r="T368" s="3"/>
      <c r="U368" s="3"/>
      <c r="V368" s="3"/>
      <c r="W368" s="3"/>
    </row>
    <row r="369" spans="1:23">
      <c r="A369" s="3"/>
      <c r="B369" s="3"/>
      <c r="C369" s="13"/>
      <c r="D369" s="13"/>
      <c r="E369" s="13"/>
      <c r="F369" s="13"/>
      <c r="G369" s="3"/>
      <c r="H369" s="3"/>
      <c r="I369" s="3"/>
      <c r="J369" s="3"/>
      <c r="K369" s="3"/>
      <c r="L369" s="3"/>
      <c r="M369" s="3"/>
      <c r="N369" s="3"/>
      <c r="O369" s="3"/>
      <c r="P369" s="3"/>
      <c r="Q369" s="3"/>
      <c r="R369" s="3"/>
      <c r="S369" s="3"/>
      <c r="T369" s="3"/>
      <c r="U369" s="3"/>
      <c r="V369" s="3"/>
      <c r="W369" s="3"/>
    </row>
    <row r="370" spans="1:23">
      <c r="A370" s="3"/>
      <c r="B370" s="3"/>
      <c r="C370" s="13"/>
      <c r="D370" s="13"/>
      <c r="E370" s="13"/>
      <c r="F370" s="13"/>
      <c r="G370" s="3"/>
      <c r="H370" s="3"/>
      <c r="I370" s="3"/>
      <c r="J370" s="3"/>
      <c r="K370" s="3"/>
      <c r="L370" s="3"/>
      <c r="M370" s="3"/>
      <c r="N370" s="3"/>
      <c r="O370" s="3"/>
      <c r="P370" s="3"/>
      <c r="Q370" s="3"/>
      <c r="R370" s="3"/>
      <c r="S370" s="3"/>
      <c r="T370" s="3"/>
      <c r="U370" s="3"/>
      <c r="V370" s="3"/>
      <c r="W370" s="3"/>
    </row>
    <row r="371" spans="1:23">
      <c r="A371" s="3"/>
      <c r="B371" s="3"/>
      <c r="C371" s="13"/>
      <c r="D371" s="13"/>
      <c r="E371" s="13"/>
      <c r="F371" s="13"/>
      <c r="G371" s="3"/>
      <c r="H371" s="3"/>
      <c r="I371" s="3"/>
      <c r="J371" s="3"/>
      <c r="K371" s="3"/>
      <c r="L371" s="3"/>
      <c r="M371" s="3"/>
      <c r="N371" s="3"/>
      <c r="O371" s="3"/>
      <c r="P371" s="3"/>
      <c r="Q371" s="3"/>
      <c r="R371" s="3"/>
      <c r="S371" s="3"/>
      <c r="T371" s="3"/>
      <c r="U371" s="3"/>
      <c r="V371" s="3"/>
      <c r="W371" s="3"/>
    </row>
    <row r="372" spans="1:23">
      <c r="A372" s="3"/>
      <c r="B372" s="3"/>
      <c r="C372" s="13"/>
      <c r="D372" s="13"/>
      <c r="E372" s="13"/>
      <c r="F372" s="13"/>
      <c r="G372" s="3"/>
      <c r="H372" s="3"/>
      <c r="I372" s="3"/>
      <c r="J372" s="3"/>
      <c r="K372" s="3"/>
      <c r="L372" s="3"/>
      <c r="M372" s="3"/>
      <c r="N372" s="3"/>
      <c r="O372" s="3"/>
      <c r="P372" s="3"/>
      <c r="Q372" s="3"/>
      <c r="R372" s="3"/>
      <c r="S372" s="3"/>
      <c r="T372" s="3"/>
      <c r="U372" s="3"/>
      <c r="V372" s="3"/>
      <c r="W372" s="3"/>
    </row>
    <row r="373" spans="1:23">
      <c r="A373" s="3"/>
      <c r="B373" s="3"/>
      <c r="C373" s="13"/>
      <c r="D373" s="13"/>
      <c r="E373" s="13"/>
      <c r="F373" s="13"/>
      <c r="G373" s="3"/>
      <c r="H373" s="3"/>
      <c r="I373" s="3"/>
      <c r="J373" s="3"/>
      <c r="K373" s="3"/>
      <c r="L373" s="3"/>
      <c r="M373" s="3"/>
      <c r="N373" s="3"/>
      <c r="O373" s="3"/>
      <c r="P373" s="3"/>
      <c r="Q373" s="3"/>
      <c r="R373" s="3"/>
      <c r="S373" s="3"/>
      <c r="T373" s="3"/>
      <c r="U373" s="3"/>
      <c r="V373" s="3"/>
      <c r="W373" s="3"/>
    </row>
    <row r="374" spans="1:23">
      <c r="A374" s="3"/>
      <c r="B374" s="3"/>
      <c r="C374" s="13"/>
      <c r="D374" s="13"/>
      <c r="E374" s="13"/>
      <c r="F374" s="13"/>
      <c r="G374" s="3"/>
      <c r="H374" s="3"/>
      <c r="I374" s="3"/>
      <c r="J374" s="3"/>
      <c r="K374" s="3"/>
      <c r="L374" s="3"/>
      <c r="M374" s="3"/>
      <c r="N374" s="3"/>
      <c r="O374" s="3"/>
      <c r="P374" s="3"/>
      <c r="Q374" s="3"/>
      <c r="R374" s="3"/>
      <c r="S374" s="3"/>
      <c r="T374" s="3"/>
      <c r="U374" s="3"/>
      <c r="V374" s="3"/>
      <c r="W374" s="3"/>
    </row>
    <row r="375" spans="1:23">
      <c r="A375" s="3"/>
      <c r="B375" s="3"/>
      <c r="C375" s="13"/>
      <c r="D375" s="13"/>
      <c r="E375" s="13"/>
      <c r="F375" s="13"/>
      <c r="G375" s="3"/>
      <c r="H375" s="3"/>
      <c r="I375" s="3"/>
      <c r="J375" s="3"/>
      <c r="K375" s="3"/>
      <c r="L375" s="3"/>
      <c r="M375" s="3"/>
      <c r="N375" s="3"/>
      <c r="O375" s="3"/>
      <c r="P375" s="3"/>
      <c r="Q375" s="3"/>
      <c r="R375" s="3"/>
      <c r="S375" s="3"/>
      <c r="T375" s="3"/>
      <c r="U375" s="3"/>
      <c r="V375" s="3"/>
      <c r="W375" s="3"/>
    </row>
    <row r="376" spans="1:23">
      <c r="A376" s="3"/>
      <c r="B376" s="3"/>
      <c r="C376" s="13"/>
      <c r="D376" s="13"/>
      <c r="E376" s="13"/>
      <c r="F376" s="13"/>
      <c r="G376" s="3"/>
      <c r="H376" s="3"/>
      <c r="I376" s="3"/>
      <c r="J376" s="3"/>
      <c r="K376" s="3"/>
      <c r="L376" s="3"/>
      <c r="M376" s="3"/>
      <c r="N376" s="3"/>
      <c r="O376" s="3"/>
      <c r="P376" s="3"/>
      <c r="Q376" s="3"/>
      <c r="R376" s="3"/>
      <c r="S376" s="3"/>
      <c r="T376" s="3"/>
      <c r="U376" s="3"/>
      <c r="V376" s="3"/>
      <c r="W376" s="3"/>
    </row>
    <row r="377" spans="1:23">
      <c r="A377" s="3"/>
      <c r="B377" s="3"/>
      <c r="C377" s="13"/>
      <c r="D377" s="13"/>
      <c r="E377" s="13"/>
      <c r="F377" s="13"/>
      <c r="G377" s="3"/>
      <c r="H377" s="3"/>
      <c r="I377" s="3"/>
      <c r="J377" s="3"/>
      <c r="K377" s="3"/>
      <c r="L377" s="3"/>
      <c r="M377" s="3"/>
      <c r="N377" s="3"/>
      <c r="O377" s="3"/>
      <c r="P377" s="3"/>
      <c r="Q377" s="3"/>
      <c r="R377" s="3"/>
      <c r="S377" s="3"/>
      <c r="T377" s="3"/>
      <c r="U377" s="3"/>
      <c r="V377" s="3"/>
      <c r="W377" s="3"/>
    </row>
    <row r="378" spans="1:23">
      <c r="A378" s="3"/>
      <c r="B378" s="3"/>
      <c r="C378" s="13"/>
      <c r="D378" s="13"/>
      <c r="E378" s="13"/>
      <c r="F378" s="13"/>
      <c r="G378" s="3"/>
      <c r="H378" s="3"/>
      <c r="I378" s="3"/>
      <c r="J378" s="3"/>
      <c r="K378" s="3"/>
      <c r="L378" s="3"/>
      <c r="M378" s="3"/>
      <c r="N378" s="3"/>
      <c r="O378" s="3"/>
      <c r="P378" s="3"/>
      <c r="Q378" s="3"/>
      <c r="R378" s="3"/>
      <c r="S378" s="3"/>
      <c r="T378" s="3"/>
      <c r="U378" s="3"/>
      <c r="V378" s="3"/>
      <c r="W378" s="3"/>
    </row>
    <row r="379" spans="1:23">
      <c r="A379" s="3"/>
      <c r="B379" s="3"/>
      <c r="C379" s="13"/>
      <c r="D379" s="13"/>
      <c r="E379" s="13"/>
      <c r="F379" s="13"/>
      <c r="G379" s="3"/>
      <c r="H379" s="3"/>
      <c r="I379" s="3"/>
      <c r="J379" s="3"/>
      <c r="K379" s="3"/>
      <c r="L379" s="3"/>
      <c r="M379" s="3"/>
      <c r="N379" s="3"/>
      <c r="O379" s="3"/>
      <c r="P379" s="3"/>
      <c r="Q379" s="3"/>
      <c r="R379" s="3"/>
      <c r="S379" s="3"/>
      <c r="T379" s="3"/>
      <c r="U379" s="3"/>
      <c r="V379" s="3"/>
      <c r="W379" s="3"/>
    </row>
    <row r="380" spans="1:23">
      <c r="A380" s="3"/>
      <c r="B380" s="3"/>
      <c r="C380" s="13"/>
      <c r="D380" s="13"/>
      <c r="E380" s="13"/>
      <c r="F380" s="13"/>
      <c r="G380" s="3"/>
      <c r="H380" s="3"/>
      <c r="I380" s="3"/>
      <c r="J380" s="3"/>
      <c r="K380" s="3"/>
      <c r="L380" s="3"/>
      <c r="M380" s="3"/>
      <c r="N380" s="3"/>
      <c r="O380" s="3"/>
      <c r="P380" s="3"/>
      <c r="Q380" s="3"/>
      <c r="R380" s="3"/>
      <c r="S380" s="3"/>
      <c r="T380" s="3"/>
      <c r="U380" s="3"/>
      <c r="V380" s="3"/>
      <c r="W380" s="3"/>
    </row>
    <row r="381" spans="1:23">
      <c r="A381" s="3"/>
      <c r="B381" s="3"/>
      <c r="C381" s="13"/>
      <c r="D381" s="13"/>
      <c r="E381" s="13"/>
      <c r="F381" s="13"/>
      <c r="G381" s="3"/>
      <c r="H381" s="3"/>
      <c r="I381" s="3"/>
      <c r="J381" s="3"/>
      <c r="K381" s="3"/>
      <c r="L381" s="3"/>
      <c r="M381" s="3"/>
      <c r="N381" s="3"/>
      <c r="O381" s="3"/>
      <c r="P381" s="3"/>
      <c r="Q381" s="3"/>
      <c r="R381" s="3"/>
      <c r="S381" s="3"/>
      <c r="T381" s="3"/>
      <c r="U381" s="3"/>
      <c r="V381" s="3"/>
      <c r="W381" s="3"/>
    </row>
    <row r="382" spans="1:23">
      <c r="A382" s="3"/>
      <c r="B382" s="3"/>
      <c r="C382" s="13"/>
      <c r="D382" s="13"/>
      <c r="E382" s="13"/>
      <c r="F382" s="13"/>
      <c r="G382" s="3"/>
      <c r="H382" s="3"/>
      <c r="I382" s="3"/>
      <c r="J382" s="3"/>
      <c r="K382" s="3"/>
      <c r="L382" s="3"/>
      <c r="M382" s="3"/>
      <c r="N382" s="3"/>
      <c r="O382" s="3"/>
      <c r="P382" s="3"/>
      <c r="Q382" s="3"/>
      <c r="R382" s="3"/>
      <c r="S382" s="3"/>
      <c r="T382" s="3"/>
      <c r="U382" s="3"/>
      <c r="V382" s="3"/>
      <c r="W382" s="3"/>
    </row>
    <row r="383" spans="1:23">
      <c r="A383" s="3"/>
      <c r="B383" s="3"/>
      <c r="C383" s="13"/>
      <c r="D383" s="13"/>
      <c r="E383" s="13"/>
      <c r="F383" s="13"/>
      <c r="G383" s="3"/>
      <c r="H383" s="3"/>
      <c r="I383" s="3"/>
      <c r="J383" s="3"/>
      <c r="K383" s="3"/>
      <c r="L383" s="3"/>
      <c r="M383" s="3"/>
      <c r="N383" s="3"/>
      <c r="O383" s="3"/>
      <c r="P383" s="3"/>
      <c r="Q383" s="3"/>
      <c r="R383" s="3"/>
      <c r="S383" s="3"/>
      <c r="T383" s="3"/>
      <c r="U383" s="3"/>
      <c r="V383" s="3"/>
      <c r="W383" s="3"/>
    </row>
    <row r="384" spans="1:23">
      <c r="A384" s="3"/>
      <c r="B384" s="3"/>
      <c r="C384" s="13"/>
      <c r="D384" s="13"/>
      <c r="E384" s="13"/>
      <c r="F384" s="13"/>
      <c r="G384" s="3"/>
      <c r="H384" s="3"/>
      <c r="I384" s="3"/>
      <c r="J384" s="3"/>
      <c r="K384" s="3"/>
      <c r="L384" s="3"/>
      <c r="M384" s="3"/>
      <c r="N384" s="3"/>
      <c r="O384" s="3"/>
      <c r="P384" s="3"/>
      <c r="Q384" s="3"/>
      <c r="R384" s="3"/>
      <c r="S384" s="3"/>
      <c r="T384" s="3"/>
      <c r="U384" s="3"/>
      <c r="V384" s="3"/>
      <c r="W384" s="3"/>
    </row>
    <row r="385" spans="1:23">
      <c r="A385" s="3"/>
      <c r="B385" s="3"/>
      <c r="C385" s="13"/>
      <c r="D385" s="13"/>
      <c r="E385" s="13"/>
      <c r="F385" s="13"/>
      <c r="G385" s="3"/>
      <c r="H385" s="3"/>
      <c r="I385" s="3"/>
      <c r="J385" s="3"/>
      <c r="K385" s="3"/>
      <c r="L385" s="3"/>
      <c r="M385" s="3"/>
      <c r="N385" s="3"/>
      <c r="O385" s="3"/>
      <c r="P385" s="3"/>
      <c r="Q385" s="3"/>
      <c r="R385" s="3"/>
      <c r="S385" s="3"/>
      <c r="T385" s="3"/>
      <c r="U385" s="3"/>
      <c r="V385" s="3"/>
      <c r="W385" s="3"/>
    </row>
    <row r="386" spans="1:23">
      <c r="A386" s="3"/>
      <c r="B386" s="3"/>
      <c r="C386" s="13"/>
      <c r="D386" s="13"/>
      <c r="E386" s="13"/>
      <c r="F386" s="13"/>
      <c r="G386" s="3"/>
      <c r="H386" s="3"/>
      <c r="I386" s="3"/>
      <c r="J386" s="3"/>
      <c r="K386" s="3"/>
      <c r="L386" s="3"/>
      <c r="M386" s="3"/>
      <c r="N386" s="3"/>
      <c r="O386" s="3"/>
      <c r="P386" s="3"/>
      <c r="Q386" s="3"/>
      <c r="R386" s="3"/>
      <c r="S386" s="3"/>
      <c r="T386" s="3"/>
      <c r="U386" s="3"/>
      <c r="V386" s="3"/>
      <c r="W386" s="3"/>
    </row>
    <row r="387" spans="1:23">
      <c r="A387" s="3"/>
      <c r="B387" s="3"/>
      <c r="C387" s="13"/>
      <c r="D387" s="13"/>
      <c r="E387" s="13"/>
      <c r="F387" s="13"/>
      <c r="G387" s="3"/>
      <c r="H387" s="3"/>
      <c r="I387" s="3"/>
      <c r="J387" s="3"/>
      <c r="K387" s="3"/>
      <c r="L387" s="3"/>
      <c r="M387" s="3"/>
      <c r="N387" s="3"/>
      <c r="O387" s="3"/>
      <c r="P387" s="3"/>
      <c r="Q387" s="3"/>
      <c r="R387" s="3"/>
      <c r="S387" s="3"/>
      <c r="T387" s="3"/>
      <c r="U387" s="3"/>
      <c r="V387" s="3"/>
      <c r="W387" s="3"/>
    </row>
    <row r="388" spans="1:23">
      <c r="A388" s="3"/>
      <c r="B388" s="3"/>
      <c r="C388" s="13"/>
      <c r="D388" s="13"/>
      <c r="E388" s="13"/>
      <c r="F388" s="13"/>
      <c r="G388" s="3"/>
      <c r="H388" s="3"/>
      <c r="I388" s="3"/>
      <c r="J388" s="3"/>
      <c r="K388" s="3"/>
      <c r="L388" s="3"/>
      <c r="M388" s="3"/>
      <c r="N388" s="3"/>
      <c r="O388" s="3"/>
      <c r="P388" s="3"/>
      <c r="Q388" s="3"/>
      <c r="R388" s="3"/>
      <c r="S388" s="3"/>
      <c r="T388" s="3"/>
      <c r="U388" s="3"/>
      <c r="V388" s="3"/>
      <c r="W388" s="3"/>
    </row>
    <row r="389" spans="1:23">
      <c r="A389" s="3"/>
      <c r="B389" s="3"/>
      <c r="C389" s="13"/>
      <c r="D389" s="13"/>
      <c r="E389" s="13"/>
      <c r="F389" s="13"/>
      <c r="G389" s="3"/>
      <c r="H389" s="3"/>
      <c r="I389" s="3"/>
      <c r="J389" s="3"/>
      <c r="K389" s="3"/>
      <c r="L389" s="3"/>
      <c r="M389" s="3"/>
      <c r="N389" s="3"/>
      <c r="O389" s="3"/>
      <c r="P389" s="3"/>
      <c r="Q389" s="3"/>
      <c r="R389" s="3"/>
      <c r="S389" s="3"/>
      <c r="T389" s="3"/>
      <c r="U389" s="3"/>
      <c r="V389" s="3"/>
      <c r="W389" s="3"/>
    </row>
    <row r="390" spans="1:23">
      <c r="A390" s="3"/>
      <c r="B390" s="3"/>
      <c r="C390" s="13"/>
      <c r="D390" s="13"/>
      <c r="E390" s="13"/>
      <c r="F390" s="13"/>
      <c r="G390" s="3"/>
      <c r="H390" s="3"/>
      <c r="I390" s="3"/>
      <c r="J390" s="3"/>
      <c r="K390" s="3"/>
      <c r="L390" s="3"/>
      <c r="M390" s="3"/>
      <c r="N390" s="3"/>
      <c r="O390" s="3"/>
      <c r="P390" s="3"/>
      <c r="Q390" s="3"/>
      <c r="R390" s="3"/>
      <c r="S390" s="3"/>
      <c r="T390" s="3"/>
      <c r="U390" s="3"/>
      <c r="V390" s="3"/>
      <c r="W390" s="3"/>
    </row>
    <row r="391" spans="1:23">
      <c r="A391" s="3"/>
      <c r="B391" s="3"/>
      <c r="C391" s="13"/>
      <c r="D391" s="13"/>
      <c r="E391" s="13"/>
      <c r="F391" s="13"/>
      <c r="G391" s="3"/>
      <c r="H391" s="3"/>
      <c r="I391" s="3"/>
      <c r="J391" s="3"/>
      <c r="K391" s="3"/>
      <c r="L391" s="3"/>
      <c r="M391" s="3"/>
      <c r="N391" s="3"/>
      <c r="O391" s="3"/>
      <c r="P391" s="3"/>
      <c r="Q391" s="3"/>
      <c r="R391" s="3"/>
      <c r="S391" s="3"/>
      <c r="T391" s="3"/>
      <c r="U391" s="3"/>
      <c r="V391" s="3"/>
      <c r="W391" s="3"/>
    </row>
    <row r="392" spans="1:23">
      <c r="A392" s="3"/>
      <c r="B392" s="3"/>
      <c r="C392" s="13"/>
      <c r="D392" s="13"/>
      <c r="E392" s="13"/>
      <c r="F392" s="13"/>
      <c r="G392" s="3"/>
      <c r="H392" s="3"/>
      <c r="I392" s="3"/>
      <c r="J392" s="3"/>
      <c r="K392" s="3"/>
      <c r="L392" s="3"/>
      <c r="M392" s="3"/>
      <c r="N392" s="3"/>
      <c r="O392" s="3"/>
      <c r="P392" s="3"/>
      <c r="Q392" s="3"/>
      <c r="R392" s="3"/>
      <c r="S392" s="3"/>
      <c r="T392" s="3"/>
      <c r="U392" s="3"/>
      <c r="V392" s="3"/>
      <c r="W392" s="3"/>
    </row>
    <row r="393" spans="1:23">
      <c r="A393" s="3"/>
      <c r="B393" s="3"/>
      <c r="C393" s="13"/>
      <c r="D393" s="13"/>
      <c r="E393" s="13"/>
      <c r="F393" s="13"/>
      <c r="G393" s="3"/>
      <c r="H393" s="3"/>
      <c r="I393" s="3"/>
      <c r="J393" s="3"/>
      <c r="K393" s="3"/>
      <c r="L393" s="3"/>
      <c r="M393" s="3"/>
      <c r="N393" s="3"/>
      <c r="O393" s="3"/>
      <c r="P393" s="3"/>
      <c r="Q393" s="3"/>
      <c r="R393" s="3"/>
      <c r="S393" s="3"/>
      <c r="T393" s="3"/>
      <c r="U393" s="3"/>
      <c r="V393" s="3"/>
      <c r="W393" s="3"/>
    </row>
    <row r="394" spans="1:23">
      <c r="A394" s="3"/>
      <c r="B394" s="3"/>
      <c r="C394" s="13"/>
      <c r="D394" s="13"/>
      <c r="E394" s="13"/>
      <c r="F394" s="13"/>
      <c r="G394" s="3"/>
      <c r="H394" s="3"/>
      <c r="I394" s="3"/>
      <c r="J394" s="3"/>
      <c r="K394" s="3"/>
      <c r="L394" s="3"/>
      <c r="M394" s="3"/>
      <c r="N394" s="3"/>
      <c r="O394" s="3"/>
      <c r="P394" s="3"/>
      <c r="Q394" s="3"/>
      <c r="R394" s="3"/>
      <c r="S394" s="3"/>
      <c r="T394" s="3"/>
      <c r="U394" s="3"/>
      <c r="V394" s="3"/>
      <c r="W394" s="3"/>
    </row>
    <row r="395" spans="1:23">
      <c r="A395" s="3"/>
      <c r="B395" s="3"/>
      <c r="C395" s="13"/>
      <c r="D395" s="13"/>
      <c r="E395" s="13"/>
      <c r="F395" s="13"/>
      <c r="G395" s="3"/>
      <c r="H395" s="3"/>
      <c r="I395" s="3"/>
      <c r="J395" s="3"/>
      <c r="K395" s="3"/>
      <c r="L395" s="3"/>
      <c r="M395" s="3"/>
      <c r="N395" s="3"/>
      <c r="O395" s="3"/>
      <c r="P395" s="3"/>
      <c r="Q395" s="3"/>
      <c r="R395" s="3"/>
      <c r="S395" s="3"/>
      <c r="T395" s="3"/>
      <c r="U395" s="3"/>
      <c r="V395" s="3"/>
      <c r="W395" s="3"/>
    </row>
    <row r="396" spans="1:23">
      <c r="A396" s="3"/>
      <c r="B396" s="3"/>
      <c r="C396" s="13"/>
      <c r="D396" s="13"/>
      <c r="E396" s="13"/>
      <c r="F396" s="13"/>
      <c r="G396" s="3"/>
      <c r="H396" s="3"/>
      <c r="I396" s="3"/>
      <c r="J396" s="3"/>
      <c r="K396" s="3"/>
      <c r="L396" s="3"/>
      <c r="M396" s="3"/>
      <c r="N396" s="3"/>
      <c r="O396" s="3"/>
      <c r="P396" s="3"/>
      <c r="Q396" s="3"/>
      <c r="R396" s="3"/>
      <c r="S396" s="3"/>
      <c r="T396" s="3"/>
      <c r="U396" s="3"/>
      <c r="V396" s="3"/>
      <c r="W396" s="3"/>
    </row>
    <row r="397" spans="1:23">
      <c r="A397" s="3"/>
      <c r="B397" s="3"/>
      <c r="C397" s="13"/>
      <c r="D397" s="13"/>
      <c r="E397" s="13"/>
      <c r="F397" s="13"/>
      <c r="G397" s="3"/>
      <c r="H397" s="3"/>
      <c r="I397" s="3"/>
      <c r="J397" s="3"/>
      <c r="K397" s="3"/>
      <c r="L397" s="3"/>
      <c r="M397" s="3"/>
      <c r="N397" s="3"/>
      <c r="O397" s="3"/>
      <c r="P397" s="3"/>
      <c r="Q397" s="3"/>
      <c r="R397" s="3"/>
      <c r="S397" s="3"/>
      <c r="T397" s="3"/>
      <c r="U397" s="3"/>
      <c r="V397" s="3"/>
      <c r="W397" s="3"/>
    </row>
    <row r="398" spans="1:23">
      <c r="A398" s="3"/>
      <c r="B398" s="3"/>
      <c r="C398" s="13"/>
      <c r="D398" s="13"/>
      <c r="E398" s="13"/>
      <c r="F398" s="13"/>
      <c r="G398" s="3"/>
      <c r="H398" s="3"/>
      <c r="I398" s="3"/>
      <c r="J398" s="3"/>
      <c r="K398" s="3"/>
      <c r="L398" s="3"/>
      <c r="M398" s="3"/>
      <c r="N398" s="3"/>
      <c r="O398" s="3"/>
      <c r="P398" s="3"/>
      <c r="Q398" s="3"/>
      <c r="R398" s="3"/>
      <c r="S398" s="3"/>
      <c r="T398" s="3"/>
      <c r="U398" s="3"/>
      <c r="V398" s="3"/>
      <c r="W398" s="3"/>
    </row>
    <row r="399" spans="1:23">
      <c r="A399" s="3"/>
      <c r="B399" s="3"/>
      <c r="C399" s="13"/>
      <c r="D399" s="13"/>
      <c r="E399" s="13"/>
      <c r="F399" s="13"/>
      <c r="G399" s="3"/>
      <c r="H399" s="3"/>
      <c r="I399" s="3"/>
      <c r="J399" s="3"/>
      <c r="K399" s="3"/>
      <c r="L399" s="3"/>
      <c r="M399" s="3"/>
      <c r="N399" s="3"/>
      <c r="O399" s="3"/>
      <c r="P399" s="3"/>
      <c r="Q399" s="3"/>
      <c r="R399" s="3"/>
      <c r="S399" s="3"/>
      <c r="T399" s="3"/>
      <c r="U399" s="3"/>
      <c r="V399" s="3"/>
      <c r="W399" s="3"/>
    </row>
    <row r="400" spans="1:23">
      <c r="A400" s="3"/>
      <c r="B400" s="3"/>
      <c r="C400" s="13"/>
      <c r="D400" s="13"/>
      <c r="E400" s="13"/>
      <c r="F400" s="13"/>
      <c r="G400" s="3"/>
      <c r="H400" s="3"/>
      <c r="I400" s="3"/>
      <c r="J400" s="3"/>
      <c r="K400" s="3"/>
      <c r="L400" s="3"/>
      <c r="M400" s="3"/>
      <c r="N400" s="3"/>
      <c r="O400" s="3"/>
      <c r="P400" s="3"/>
      <c r="Q400" s="3"/>
      <c r="R400" s="3"/>
      <c r="S400" s="3"/>
      <c r="T400" s="3"/>
      <c r="U400" s="3"/>
      <c r="V400" s="3"/>
      <c r="W400" s="3"/>
    </row>
    <row r="401" spans="1:23">
      <c r="A401" s="3"/>
      <c r="B401" s="3"/>
      <c r="C401" s="13"/>
      <c r="D401" s="13"/>
      <c r="E401" s="13"/>
      <c r="F401" s="13"/>
      <c r="G401" s="3"/>
      <c r="H401" s="3"/>
      <c r="I401" s="3"/>
      <c r="J401" s="3"/>
      <c r="K401" s="3"/>
      <c r="L401" s="3"/>
      <c r="M401" s="3"/>
      <c r="N401" s="3"/>
      <c r="O401" s="3"/>
      <c r="P401" s="3"/>
      <c r="Q401" s="3"/>
      <c r="R401" s="3"/>
      <c r="S401" s="3"/>
      <c r="T401" s="3"/>
      <c r="U401" s="3"/>
      <c r="V401" s="3"/>
      <c r="W401" s="3"/>
    </row>
    <row r="402" spans="1:23">
      <c r="A402" s="3"/>
      <c r="B402" s="3"/>
      <c r="C402" s="13"/>
      <c r="D402" s="13"/>
      <c r="E402" s="13"/>
      <c r="F402" s="13"/>
      <c r="G402" s="3"/>
      <c r="H402" s="3"/>
      <c r="I402" s="3"/>
      <c r="J402" s="3"/>
      <c r="K402" s="3"/>
      <c r="L402" s="3"/>
      <c r="M402" s="3"/>
      <c r="N402" s="3"/>
      <c r="O402" s="3"/>
      <c r="P402" s="3"/>
      <c r="Q402" s="3"/>
      <c r="R402" s="3"/>
      <c r="S402" s="3"/>
      <c r="T402" s="3"/>
      <c r="U402" s="3"/>
      <c r="V402" s="3"/>
      <c r="W402" s="3"/>
    </row>
    <row r="403" spans="1:23">
      <c r="A403" s="3"/>
      <c r="B403" s="3"/>
      <c r="C403" s="13"/>
      <c r="D403" s="13"/>
      <c r="E403" s="13"/>
      <c r="F403" s="13"/>
      <c r="G403" s="3"/>
      <c r="H403" s="3"/>
      <c r="I403" s="3"/>
      <c r="J403" s="3"/>
      <c r="K403" s="3"/>
      <c r="L403" s="3"/>
      <c r="M403" s="3"/>
      <c r="N403" s="3"/>
      <c r="O403" s="3"/>
      <c r="P403" s="3"/>
      <c r="Q403" s="3"/>
      <c r="R403" s="3"/>
      <c r="S403" s="3"/>
      <c r="T403" s="3"/>
      <c r="U403" s="3"/>
      <c r="V403" s="3"/>
      <c r="W403" s="3"/>
    </row>
    <row r="404" spans="1:23">
      <c r="A404" s="3"/>
      <c r="B404" s="3"/>
      <c r="C404" s="13"/>
      <c r="D404" s="13"/>
      <c r="E404" s="13"/>
      <c r="F404" s="13"/>
      <c r="G404" s="3"/>
      <c r="H404" s="3"/>
      <c r="I404" s="3"/>
      <c r="J404" s="3"/>
      <c r="K404" s="3"/>
      <c r="L404" s="3"/>
      <c r="M404" s="3"/>
      <c r="N404" s="3"/>
      <c r="O404" s="3"/>
      <c r="P404" s="3"/>
      <c r="Q404" s="3"/>
      <c r="R404" s="3"/>
      <c r="S404" s="3"/>
      <c r="T404" s="3"/>
      <c r="U404" s="3"/>
      <c r="V404" s="3"/>
      <c r="W404" s="3"/>
    </row>
    <row r="405" spans="1:23">
      <c r="A405" s="3"/>
      <c r="B405" s="3"/>
      <c r="C405" s="13"/>
      <c r="D405" s="13"/>
      <c r="E405" s="13"/>
      <c r="F405" s="13"/>
      <c r="G405" s="3"/>
      <c r="H405" s="3"/>
      <c r="I405" s="3"/>
      <c r="J405" s="3"/>
      <c r="K405" s="3"/>
      <c r="L405" s="3"/>
      <c r="M405" s="3"/>
      <c r="N405" s="3"/>
      <c r="O405" s="3"/>
      <c r="P405" s="3"/>
      <c r="Q405" s="3"/>
      <c r="R405" s="3"/>
      <c r="S405" s="3"/>
      <c r="T405" s="3"/>
      <c r="U405" s="3"/>
      <c r="V405" s="3"/>
      <c r="W405" s="3"/>
    </row>
    <row r="406" spans="1:23">
      <c r="A406" s="3"/>
      <c r="B406" s="3"/>
      <c r="C406" s="13"/>
      <c r="D406" s="13"/>
      <c r="E406" s="13"/>
      <c r="F406" s="13"/>
      <c r="G406" s="3"/>
      <c r="H406" s="3"/>
      <c r="I406" s="3"/>
      <c r="J406" s="3"/>
      <c r="K406" s="3"/>
      <c r="L406" s="3"/>
      <c r="M406" s="3"/>
      <c r="N406" s="3"/>
      <c r="O406" s="3"/>
      <c r="P406" s="3"/>
      <c r="Q406" s="3"/>
      <c r="R406" s="3"/>
      <c r="S406" s="3"/>
      <c r="T406" s="3"/>
      <c r="U406" s="3"/>
      <c r="V406" s="3"/>
      <c r="W406" s="3"/>
    </row>
    <row r="407" spans="1:23">
      <c r="A407" s="3"/>
      <c r="B407" s="3"/>
      <c r="C407" s="13"/>
      <c r="D407" s="13"/>
      <c r="E407" s="13"/>
      <c r="F407" s="13"/>
      <c r="G407" s="3"/>
      <c r="H407" s="3"/>
      <c r="I407" s="3"/>
      <c r="J407" s="3"/>
      <c r="K407" s="3"/>
      <c r="L407" s="3"/>
      <c r="M407" s="3"/>
      <c r="N407" s="3"/>
      <c r="O407" s="3"/>
      <c r="P407" s="3"/>
      <c r="Q407" s="3"/>
      <c r="R407" s="3"/>
      <c r="S407" s="3"/>
      <c r="T407" s="3"/>
      <c r="U407" s="3"/>
      <c r="V407" s="3"/>
      <c r="W407" s="3"/>
    </row>
    <row r="408" spans="1:23">
      <c r="A408" s="3"/>
      <c r="B408" s="3"/>
      <c r="C408" s="13"/>
      <c r="D408" s="13"/>
      <c r="E408" s="13"/>
      <c r="F408" s="13"/>
      <c r="G408" s="3"/>
      <c r="H408" s="3"/>
      <c r="I408" s="3"/>
      <c r="J408" s="3"/>
      <c r="K408" s="3"/>
      <c r="L408" s="3"/>
      <c r="M408" s="3"/>
      <c r="N408" s="3"/>
      <c r="O408" s="3"/>
      <c r="P408" s="3"/>
      <c r="Q408" s="3"/>
      <c r="R408" s="3"/>
      <c r="S408" s="3"/>
      <c r="T408" s="3"/>
      <c r="U408" s="3"/>
      <c r="V408" s="3"/>
      <c r="W408" s="3"/>
    </row>
    <row r="409" spans="1:23">
      <c r="A409" s="3"/>
      <c r="B409" s="3"/>
      <c r="C409" s="13"/>
      <c r="D409" s="13"/>
      <c r="E409" s="13"/>
      <c r="F409" s="13"/>
      <c r="G409" s="3"/>
      <c r="H409" s="3"/>
      <c r="I409" s="3"/>
      <c r="J409" s="3"/>
      <c r="K409" s="3"/>
      <c r="L409" s="3"/>
      <c r="M409" s="3"/>
      <c r="N409" s="3"/>
      <c r="O409" s="3"/>
      <c r="P409" s="3"/>
      <c r="Q409" s="3"/>
      <c r="R409" s="3"/>
      <c r="S409" s="3"/>
      <c r="T409" s="3"/>
      <c r="U409" s="3"/>
      <c r="V409" s="3"/>
      <c r="W409" s="3"/>
    </row>
    <row r="410" spans="1:23">
      <c r="A410" s="3"/>
      <c r="B410" s="3"/>
      <c r="C410" s="13"/>
      <c r="D410" s="13"/>
      <c r="E410" s="13"/>
      <c r="F410" s="13"/>
      <c r="G410" s="3"/>
      <c r="H410" s="3"/>
      <c r="I410" s="3"/>
      <c r="J410" s="3"/>
      <c r="K410" s="3"/>
      <c r="L410" s="3"/>
      <c r="M410" s="3"/>
      <c r="N410" s="3"/>
      <c r="O410" s="3"/>
      <c r="P410" s="3"/>
      <c r="Q410" s="3"/>
      <c r="R410" s="3"/>
      <c r="S410" s="3"/>
      <c r="T410" s="3"/>
      <c r="U410" s="3"/>
      <c r="V410" s="3"/>
      <c r="W410" s="3"/>
    </row>
    <row r="411" spans="1:23">
      <c r="A411" s="3"/>
      <c r="B411" s="3"/>
      <c r="C411" s="13"/>
      <c r="D411" s="13"/>
      <c r="E411" s="13"/>
      <c r="F411" s="13"/>
      <c r="G411" s="3"/>
      <c r="H411" s="3"/>
      <c r="I411" s="3"/>
      <c r="J411" s="3"/>
      <c r="K411" s="3"/>
      <c r="L411" s="3"/>
      <c r="M411" s="3"/>
      <c r="N411" s="3"/>
      <c r="O411" s="3"/>
      <c r="P411" s="3"/>
      <c r="Q411" s="3"/>
      <c r="R411" s="3"/>
      <c r="S411" s="3"/>
      <c r="T411" s="3"/>
      <c r="U411" s="3"/>
      <c r="V411" s="3"/>
      <c r="W411" s="3"/>
    </row>
    <row r="412" spans="1:23">
      <c r="A412" s="3"/>
      <c r="B412" s="3"/>
      <c r="C412" s="13"/>
      <c r="D412" s="13"/>
      <c r="E412" s="13"/>
      <c r="F412" s="13"/>
      <c r="G412" s="3"/>
      <c r="H412" s="3"/>
      <c r="I412" s="3"/>
      <c r="J412" s="3"/>
      <c r="K412" s="3"/>
      <c r="L412" s="3"/>
      <c r="M412" s="3"/>
      <c r="N412" s="3"/>
      <c r="O412" s="3"/>
      <c r="P412" s="3"/>
      <c r="Q412" s="3"/>
      <c r="R412" s="3"/>
      <c r="S412" s="3"/>
      <c r="T412" s="3"/>
      <c r="U412" s="3"/>
      <c r="V412" s="3"/>
      <c r="W412" s="3"/>
    </row>
    <row r="413" spans="1:23">
      <c r="A413" s="3"/>
      <c r="B413" s="3"/>
      <c r="C413" s="13"/>
      <c r="D413" s="13"/>
      <c r="E413" s="13"/>
      <c r="F413" s="13"/>
      <c r="G413" s="3"/>
      <c r="H413" s="3"/>
      <c r="I413" s="3"/>
      <c r="J413" s="3"/>
      <c r="K413" s="3"/>
      <c r="L413" s="3"/>
      <c r="M413" s="3"/>
      <c r="N413" s="3"/>
      <c r="O413" s="3"/>
      <c r="P413" s="3"/>
      <c r="Q413" s="3"/>
      <c r="R413" s="3"/>
      <c r="S413" s="3"/>
      <c r="T413" s="3"/>
      <c r="U413" s="3"/>
      <c r="V413" s="3"/>
      <c r="W413" s="3"/>
    </row>
    <row r="414" spans="1:23">
      <c r="A414" s="3"/>
      <c r="B414" s="3"/>
      <c r="C414" s="13"/>
      <c r="D414" s="13"/>
      <c r="E414" s="13"/>
      <c r="F414" s="13"/>
      <c r="G414" s="3"/>
      <c r="H414" s="3"/>
      <c r="I414" s="3"/>
      <c r="J414" s="3"/>
      <c r="K414" s="3"/>
      <c r="L414" s="3"/>
      <c r="M414" s="3"/>
      <c r="N414" s="3"/>
      <c r="O414" s="3"/>
      <c r="P414" s="3"/>
      <c r="Q414" s="3"/>
      <c r="R414" s="3"/>
      <c r="S414" s="3"/>
      <c r="T414" s="3"/>
      <c r="U414" s="3"/>
      <c r="V414" s="3"/>
      <c r="W414" s="3"/>
    </row>
    <row r="415" spans="1:23">
      <c r="A415" s="3"/>
      <c r="B415" s="3"/>
      <c r="C415" s="13"/>
      <c r="D415" s="13"/>
      <c r="E415" s="13"/>
      <c r="F415" s="13"/>
      <c r="G415" s="3"/>
      <c r="H415" s="3"/>
      <c r="I415" s="3"/>
      <c r="J415" s="3"/>
      <c r="K415" s="3"/>
      <c r="L415" s="3"/>
      <c r="M415" s="3"/>
      <c r="N415" s="3"/>
      <c r="O415" s="3"/>
      <c r="P415" s="3"/>
      <c r="Q415" s="3"/>
      <c r="R415" s="3"/>
      <c r="S415" s="3"/>
      <c r="T415" s="3"/>
      <c r="U415" s="3"/>
      <c r="V415" s="3"/>
      <c r="W415" s="3"/>
    </row>
    <row r="416" spans="1:23">
      <c r="A416" s="3"/>
      <c r="B416" s="3"/>
      <c r="C416" s="13"/>
      <c r="D416" s="13"/>
      <c r="E416" s="13"/>
      <c r="F416" s="13"/>
      <c r="G416" s="3"/>
      <c r="H416" s="3"/>
      <c r="I416" s="3"/>
      <c r="J416" s="3"/>
      <c r="K416" s="3"/>
      <c r="L416" s="3"/>
      <c r="M416" s="3"/>
      <c r="N416" s="3"/>
      <c r="O416" s="3"/>
      <c r="P416" s="3"/>
      <c r="Q416" s="3"/>
      <c r="R416" s="3"/>
      <c r="S416" s="3"/>
      <c r="T416" s="3"/>
      <c r="U416" s="3"/>
      <c r="V416" s="3"/>
      <c r="W416" s="3"/>
    </row>
    <row r="417" spans="1:23">
      <c r="A417" s="3"/>
      <c r="B417" s="3"/>
      <c r="C417" s="13"/>
      <c r="D417" s="13"/>
      <c r="E417" s="13"/>
      <c r="F417" s="13"/>
      <c r="G417" s="3"/>
      <c r="H417" s="3"/>
      <c r="I417" s="3"/>
      <c r="J417" s="3"/>
      <c r="K417" s="3"/>
      <c r="L417" s="3"/>
      <c r="M417" s="3"/>
      <c r="N417" s="3"/>
      <c r="O417" s="3"/>
      <c r="P417" s="3"/>
      <c r="Q417" s="3"/>
      <c r="R417" s="3"/>
      <c r="S417" s="3"/>
      <c r="T417" s="3"/>
      <c r="U417" s="3"/>
      <c r="V417" s="3"/>
      <c r="W417" s="3"/>
    </row>
    <row r="418" spans="1:23">
      <c r="A418" s="3"/>
      <c r="B418" s="3"/>
      <c r="C418" s="13"/>
      <c r="D418" s="13"/>
      <c r="E418" s="13"/>
      <c r="F418" s="13"/>
      <c r="G418" s="3"/>
      <c r="H418" s="3"/>
      <c r="I418" s="3"/>
      <c r="J418" s="3"/>
      <c r="K418" s="3"/>
      <c r="L418" s="3"/>
      <c r="M418" s="3"/>
      <c r="N418" s="3"/>
      <c r="O418" s="3"/>
      <c r="P418" s="3"/>
      <c r="Q418" s="3"/>
      <c r="R418" s="3"/>
      <c r="S418" s="3"/>
      <c r="T418" s="3"/>
      <c r="U418" s="3"/>
      <c r="V418" s="3"/>
      <c r="W418" s="3"/>
    </row>
    <row r="419" spans="1:23">
      <c r="A419" s="3"/>
      <c r="B419" s="3"/>
      <c r="C419" s="13"/>
      <c r="D419" s="13"/>
      <c r="E419" s="13"/>
      <c r="F419" s="13"/>
      <c r="G419" s="3"/>
      <c r="H419" s="3"/>
      <c r="I419" s="3"/>
      <c r="J419" s="3"/>
      <c r="K419" s="3"/>
      <c r="L419" s="3"/>
      <c r="M419" s="3"/>
      <c r="N419" s="3"/>
      <c r="O419" s="3"/>
      <c r="P419" s="3"/>
      <c r="Q419" s="3"/>
      <c r="R419" s="3"/>
      <c r="S419" s="3"/>
      <c r="T419" s="3"/>
      <c r="U419" s="3"/>
      <c r="V419" s="3"/>
      <c r="W419" s="3"/>
    </row>
    <row r="420" spans="1:23">
      <c r="A420" s="3"/>
      <c r="B420" s="3"/>
      <c r="C420" s="13"/>
      <c r="D420" s="13"/>
      <c r="E420" s="13"/>
      <c r="F420" s="13"/>
      <c r="G420" s="3"/>
      <c r="H420" s="3"/>
      <c r="I420" s="3"/>
      <c r="J420" s="3"/>
      <c r="K420" s="3"/>
      <c r="L420" s="3"/>
      <c r="M420" s="3"/>
      <c r="N420" s="3"/>
      <c r="O420" s="3"/>
      <c r="P420" s="3"/>
      <c r="Q420" s="3"/>
      <c r="R420" s="3"/>
      <c r="S420" s="3"/>
      <c r="T420" s="3"/>
      <c r="U420" s="3"/>
      <c r="V420" s="3"/>
      <c r="W420" s="3"/>
    </row>
    <row r="421" spans="1:23">
      <c r="A421" s="3"/>
      <c r="B421" s="3"/>
      <c r="C421" s="13"/>
      <c r="D421" s="13"/>
      <c r="E421" s="13"/>
      <c r="F421" s="13"/>
      <c r="G421" s="3"/>
      <c r="H421" s="3"/>
      <c r="I421" s="3"/>
      <c r="J421" s="3"/>
      <c r="K421" s="3"/>
      <c r="L421" s="3"/>
      <c r="M421" s="3"/>
      <c r="N421" s="3"/>
      <c r="O421" s="3"/>
      <c r="P421" s="3"/>
      <c r="Q421" s="3"/>
      <c r="R421" s="3"/>
      <c r="S421" s="3"/>
      <c r="T421" s="3"/>
      <c r="U421" s="3"/>
      <c r="V421" s="3"/>
      <c r="W421" s="3"/>
    </row>
    <row r="422" spans="1:23">
      <c r="A422" s="3"/>
      <c r="B422" s="3"/>
      <c r="C422" s="13"/>
      <c r="D422" s="13"/>
      <c r="E422" s="13"/>
      <c r="F422" s="13"/>
      <c r="G422" s="3"/>
      <c r="H422" s="3"/>
      <c r="I422" s="3"/>
      <c r="J422" s="3"/>
      <c r="K422" s="3"/>
      <c r="L422" s="3"/>
      <c r="M422" s="3"/>
      <c r="N422" s="3"/>
      <c r="O422" s="3"/>
      <c r="P422" s="3"/>
      <c r="Q422" s="3"/>
      <c r="R422" s="3"/>
      <c r="S422" s="3"/>
      <c r="T422" s="3"/>
      <c r="U422" s="3"/>
      <c r="V422" s="3"/>
      <c r="W422" s="3"/>
    </row>
    <row r="423" spans="1:23">
      <c r="A423" s="3"/>
      <c r="B423" s="3"/>
      <c r="C423" s="13"/>
      <c r="D423" s="13"/>
      <c r="E423" s="13"/>
      <c r="F423" s="13"/>
      <c r="G423" s="3"/>
      <c r="H423" s="3"/>
      <c r="I423" s="3"/>
      <c r="J423" s="3"/>
      <c r="K423" s="3"/>
      <c r="L423" s="3"/>
      <c r="M423" s="3"/>
      <c r="N423" s="3"/>
      <c r="O423" s="3"/>
      <c r="P423" s="3"/>
      <c r="Q423" s="3"/>
      <c r="R423" s="3"/>
      <c r="S423" s="3"/>
      <c r="T423" s="3"/>
      <c r="U423" s="3"/>
      <c r="V423" s="3"/>
      <c r="W423" s="3"/>
    </row>
    <row r="424" spans="1:23">
      <c r="A424" s="3"/>
      <c r="B424" s="3"/>
      <c r="C424" s="13"/>
      <c r="D424" s="13"/>
      <c r="E424" s="13"/>
      <c r="F424" s="13"/>
      <c r="G424" s="3"/>
      <c r="H424" s="3"/>
      <c r="I424" s="3"/>
      <c r="J424" s="3"/>
      <c r="K424" s="3"/>
      <c r="L424" s="3"/>
      <c r="M424" s="3"/>
      <c r="N424" s="3"/>
      <c r="O424" s="3"/>
      <c r="P424" s="3"/>
      <c r="Q424" s="3"/>
      <c r="R424" s="3"/>
      <c r="S424" s="3"/>
      <c r="T424" s="3"/>
      <c r="U424" s="3"/>
      <c r="V424" s="3"/>
      <c r="W424" s="3"/>
    </row>
    <row r="425" spans="1:23">
      <c r="A425" s="3"/>
      <c r="B425" s="3"/>
      <c r="C425" s="13"/>
      <c r="D425" s="13"/>
      <c r="E425" s="13"/>
      <c r="F425" s="13"/>
      <c r="G425" s="3"/>
      <c r="H425" s="3"/>
      <c r="I425" s="3"/>
      <c r="J425" s="3"/>
      <c r="K425" s="3"/>
      <c r="L425" s="3"/>
      <c r="M425" s="3"/>
      <c r="N425" s="3"/>
      <c r="O425" s="3"/>
      <c r="P425" s="3"/>
      <c r="Q425" s="3"/>
      <c r="R425" s="3"/>
      <c r="S425" s="3"/>
      <c r="T425" s="3"/>
      <c r="U425" s="3"/>
      <c r="V425" s="3"/>
      <c r="W425" s="3"/>
    </row>
    <row r="426" spans="1:23">
      <c r="A426" s="3"/>
      <c r="B426" s="3"/>
      <c r="C426" s="13"/>
      <c r="D426" s="13"/>
      <c r="E426" s="13"/>
      <c r="F426" s="13"/>
      <c r="G426" s="3"/>
      <c r="H426" s="3"/>
      <c r="I426" s="3"/>
      <c r="J426" s="3"/>
      <c r="K426" s="3"/>
      <c r="L426" s="3"/>
      <c r="M426" s="3"/>
      <c r="N426" s="3"/>
      <c r="O426" s="3"/>
      <c r="P426" s="3"/>
      <c r="Q426" s="3"/>
      <c r="R426" s="3"/>
      <c r="S426" s="3"/>
      <c r="T426" s="3"/>
      <c r="U426" s="3"/>
      <c r="V426" s="3"/>
      <c r="W426" s="3"/>
    </row>
    <row r="427" spans="1:23">
      <c r="A427" s="3"/>
      <c r="B427" s="3"/>
      <c r="C427" s="13"/>
      <c r="D427" s="13"/>
      <c r="E427" s="13"/>
      <c r="F427" s="13"/>
      <c r="G427" s="3"/>
      <c r="H427" s="3"/>
      <c r="I427" s="3"/>
      <c r="J427" s="3"/>
      <c r="K427" s="3"/>
      <c r="L427" s="3"/>
      <c r="M427" s="3"/>
      <c r="N427" s="3"/>
      <c r="O427" s="3"/>
      <c r="P427" s="3"/>
      <c r="Q427" s="3"/>
      <c r="R427" s="3"/>
      <c r="S427" s="3"/>
      <c r="T427" s="3"/>
      <c r="U427" s="3"/>
      <c r="V427" s="3"/>
      <c r="W427" s="3"/>
    </row>
    <row r="428" spans="1:23">
      <c r="A428" s="3"/>
      <c r="B428" s="3"/>
      <c r="C428" s="13"/>
      <c r="D428" s="13"/>
      <c r="E428" s="13"/>
      <c r="F428" s="13"/>
      <c r="G428" s="3"/>
      <c r="H428" s="3"/>
      <c r="I428" s="3"/>
      <c r="J428" s="3"/>
      <c r="K428" s="3"/>
      <c r="L428" s="3"/>
      <c r="M428" s="3"/>
      <c r="N428" s="3"/>
      <c r="O428" s="3"/>
      <c r="P428" s="3"/>
      <c r="Q428" s="3"/>
      <c r="R428" s="3"/>
      <c r="S428" s="3"/>
      <c r="T428" s="3"/>
      <c r="U428" s="3"/>
      <c r="V428" s="3"/>
      <c r="W428" s="3"/>
    </row>
    <row r="429" spans="1:23">
      <c r="A429" s="3"/>
      <c r="B429" s="3"/>
      <c r="C429" s="13"/>
      <c r="D429" s="13"/>
      <c r="E429" s="13"/>
      <c r="F429" s="13"/>
      <c r="G429" s="3"/>
      <c r="H429" s="3"/>
      <c r="I429" s="3"/>
      <c r="J429" s="3"/>
      <c r="K429" s="3"/>
      <c r="L429" s="3"/>
      <c r="M429" s="3"/>
      <c r="N429" s="3"/>
      <c r="O429" s="3"/>
      <c r="P429" s="3"/>
      <c r="Q429" s="3"/>
      <c r="R429" s="3"/>
      <c r="S429" s="3"/>
      <c r="T429" s="3"/>
      <c r="U429" s="3"/>
      <c r="V429" s="3"/>
      <c r="W429" s="3"/>
    </row>
    <row r="430" spans="1:23">
      <c r="A430" s="3"/>
      <c r="B430" s="3"/>
      <c r="C430" s="13"/>
      <c r="D430" s="13"/>
      <c r="E430" s="13"/>
      <c r="F430" s="13"/>
      <c r="G430" s="3"/>
      <c r="H430" s="3"/>
      <c r="I430" s="3"/>
      <c r="J430" s="3"/>
      <c r="K430" s="3"/>
      <c r="L430" s="3"/>
      <c r="M430" s="3"/>
      <c r="N430" s="3"/>
      <c r="O430" s="3"/>
      <c r="P430" s="3"/>
      <c r="Q430" s="3"/>
      <c r="R430" s="3"/>
      <c r="S430" s="3"/>
      <c r="T430" s="3"/>
      <c r="U430" s="3"/>
      <c r="V430" s="3"/>
      <c r="W430" s="3"/>
    </row>
    <row r="431" spans="1:23">
      <c r="A431" s="3"/>
      <c r="B431" s="3"/>
      <c r="C431" s="13"/>
      <c r="D431" s="13"/>
      <c r="E431" s="13"/>
      <c r="F431" s="13"/>
      <c r="G431" s="3"/>
      <c r="H431" s="3"/>
      <c r="I431" s="3"/>
      <c r="J431" s="3"/>
      <c r="K431" s="3"/>
      <c r="L431" s="3"/>
      <c r="M431" s="3"/>
      <c r="N431" s="3"/>
      <c r="O431" s="3"/>
      <c r="P431" s="3"/>
      <c r="Q431" s="3"/>
      <c r="R431" s="3"/>
      <c r="S431" s="3"/>
      <c r="T431" s="3"/>
      <c r="U431" s="3"/>
      <c r="V431" s="3"/>
      <c r="W431" s="3"/>
    </row>
    <row r="432" spans="1:23">
      <c r="A432" s="3"/>
      <c r="B432" s="3"/>
      <c r="C432" s="13"/>
      <c r="D432" s="13"/>
      <c r="E432" s="13"/>
      <c r="F432" s="13"/>
      <c r="G432" s="3"/>
      <c r="H432" s="3"/>
      <c r="I432" s="3"/>
      <c r="J432" s="3"/>
      <c r="K432" s="3"/>
      <c r="L432" s="3"/>
      <c r="M432" s="3"/>
      <c r="N432" s="3"/>
      <c r="O432" s="3"/>
      <c r="P432" s="3"/>
      <c r="Q432" s="3"/>
      <c r="R432" s="3"/>
      <c r="S432" s="3"/>
      <c r="T432" s="3"/>
      <c r="U432" s="3"/>
      <c r="V432" s="3"/>
      <c r="W432" s="3"/>
    </row>
    <row r="433" spans="1:23">
      <c r="A433" s="3"/>
      <c r="B433" s="3"/>
      <c r="C433" s="13"/>
      <c r="D433" s="13"/>
      <c r="E433" s="13"/>
      <c r="F433" s="13"/>
      <c r="G433" s="3"/>
      <c r="H433" s="3"/>
      <c r="I433" s="3"/>
      <c r="J433" s="3"/>
      <c r="K433" s="3"/>
      <c r="L433" s="3"/>
      <c r="M433" s="3"/>
      <c r="N433" s="3"/>
      <c r="O433" s="3"/>
      <c r="P433" s="3"/>
      <c r="Q433" s="3"/>
      <c r="R433" s="3"/>
      <c r="S433" s="3"/>
      <c r="T433" s="3"/>
      <c r="U433" s="3"/>
      <c r="V433" s="3"/>
      <c r="W433" s="3"/>
    </row>
    <row r="434" spans="1:23">
      <c r="A434" s="3"/>
      <c r="B434" s="3"/>
      <c r="C434" s="13"/>
      <c r="D434" s="13"/>
      <c r="E434" s="13"/>
      <c r="F434" s="13"/>
      <c r="G434" s="3"/>
      <c r="H434" s="3"/>
      <c r="I434" s="3"/>
      <c r="J434" s="3"/>
      <c r="K434" s="3"/>
      <c r="L434" s="3"/>
      <c r="M434" s="3"/>
      <c r="N434" s="3"/>
      <c r="O434" s="3"/>
      <c r="P434" s="3"/>
      <c r="Q434" s="3"/>
      <c r="R434" s="3"/>
      <c r="S434" s="3"/>
      <c r="T434" s="3"/>
      <c r="U434" s="3"/>
      <c r="V434" s="3"/>
      <c r="W434" s="3"/>
    </row>
    <row r="435" spans="1:23">
      <c r="A435" s="3"/>
      <c r="B435" s="3"/>
      <c r="C435" s="13"/>
      <c r="D435" s="13"/>
      <c r="E435" s="13"/>
      <c r="F435" s="13"/>
      <c r="G435" s="3"/>
      <c r="H435" s="3"/>
      <c r="I435" s="3"/>
      <c r="J435" s="3"/>
      <c r="K435" s="3"/>
      <c r="L435" s="3"/>
      <c r="M435" s="3"/>
      <c r="N435" s="3"/>
      <c r="O435" s="3"/>
      <c r="P435" s="3"/>
      <c r="Q435" s="3"/>
      <c r="R435" s="3"/>
      <c r="S435" s="3"/>
      <c r="T435" s="3"/>
      <c r="U435" s="3"/>
      <c r="V435" s="3"/>
      <c r="W435" s="3"/>
    </row>
    <row r="436" spans="1:23">
      <c r="A436" s="3"/>
      <c r="B436" s="3"/>
      <c r="C436" s="13"/>
      <c r="D436" s="13"/>
      <c r="E436" s="13"/>
      <c r="F436" s="13"/>
      <c r="G436" s="3"/>
      <c r="H436" s="3"/>
      <c r="I436" s="3"/>
      <c r="J436" s="3"/>
      <c r="K436" s="3"/>
      <c r="L436" s="3"/>
      <c r="M436" s="3"/>
      <c r="N436" s="3"/>
      <c r="O436" s="3"/>
      <c r="P436" s="3"/>
      <c r="Q436" s="3"/>
      <c r="R436" s="3"/>
      <c r="S436" s="3"/>
      <c r="T436" s="3"/>
      <c r="U436" s="3"/>
      <c r="V436" s="3"/>
      <c r="W436" s="3"/>
    </row>
    <row r="437" spans="1:23">
      <c r="A437" s="3"/>
      <c r="B437" s="3"/>
      <c r="C437" s="13"/>
      <c r="D437" s="13"/>
      <c r="E437" s="13"/>
      <c r="F437" s="13"/>
      <c r="G437" s="3"/>
      <c r="H437" s="3"/>
      <c r="I437" s="3"/>
      <c r="J437" s="3"/>
      <c r="K437" s="3"/>
      <c r="L437" s="3"/>
      <c r="M437" s="3"/>
      <c r="N437" s="3"/>
      <c r="O437" s="3"/>
      <c r="P437" s="3"/>
      <c r="Q437" s="3"/>
      <c r="R437" s="3"/>
      <c r="S437" s="3"/>
      <c r="T437" s="3"/>
      <c r="U437" s="3"/>
      <c r="V437" s="3"/>
      <c r="W437" s="3"/>
    </row>
    <row r="438" spans="1:23">
      <c r="A438" s="3"/>
      <c r="B438" s="3"/>
      <c r="C438" s="13"/>
      <c r="D438" s="13"/>
      <c r="E438" s="13"/>
      <c r="F438" s="13"/>
      <c r="G438" s="3"/>
      <c r="H438" s="3"/>
      <c r="I438" s="3"/>
      <c r="J438" s="3"/>
      <c r="K438" s="3"/>
      <c r="L438" s="3"/>
      <c r="M438" s="3"/>
      <c r="N438" s="3"/>
      <c r="O438" s="3"/>
      <c r="P438" s="3"/>
      <c r="Q438" s="3"/>
      <c r="R438" s="3"/>
      <c r="S438" s="3"/>
      <c r="T438" s="3"/>
      <c r="U438" s="3"/>
      <c r="V438" s="3"/>
      <c r="W438" s="3"/>
    </row>
    <row r="439" spans="1:23">
      <c r="A439" s="3"/>
      <c r="B439" s="3"/>
      <c r="C439" s="13"/>
      <c r="D439" s="13"/>
      <c r="E439" s="13"/>
      <c r="F439" s="13"/>
      <c r="G439" s="3"/>
      <c r="H439" s="3"/>
      <c r="I439" s="3"/>
      <c r="J439" s="3"/>
      <c r="K439" s="3"/>
      <c r="L439" s="3"/>
      <c r="M439" s="3"/>
      <c r="N439" s="3"/>
      <c r="O439" s="3"/>
      <c r="P439" s="3"/>
      <c r="Q439" s="3"/>
      <c r="R439" s="3"/>
      <c r="S439" s="3"/>
      <c r="T439" s="3"/>
      <c r="U439" s="3"/>
      <c r="V439" s="3"/>
      <c r="W439" s="3"/>
    </row>
    <row r="440" spans="1:23">
      <c r="A440" s="3"/>
      <c r="B440" s="3"/>
      <c r="C440" s="13"/>
      <c r="D440" s="13"/>
      <c r="E440" s="13"/>
      <c r="F440" s="13"/>
      <c r="G440" s="3"/>
      <c r="H440" s="3"/>
      <c r="I440" s="3"/>
      <c r="J440" s="3"/>
      <c r="K440" s="3"/>
      <c r="L440" s="3"/>
      <c r="M440" s="3"/>
      <c r="N440" s="3"/>
      <c r="O440" s="3"/>
      <c r="P440" s="3"/>
      <c r="Q440" s="3"/>
      <c r="R440" s="3"/>
      <c r="S440" s="3"/>
      <c r="T440" s="3"/>
      <c r="U440" s="3"/>
      <c r="V440" s="3"/>
      <c r="W440" s="3"/>
    </row>
    <row r="441" spans="1:23">
      <c r="A441" s="3"/>
      <c r="B441" s="3"/>
      <c r="C441" s="13"/>
      <c r="D441" s="13"/>
      <c r="E441" s="13"/>
      <c r="F441" s="13"/>
      <c r="G441" s="3"/>
      <c r="H441" s="3"/>
      <c r="I441" s="3"/>
      <c r="J441" s="3"/>
      <c r="K441" s="3"/>
      <c r="L441" s="3"/>
      <c r="M441" s="3"/>
      <c r="N441" s="3"/>
      <c r="O441" s="3"/>
      <c r="P441" s="3"/>
      <c r="Q441" s="3"/>
      <c r="R441" s="3"/>
      <c r="S441" s="3"/>
      <c r="T441" s="3"/>
      <c r="U441" s="3"/>
      <c r="V441" s="3"/>
      <c r="W441" s="3"/>
    </row>
    <row r="442" spans="1:23">
      <c r="A442" s="3"/>
      <c r="B442" s="3"/>
      <c r="C442" s="13"/>
      <c r="D442" s="13"/>
      <c r="E442" s="13"/>
      <c r="F442" s="13"/>
      <c r="G442" s="3"/>
      <c r="H442" s="3"/>
      <c r="I442" s="3"/>
      <c r="J442" s="3"/>
      <c r="K442" s="3"/>
      <c r="L442" s="3"/>
      <c r="M442" s="3"/>
      <c r="N442" s="3"/>
      <c r="O442" s="3"/>
      <c r="P442" s="3"/>
      <c r="Q442" s="3"/>
      <c r="R442" s="3"/>
      <c r="S442" s="3"/>
      <c r="T442" s="3"/>
      <c r="U442" s="3"/>
      <c r="V442" s="3"/>
      <c r="W442" s="3"/>
    </row>
    <row r="443" spans="1:23">
      <c r="A443" s="3"/>
      <c r="B443" s="3"/>
      <c r="C443" s="13"/>
      <c r="D443" s="13"/>
      <c r="E443" s="13"/>
      <c r="F443" s="13"/>
      <c r="G443" s="3"/>
      <c r="H443" s="3"/>
      <c r="I443" s="3"/>
      <c r="J443" s="3"/>
      <c r="K443" s="3"/>
      <c r="L443" s="3"/>
      <c r="M443" s="3"/>
      <c r="N443" s="3"/>
      <c r="O443" s="3"/>
      <c r="P443" s="3"/>
      <c r="Q443" s="3"/>
      <c r="R443" s="3"/>
      <c r="S443" s="3"/>
      <c r="T443" s="3"/>
      <c r="U443" s="3"/>
      <c r="V443" s="3"/>
      <c r="W443" s="3"/>
    </row>
    <row r="444" spans="1:23">
      <c r="A444" s="3"/>
      <c r="B444" s="3"/>
      <c r="C444" s="13"/>
      <c r="D444" s="13"/>
      <c r="E444" s="13"/>
      <c r="F444" s="13"/>
      <c r="G444" s="3"/>
      <c r="H444" s="3"/>
      <c r="I444" s="3"/>
      <c r="J444" s="3"/>
      <c r="K444" s="3"/>
      <c r="L444" s="3"/>
      <c r="M444" s="3"/>
      <c r="N444" s="3"/>
      <c r="O444" s="3"/>
      <c r="P444" s="3"/>
      <c r="Q444" s="3"/>
      <c r="R444" s="3"/>
      <c r="S444" s="3"/>
      <c r="T444" s="3"/>
      <c r="U444" s="3"/>
      <c r="V444" s="3"/>
      <c r="W444" s="3"/>
    </row>
    <row r="445" spans="1:23">
      <c r="A445" s="3"/>
      <c r="B445" s="3"/>
      <c r="C445" s="13"/>
      <c r="D445" s="13"/>
      <c r="E445" s="13"/>
      <c r="F445" s="13"/>
      <c r="G445" s="3"/>
      <c r="H445" s="3"/>
      <c r="I445" s="3"/>
      <c r="J445" s="3"/>
      <c r="K445" s="3"/>
      <c r="L445" s="3"/>
      <c r="M445" s="3"/>
      <c r="N445" s="3"/>
      <c r="O445" s="3"/>
      <c r="P445" s="3"/>
      <c r="Q445" s="3"/>
      <c r="R445" s="3"/>
      <c r="S445" s="3"/>
      <c r="T445" s="3"/>
      <c r="U445" s="3"/>
      <c r="V445" s="3"/>
      <c r="W445" s="3"/>
    </row>
    <row r="446" spans="1:23">
      <c r="A446" s="3"/>
      <c r="B446" s="3"/>
      <c r="C446" s="13"/>
      <c r="D446" s="13"/>
      <c r="E446" s="13"/>
      <c r="F446" s="13"/>
      <c r="G446" s="3"/>
      <c r="H446" s="3"/>
      <c r="I446" s="3"/>
      <c r="J446" s="3"/>
      <c r="K446" s="3"/>
      <c r="L446" s="3"/>
      <c r="M446" s="3"/>
      <c r="N446" s="3"/>
      <c r="O446" s="3"/>
      <c r="P446" s="3"/>
      <c r="Q446" s="3"/>
      <c r="R446" s="3"/>
      <c r="S446" s="3"/>
      <c r="T446" s="3"/>
      <c r="U446" s="3"/>
      <c r="V446" s="3"/>
      <c r="W446" s="3"/>
    </row>
    <row r="447" spans="1:23">
      <c r="A447" s="3"/>
      <c r="B447" s="3"/>
      <c r="C447" s="13"/>
      <c r="D447" s="13"/>
      <c r="E447" s="13"/>
      <c r="F447" s="13"/>
      <c r="G447" s="3"/>
      <c r="H447" s="3"/>
      <c r="I447" s="3"/>
      <c r="J447" s="3"/>
      <c r="K447" s="3"/>
      <c r="L447" s="3"/>
      <c r="M447" s="3"/>
      <c r="N447" s="3"/>
      <c r="O447" s="3"/>
      <c r="P447" s="3"/>
      <c r="Q447" s="3"/>
      <c r="R447" s="3"/>
      <c r="S447" s="3"/>
      <c r="T447" s="3"/>
      <c r="U447" s="3"/>
      <c r="V447" s="3"/>
      <c r="W447" s="3"/>
    </row>
    <row r="448" spans="1:23">
      <c r="A448" s="3"/>
      <c r="B448" s="3"/>
      <c r="C448" s="13"/>
      <c r="D448" s="13"/>
      <c r="E448" s="13"/>
      <c r="F448" s="13"/>
      <c r="G448" s="3"/>
      <c r="H448" s="3"/>
      <c r="I448" s="3"/>
      <c r="J448" s="3"/>
      <c r="K448" s="3"/>
      <c r="L448" s="3"/>
      <c r="M448" s="3"/>
      <c r="N448" s="3"/>
      <c r="O448" s="3"/>
      <c r="P448" s="3"/>
      <c r="Q448" s="3"/>
      <c r="R448" s="3"/>
      <c r="S448" s="3"/>
      <c r="T448" s="3"/>
      <c r="U448" s="3"/>
      <c r="V448" s="3"/>
      <c r="W448" s="3"/>
    </row>
    <row r="449" spans="1:23">
      <c r="A449" s="3"/>
      <c r="B449" s="3"/>
      <c r="C449" s="13"/>
      <c r="D449" s="13"/>
      <c r="E449" s="13"/>
      <c r="F449" s="13"/>
      <c r="G449" s="3"/>
      <c r="H449" s="3"/>
      <c r="I449" s="3"/>
      <c r="J449" s="3"/>
      <c r="K449" s="3"/>
      <c r="L449" s="3"/>
      <c r="M449" s="3"/>
      <c r="N449" s="3"/>
      <c r="O449" s="3"/>
      <c r="P449" s="3"/>
      <c r="Q449" s="3"/>
      <c r="R449" s="3"/>
      <c r="S449" s="3"/>
      <c r="T449" s="3"/>
      <c r="U449" s="3"/>
      <c r="V449" s="3"/>
      <c r="W449" s="3"/>
    </row>
    <row r="450" spans="1:23">
      <c r="A450" s="3"/>
      <c r="B450" s="3"/>
      <c r="C450" s="13"/>
      <c r="D450" s="13"/>
      <c r="E450" s="13"/>
      <c r="F450" s="13"/>
      <c r="G450" s="3"/>
      <c r="H450" s="3"/>
      <c r="I450" s="3"/>
      <c r="J450" s="3"/>
      <c r="K450" s="3"/>
      <c r="L450" s="3"/>
      <c r="M450" s="3"/>
      <c r="N450" s="3"/>
      <c r="O450" s="3"/>
      <c r="P450" s="3"/>
      <c r="Q450" s="3"/>
      <c r="R450" s="3"/>
      <c r="S450" s="3"/>
      <c r="T450" s="3"/>
      <c r="U450" s="3"/>
      <c r="V450" s="3"/>
      <c r="W450" s="3"/>
    </row>
    <row r="451" spans="1:23">
      <c r="A451" s="3"/>
      <c r="B451" s="3"/>
      <c r="C451" s="13"/>
      <c r="D451" s="13"/>
      <c r="E451" s="13"/>
      <c r="F451" s="13"/>
      <c r="G451" s="3"/>
      <c r="H451" s="3"/>
      <c r="I451" s="3"/>
      <c r="J451" s="3"/>
      <c r="K451" s="3"/>
      <c r="L451" s="3"/>
      <c r="M451" s="3"/>
      <c r="N451" s="3"/>
      <c r="O451" s="3"/>
      <c r="P451" s="3"/>
      <c r="Q451" s="3"/>
      <c r="R451" s="3"/>
      <c r="S451" s="3"/>
      <c r="T451" s="3"/>
      <c r="U451" s="3"/>
      <c r="V451" s="3"/>
      <c r="W451" s="3"/>
    </row>
    <row r="452" spans="1:23">
      <c r="A452" s="3"/>
      <c r="B452" s="3"/>
      <c r="C452" s="13"/>
      <c r="D452" s="13"/>
      <c r="E452" s="13"/>
      <c r="F452" s="13"/>
      <c r="G452" s="3"/>
      <c r="H452" s="3"/>
      <c r="I452" s="3"/>
      <c r="J452" s="3"/>
      <c r="K452" s="3"/>
      <c r="L452" s="3"/>
      <c r="M452" s="3"/>
      <c r="N452" s="3"/>
      <c r="O452" s="3"/>
      <c r="P452" s="3"/>
      <c r="Q452" s="3"/>
      <c r="R452" s="3"/>
      <c r="S452" s="3"/>
      <c r="T452" s="3"/>
      <c r="U452" s="3"/>
      <c r="V452" s="3"/>
      <c r="W452" s="3"/>
    </row>
    <row r="453" spans="1:23">
      <c r="A453" s="3"/>
      <c r="B453" s="3"/>
      <c r="C453" s="13"/>
      <c r="D453" s="13"/>
      <c r="E453" s="13"/>
      <c r="F453" s="13"/>
      <c r="G453" s="3"/>
      <c r="H453" s="3"/>
      <c r="I453" s="3"/>
      <c r="J453" s="3"/>
      <c r="K453" s="3"/>
      <c r="L453" s="3"/>
      <c r="M453" s="3"/>
      <c r="N453" s="3"/>
      <c r="O453" s="3"/>
      <c r="P453" s="3"/>
      <c r="Q453" s="3"/>
      <c r="R453" s="3"/>
      <c r="S453" s="3"/>
      <c r="T453" s="3"/>
      <c r="U453" s="3"/>
      <c r="V453" s="3"/>
      <c r="W453" s="3"/>
    </row>
    <row r="454" spans="1:23">
      <c r="A454" s="3"/>
      <c r="B454" s="3"/>
      <c r="C454" s="13"/>
      <c r="D454" s="13"/>
      <c r="E454" s="13"/>
      <c r="F454" s="13"/>
      <c r="G454" s="3"/>
      <c r="H454" s="3"/>
      <c r="I454" s="3"/>
      <c r="J454" s="3"/>
      <c r="K454" s="3"/>
      <c r="L454" s="3"/>
      <c r="M454" s="3"/>
      <c r="N454" s="3"/>
      <c r="O454" s="3"/>
      <c r="P454" s="3"/>
      <c r="Q454" s="3"/>
      <c r="R454" s="3"/>
      <c r="S454" s="3"/>
      <c r="T454" s="3"/>
      <c r="U454" s="3"/>
      <c r="V454" s="3"/>
      <c r="W454" s="3"/>
    </row>
    <row r="455" spans="1:23">
      <c r="A455" s="3"/>
      <c r="B455" s="3"/>
      <c r="C455" s="13"/>
      <c r="D455" s="13"/>
      <c r="E455" s="13"/>
      <c r="F455" s="13"/>
      <c r="G455" s="3"/>
      <c r="H455" s="3"/>
      <c r="I455" s="3"/>
      <c r="J455" s="3"/>
      <c r="K455" s="3"/>
      <c r="L455" s="3"/>
      <c r="M455" s="3"/>
      <c r="N455" s="3"/>
      <c r="O455" s="3"/>
      <c r="P455" s="3"/>
      <c r="Q455" s="3"/>
      <c r="R455" s="3"/>
      <c r="S455" s="3"/>
      <c r="T455" s="3"/>
      <c r="U455" s="3"/>
      <c r="V455" s="3"/>
      <c r="W455" s="3"/>
    </row>
    <row r="456" spans="1:23">
      <c r="A456" s="3"/>
      <c r="B456" s="3"/>
      <c r="C456" s="13"/>
      <c r="D456" s="13"/>
      <c r="E456" s="13"/>
      <c r="F456" s="13"/>
      <c r="G456" s="3"/>
      <c r="H456" s="3"/>
      <c r="I456" s="3"/>
      <c r="J456" s="3"/>
      <c r="K456" s="3"/>
      <c r="L456" s="3"/>
      <c r="M456" s="3"/>
      <c r="N456" s="3"/>
      <c r="O456" s="3"/>
      <c r="P456" s="3"/>
      <c r="Q456" s="3"/>
      <c r="R456" s="3"/>
      <c r="S456" s="3"/>
      <c r="T456" s="3"/>
      <c r="U456" s="3"/>
      <c r="V456" s="3"/>
      <c r="W456" s="3"/>
    </row>
    <row r="457" spans="1:23">
      <c r="A457" s="3"/>
      <c r="B457" s="3"/>
      <c r="C457" s="13"/>
      <c r="D457" s="13"/>
      <c r="E457" s="13"/>
      <c r="F457" s="13"/>
      <c r="G457" s="3"/>
      <c r="H457" s="3"/>
      <c r="I457" s="3"/>
      <c r="J457" s="3"/>
      <c r="K457" s="3"/>
      <c r="L457" s="3"/>
      <c r="M457" s="3"/>
      <c r="N457" s="3"/>
      <c r="O457" s="3"/>
      <c r="P457" s="3"/>
      <c r="Q457" s="3"/>
      <c r="R457" s="3"/>
      <c r="S457" s="3"/>
      <c r="T457" s="3"/>
      <c r="U457" s="3"/>
      <c r="V457" s="3"/>
      <c r="W457" s="3"/>
    </row>
    <row r="458" spans="1:23">
      <c r="A458" s="3"/>
      <c r="B458" s="3"/>
      <c r="C458" s="13"/>
      <c r="D458" s="13"/>
      <c r="E458" s="13"/>
      <c r="F458" s="13"/>
      <c r="G458" s="3"/>
      <c r="H458" s="3"/>
      <c r="I458" s="3"/>
      <c r="J458" s="3"/>
      <c r="K458" s="3"/>
      <c r="L458" s="3"/>
      <c r="M458" s="3"/>
      <c r="N458" s="3"/>
      <c r="O458" s="3"/>
      <c r="P458" s="3"/>
      <c r="Q458" s="3"/>
      <c r="R458" s="3"/>
      <c r="S458" s="3"/>
      <c r="T458" s="3"/>
      <c r="U458" s="3"/>
      <c r="V458" s="3"/>
      <c r="W458" s="3"/>
    </row>
    <row r="459" spans="1:23">
      <c r="A459" s="3"/>
      <c r="B459" s="3"/>
      <c r="C459" s="13"/>
      <c r="D459" s="13"/>
      <c r="E459" s="13"/>
      <c r="F459" s="13"/>
      <c r="G459" s="3"/>
      <c r="H459" s="3"/>
      <c r="I459" s="3"/>
      <c r="J459" s="3"/>
      <c r="K459" s="3"/>
      <c r="L459" s="3"/>
      <c r="M459" s="3"/>
      <c r="N459" s="3"/>
      <c r="O459" s="3"/>
      <c r="P459" s="3"/>
      <c r="Q459" s="3"/>
      <c r="R459" s="3"/>
      <c r="S459" s="3"/>
      <c r="T459" s="3"/>
      <c r="U459" s="3"/>
      <c r="V459" s="3"/>
      <c r="W459" s="3"/>
    </row>
    <row r="460" spans="1:23">
      <c r="A460" s="3"/>
      <c r="B460" s="3"/>
      <c r="C460" s="13"/>
      <c r="D460" s="13"/>
      <c r="E460" s="13"/>
      <c r="F460" s="13"/>
      <c r="G460" s="3"/>
      <c r="H460" s="3"/>
      <c r="I460" s="3"/>
      <c r="J460" s="3"/>
      <c r="K460" s="3"/>
      <c r="L460" s="3"/>
      <c r="M460" s="3"/>
      <c r="N460" s="3"/>
      <c r="O460" s="3"/>
      <c r="P460" s="3"/>
      <c r="Q460" s="3"/>
      <c r="R460" s="3"/>
      <c r="S460" s="3"/>
      <c r="T460" s="3"/>
      <c r="U460" s="3"/>
      <c r="V460" s="3"/>
      <c r="W460" s="3"/>
    </row>
    <row r="461" spans="1:23">
      <c r="A461" s="3"/>
      <c r="B461" s="3"/>
      <c r="C461" s="13"/>
      <c r="D461" s="13"/>
      <c r="E461" s="13"/>
      <c r="F461" s="13"/>
      <c r="G461" s="3"/>
      <c r="H461" s="3"/>
      <c r="I461" s="3"/>
      <c r="J461" s="3"/>
      <c r="K461" s="3"/>
      <c r="L461" s="3"/>
      <c r="M461" s="3"/>
      <c r="N461" s="3"/>
      <c r="O461" s="3"/>
      <c r="P461" s="3"/>
      <c r="Q461" s="3"/>
      <c r="R461" s="3"/>
      <c r="S461" s="3"/>
      <c r="T461" s="3"/>
      <c r="U461" s="3"/>
      <c r="V461" s="3"/>
      <c r="W461" s="3"/>
    </row>
    <row r="462" spans="1:23">
      <c r="A462" s="3"/>
      <c r="B462" s="3"/>
      <c r="C462" s="13"/>
      <c r="D462" s="13"/>
      <c r="E462" s="13"/>
      <c r="F462" s="13"/>
      <c r="G462" s="3"/>
      <c r="H462" s="3"/>
      <c r="I462" s="3"/>
      <c r="J462" s="3"/>
      <c r="K462" s="3"/>
      <c r="L462" s="3"/>
      <c r="M462" s="3"/>
      <c r="N462" s="3"/>
      <c r="O462" s="3"/>
      <c r="P462" s="3"/>
      <c r="Q462" s="3"/>
      <c r="R462" s="3"/>
      <c r="S462" s="3"/>
      <c r="T462" s="3"/>
      <c r="U462" s="3"/>
      <c r="V462" s="3"/>
      <c r="W462" s="3"/>
    </row>
    <row r="463" spans="1:23">
      <c r="A463" s="3"/>
      <c r="B463" s="3"/>
      <c r="C463" s="13"/>
      <c r="D463" s="13"/>
      <c r="E463" s="13"/>
      <c r="F463" s="13"/>
      <c r="G463" s="3"/>
      <c r="H463" s="3"/>
      <c r="I463" s="3"/>
      <c r="J463" s="3"/>
      <c r="K463" s="3"/>
      <c r="L463" s="3"/>
      <c r="M463" s="3"/>
      <c r="N463" s="3"/>
      <c r="O463" s="3"/>
      <c r="P463" s="3"/>
      <c r="Q463" s="3"/>
      <c r="R463" s="3"/>
      <c r="S463" s="3"/>
      <c r="T463" s="3"/>
      <c r="U463" s="3"/>
      <c r="V463" s="3"/>
      <c r="W463" s="3"/>
    </row>
    <row r="464" spans="1:23">
      <c r="A464" s="3"/>
      <c r="B464" s="3"/>
      <c r="C464" s="13"/>
      <c r="D464" s="13"/>
      <c r="E464" s="13"/>
      <c r="F464" s="13"/>
      <c r="G464" s="3"/>
      <c r="H464" s="3"/>
      <c r="I464" s="3"/>
      <c r="J464" s="3"/>
      <c r="K464" s="3"/>
      <c r="L464" s="3"/>
      <c r="M464" s="3"/>
      <c r="N464" s="3"/>
      <c r="O464" s="3"/>
      <c r="P464" s="3"/>
      <c r="Q464" s="3"/>
      <c r="R464" s="3"/>
      <c r="S464" s="3"/>
      <c r="T464" s="3"/>
      <c r="U464" s="3"/>
      <c r="V464" s="3"/>
      <c r="W464" s="3"/>
    </row>
    <row r="465" spans="1:23">
      <c r="A465" s="3"/>
      <c r="B465" s="3"/>
      <c r="C465" s="13"/>
      <c r="D465" s="13"/>
      <c r="E465" s="13"/>
      <c r="F465" s="13"/>
      <c r="G465" s="3"/>
      <c r="H465" s="3"/>
      <c r="I465" s="3"/>
      <c r="J465" s="3"/>
      <c r="K465" s="3"/>
      <c r="L465" s="3"/>
      <c r="M465" s="3"/>
      <c r="N465" s="3"/>
      <c r="O465" s="3"/>
      <c r="P465" s="3"/>
      <c r="Q465" s="3"/>
      <c r="R465" s="3"/>
      <c r="S465" s="3"/>
      <c r="T465" s="3"/>
      <c r="U465" s="3"/>
      <c r="V465" s="3"/>
      <c r="W465" s="3"/>
    </row>
    <row r="466" spans="1:23">
      <c r="A466" s="3"/>
      <c r="B466" s="3"/>
      <c r="C466" s="13"/>
      <c r="D466" s="13"/>
      <c r="E466" s="13"/>
      <c r="F466" s="13"/>
      <c r="G466" s="3"/>
      <c r="H466" s="3"/>
      <c r="I466" s="3"/>
      <c r="J466" s="3"/>
      <c r="K466" s="3"/>
      <c r="L466" s="3"/>
      <c r="M466" s="3"/>
      <c r="N466" s="3"/>
      <c r="O466" s="3"/>
      <c r="P466" s="3"/>
      <c r="Q466" s="3"/>
      <c r="R466" s="3"/>
      <c r="S466" s="3"/>
      <c r="T466" s="3"/>
      <c r="U466" s="3"/>
      <c r="V466" s="3"/>
      <c r="W466" s="3"/>
    </row>
    <row r="467" spans="1:23">
      <c r="A467" s="3"/>
      <c r="B467" s="3"/>
      <c r="C467" s="13"/>
      <c r="D467" s="13"/>
      <c r="E467" s="13"/>
      <c r="F467" s="13"/>
      <c r="G467" s="3"/>
      <c r="H467" s="3"/>
      <c r="I467" s="3"/>
      <c r="J467" s="3"/>
      <c r="K467" s="3"/>
      <c r="L467" s="3"/>
      <c r="M467" s="3"/>
      <c r="N467" s="3"/>
      <c r="O467" s="3"/>
      <c r="P467" s="3"/>
      <c r="Q467" s="3"/>
      <c r="R467" s="3"/>
      <c r="S467" s="3"/>
      <c r="T467" s="3"/>
      <c r="U467" s="3"/>
      <c r="V467" s="3"/>
      <c r="W467" s="3"/>
    </row>
    <row r="468" spans="1:23">
      <c r="A468" s="3"/>
      <c r="B468" s="3"/>
      <c r="C468" s="13"/>
      <c r="D468" s="13"/>
      <c r="E468" s="13"/>
      <c r="F468" s="13"/>
      <c r="G468" s="3"/>
      <c r="H468" s="3"/>
      <c r="I468" s="3"/>
      <c r="J468" s="3"/>
      <c r="K468" s="3"/>
      <c r="L468" s="3"/>
      <c r="M468" s="3"/>
      <c r="N468" s="3"/>
      <c r="O468" s="3"/>
      <c r="P468" s="3"/>
      <c r="Q468" s="3"/>
      <c r="R468" s="3"/>
      <c r="S468" s="3"/>
      <c r="T468" s="3"/>
      <c r="U468" s="3"/>
      <c r="V468" s="3"/>
      <c r="W468" s="3"/>
    </row>
    <row r="469" spans="1:23">
      <c r="A469" s="3"/>
      <c r="B469" s="3"/>
      <c r="C469" s="13"/>
      <c r="D469" s="13"/>
      <c r="E469" s="13"/>
      <c r="F469" s="13"/>
      <c r="G469" s="3"/>
      <c r="H469" s="3"/>
      <c r="I469" s="3"/>
      <c r="J469" s="3"/>
      <c r="K469" s="3"/>
      <c r="L469" s="3"/>
      <c r="M469" s="3"/>
      <c r="N469" s="3"/>
      <c r="O469" s="3"/>
      <c r="P469" s="3"/>
      <c r="Q469" s="3"/>
      <c r="R469" s="3"/>
      <c r="S469" s="3"/>
      <c r="T469" s="3"/>
      <c r="U469" s="3"/>
      <c r="V469" s="3"/>
      <c r="W469" s="3"/>
    </row>
    <row r="470" spans="1:23">
      <c r="A470" s="3"/>
      <c r="B470" s="3"/>
      <c r="C470" s="13"/>
      <c r="D470" s="13"/>
      <c r="E470" s="13"/>
      <c r="F470" s="13"/>
      <c r="G470" s="3"/>
      <c r="H470" s="3"/>
      <c r="I470" s="3"/>
      <c r="J470" s="3"/>
      <c r="K470" s="3"/>
      <c r="L470" s="3"/>
      <c r="M470" s="3"/>
      <c r="N470" s="3"/>
      <c r="O470" s="3"/>
      <c r="P470" s="3"/>
      <c r="Q470" s="3"/>
      <c r="R470" s="3"/>
      <c r="S470" s="3"/>
      <c r="T470" s="3"/>
      <c r="U470" s="3"/>
      <c r="V470" s="3"/>
      <c r="W470" s="3"/>
    </row>
    <row r="471" spans="1:23">
      <c r="A471" s="3"/>
      <c r="B471" s="3"/>
      <c r="C471" s="13"/>
      <c r="D471" s="13"/>
      <c r="E471" s="13"/>
      <c r="F471" s="13"/>
      <c r="G471" s="3"/>
      <c r="H471" s="3"/>
      <c r="I471" s="3"/>
      <c r="J471" s="3"/>
      <c r="K471" s="3"/>
      <c r="L471" s="3"/>
      <c r="M471" s="3"/>
      <c r="N471" s="3"/>
      <c r="O471" s="3"/>
      <c r="P471" s="3"/>
      <c r="Q471" s="3"/>
      <c r="R471" s="3"/>
      <c r="S471" s="3"/>
      <c r="T471" s="3"/>
      <c r="U471" s="3"/>
      <c r="V471" s="3"/>
      <c r="W471" s="3"/>
    </row>
    <row r="472" spans="1:23">
      <c r="A472" s="3"/>
      <c r="B472" s="3"/>
      <c r="C472" s="13"/>
      <c r="D472" s="13"/>
      <c r="E472" s="13"/>
      <c r="F472" s="13"/>
      <c r="G472" s="3"/>
      <c r="H472" s="3"/>
      <c r="I472" s="3"/>
      <c r="J472" s="3"/>
      <c r="K472" s="3"/>
      <c r="L472" s="3"/>
      <c r="M472" s="3"/>
      <c r="N472" s="3"/>
      <c r="O472" s="3"/>
      <c r="P472" s="3"/>
      <c r="Q472" s="3"/>
      <c r="R472" s="3"/>
      <c r="S472" s="3"/>
      <c r="T472" s="3"/>
      <c r="U472" s="3"/>
      <c r="V472" s="3"/>
      <c r="W472" s="3"/>
    </row>
    <row r="473" spans="1:23">
      <c r="A473" s="3"/>
      <c r="B473" s="3"/>
      <c r="C473" s="13"/>
      <c r="D473" s="13"/>
      <c r="E473" s="13"/>
      <c r="F473" s="13"/>
      <c r="G473" s="3"/>
      <c r="H473" s="3"/>
      <c r="I473" s="3"/>
      <c r="J473" s="3"/>
      <c r="K473" s="3"/>
      <c r="L473" s="3"/>
      <c r="M473" s="3"/>
      <c r="N473" s="3"/>
      <c r="O473" s="3"/>
      <c r="P473" s="3"/>
      <c r="Q473" s="3"/>
      <c r="R473" s="3"/>
      <c r="S473" s="3"/>
      <c r="T473" s="3"/>
      <c r="U473" s="3"/>
      <c r="V473" s="3"/>
      <c r="W473" s="3"/>
    </row>
    <row r="474" spans="1:23">
      <c r="A474" s="3"/>
      <c r="B474" s="3"/>
      <c r="C474" s="13"/>
      <c r="D474" s="13"/>
      <c r="E474" s="13"/>
      <c r="F474" s="13"/>
      <c r="G474" s="3"/>
      <c r="H474" s="3"/>
      <c r="I474" s="3"/>
      <c r="J474" s="3"/>
      <c r="K474" s="3"/>
      <c r="L474" s="3"/>
      <c r="M474" s="3"/>
      <c r="N474" s="3"/>
      <c r="O474" s="3"/>
      <c r="P474" s="3"/>
      <c r="Q474" s="3"/>
      <c r="R474" s="3"/>
      <c r="S474" s="3"/>
      <c r="T474" s="3"/>
      <c r="U474" s="3"/>
      <c r="V474" s="3"/>
      <c r="W474" s="3"/>
    </row>
    <row r="475" spans="1:23">
      <c r="A475" s="3"/>
      <c r="B475" s="3"/>
      <c r="C475" s="13"/>
      <c r="D475" s="13"/>
      <c r="E475" s="13"/>
      <c r="F475" s="13"/>
      <c r="G475" s="3"/>
      <c r="H475" s="3"/>
      <c r="I475" s="3"/>
      <c r="J475" s="3"/>
      <c r="K475" s="3"/>
      <c r="L475" s="3"/>
      <c r="M475" s="3"/>
      <c r="N475" s="3"/>
      <c r="O475" s="3"/>
      <c r="P475" s="3"/>
      <c r="Q475" s="3"/>
      <c r="R475" s="3"/>
      <c r="S475" s="3"/>
      <c r="T475" s="3"/>
      <c r="U475" s="3"/>
      <c r="V475" s="3"/>
      <c r="W475" s="3"/>
    </row>
    <row r="476" spans="1:23">
      <c r="A476" s="3"/>
      <c r="B476" s="3"/>
      <c r="C476" s="13"/>
      <c r="D476" s="13"/>
      <c r="E476" s="13"/>
      <c r="F476" s="13"/>
      <c r="G476" s="3"/>
      <c r="H476" s="3"/>
      <c r="I476" s="3"/>
      <c r="J476" s="3"/>
      <c r="K476" s="3"/>
      <c r="L476" s="3"/>
      <c r="M476" s="3"/>
      <c r="N476" s="3"/>
      <c r="O476" s="3"/>
      <c r="P476" s="3"/>
      <c r="Q476" s="3"/>
      <c r="R476" s="3"/>
      <c r="S476" s="3"/>
      <c r="T476" s="3"/>
      <c r="U476" s="3"/>
      <c r="V476" s="3"/>
      <c r="W476" s="3"/>
    </row>
    <row r="477" spans="1:23">
      <c r="A477" s="3"/>
      <c r="B477" s="3"/>
      <c r="C477" s="13"/>
      <c r="D477" s="13"/>
      <c r="E477" s="13"/>
      <c r="F477" s="13"/>
      <c r="G477" s="3"/>
      <c r="H477" s="3"/>
      <c r="I477" s="3"/>
      <c r="J477" s="3"/>
      <c r="K477" s="3"/>
      <c r="L477" s="3"/>
      <c r="M477" s="3"/>
      <c r="N477" s="3"/>
      <c r="O477" s="3"/>
      <c r="P477" s="3"/>
      <c r="Q477" s="3"/>
      <c r="R477" s="3"/>
      <c r="S477" s="3"/>
      <c r="T477" s="3"/>
      <c r="U477" s="3"/>
      <c r="V477" s="3"/>
      <c r="W477" s="3"/>
    </row>
    <row r="478" spans="1:23">
      <c r="A478" s="3"/>
      <c r="B478" s="3"/>
      <c r="C478" s="13"/>
      <c r="D478" s="13"/>
      <c r="E478" s="13"/>
      <c r="F478" s="13"/>
      <c r="G478" s="3"/>
      <c r="H478" s="3"/>
      <c r="I478" s="3"/>
      <c r="J478" s="3"/>
      <c r="K478" s="3"/>
      <c r="L478" s="3"/>
      <c r="M478" s="3"/>
      <c r="N478" s="3"/>
      <c r="O478" s="3"/>
      <c r="P478" s="3"/>
      <c r="Q478" s="3"/>
      <c r="R478" s="3"/>
      <c r="S478" s="3"/>
      <c r="T478" s="3"/>
      <c r="U478" s="3"/>
      <c r="V478" s="3"/>
      <c r="W478" s="3"/>
    </row>
    <row r="479" spans="1:23">
      <c r="A479" s="3"/>
      <c r="B479" s="3"/>
      <c r="C479" s="13"/>
      <c r="D479" s="13"/>
      <c r="E479" s="13"/>
      <c r="F479" s="13"/>
      <c r="G479" s="3"/>
      <c r="H479" s="3"/>
      <c r="I479" s="3"/>
      <c r="J479" s="3"/>
      <c r="K479" s="3"/>
      <c r="L479" s="3"/>
      <c r="M479" s="3"/>
      <c r="N479" s="3"/>
      <c r="O479" s="3"/>
      <c r="P479" s="3"/>
      <c r="Q479" s="3"/>
      <c r="R479" s="3"/>
      <c r="S479" s="3"/>
      <c r="T479" s="3"/>
      <c r="U479" s="3"/>
      <c r="V479" s="3"/>
      <c r="W479" s="3"/>
    </row>
    <row r="480" spans="1:23">
      <c r="A480" s="3"/>
      <c r="B480" s="3"/>
      <c r="C480" s="13"/>
      <c r="D480" s="13"/>
      <c r="E480" s="13"/>
      <c r="F480" s="13"/>
      <c r="G480" s="3"/>
      <c r="H480" s="3"/>
      <c r="I480" s="3"/>
      <c r="J480" s="3"/>
      <c r="K480" s="3"/>
      <c r="L480" s="3"/>
      <c r="M480" s="3"/>
      <c r="N480" s="3"/>
      <c r="O480" s="3"/>
      <c r="P480" s="3"/>
      <c r="Q480" s="3"/>
      <c r="R480" s="3"/>
      <c r="S480" s="3"/>
      <c r="T480" s="3"/>
      <c r="U480" s="3"/>
      <c r="V480" s="3"/>
      <c r="W480" s="3"/>
    </row>
    <row r="481" spans="1:23">
      <c r="A481" s="3"/>
      <c r="B481" s="3"/>
      <c r="C481" s="13"/>
      <c r="D481" s="13"/>
      <c r="E481" s="13"/>
      <c r="F481" s="13"/>
      <c r="G481" s="3"/>
      <c r="H481" s="3"/>
      <c r="I481" s="3"/>
      <c r="J481" s="3"/>
      <c r="K481" s="3"/>
      <c r="L481" s="3"/>
      <c r="M481" s="3"/>
      <c r="N481" s="3"/>
      <c r="O481" s="3"/>
      <c r="P481" s="3"/>
      <c r="Q481" s="3"/>
      <c r="R481" s="3"/>
      <c r="S481" s="3"/>
      <c r="T481" s="3"/>
      <c r="U481" s="3"/>
      <c r="V481" s="3"/>
      <c r="W481" s="3"/>
    </row>
    <row r="482" spans="1:23">
      <c r="A482" s="3"/>
      <c r="B482" s="3"/>
      <c r="C482" s="13"/>
      <c r="D482" s="13"/>
      <c r="E482" s="13"/>
      <c r="F482" s="13"/>
      <c r="G482" s="3"/>
      <c r="H482" s="3"/>
      <c r="I482" s="3"/>
      <c r="J482" s="3"/>
      <c r="K482" s="3"/>
      <c r="L482" s="3"/>
      <c r="M482" s="3"/>
      <c r="N482" s="3"/>
      <c r="O482" s="3"/>
      <c r="P482" s="3"/>
      <c r="Q482" s="3"/>
      <c r="R482" s="3"/>
      <c r="S482" s="3"/>
      <c r="T482" s="3"/>
      <c r="U482" s="3"/>
      <c r="V482" s="3"/>
      <c r="W482" s="3"/>
    </row>
    <row r="483" spans="1:23">
      <c r="A483" s="3"/>
      <c r="B483" s="3"/>
      <c r="C483" s="13"/>
      <c r="D483" s="13"/>
      <c r="E483" s="13"/>
      <c r="F483" s="13"/>
      <c r="G483" s="3"/>
      <c r="H483" s="3"/>
      <c r="I483" s="3"/>
      <c r="J483" s="3"/>
      <c r="K483" s="3"/>
      <c r="L483" s="3"/>
      <c r="M483" s="3"/>
      <c r="N483" s="3"/>
      <c r="O483" s="3"/>
      <c r="P483" s="3"/>
      <c r="Q483" s="3"/>
      <c r="R483" s="3"/>
      <c r="S483" s="3"/>
      <c r="T483" s="3"/>
      <c r="U483" s="3"/>
      <c r="V483" s="3"/>
      <c r="W483" s="3"/>
    </row>
    <row r="484" spans="1:23">
      <c r="A484" s="3"/>
      <c r="B484" s="3"/>
      <c r="C484" s="13"/>
      <c r="D484" s="13"/>
      <c r="E484" s="13"/>
      <c r="F484" s="13"/>
      <c r="G484" s="3"/>
      <c r="H484" s="3"/>
      <c r="I484" s="3"/>
      <c r="J484" s="3"/>
      <c r="K484" s="3"/>
      <c r="L484" s="3"/>
      <c r="M484" s="3"/>
      <c r="N484" s="3"/>
      <c r="O484" s="3"/>
      <c r="P484" s="3"/>
      <c r="Q484" s="3"/>
      <c r="R484" s="3"/>
      <c r="S484" s="3"/>
      <c r="T484" s="3"/>
      <c r="U484" s="3"/>
      <c r="V484" s="3"/>
      <c r="W484" s="3"/>
    </row>
    <row r="485" spans="1:23">
      <c r="A485" s="3"/>
      <c r="B485" s="3"/>
      <c r="C485" s="13"/>
      <c r="D485" s="13"/>
      <c r="E485" s="13"/>
      <c r="F485" s="13"/>
      <c r="G485" s="3"/>
      <c r="H485" s="3"/>
      <c r="I485" s="3"/>
      <c r="J485" s="3"/>
      <c r="K485" s="3"/>
      <c r="L485" s="3"/>
      <c r="M485" s="3"/>
      <c r="N485" s="3"/>
      <c r="O485" s="3"/>
      <c r="P485" s="3"/>
      <c r="Q485" s="3"/>
      <c r="R485" s="3"/>
      <c r="S485" s="3"/>
      <c r="T485" s="3"/>
      <c r="U485" s="3"/>
      <c r="V485" s="3"/>
      <c r="W485" s="3"/>
    </row>
    <row r="486" spans="1:23">
      <c r="A486" s="3"/>
      <c r="B486" s="3"/>
      <c r="C486" s="13"/>
      <c r="D486" s="13"/>
      <c r="E486" s="13"/>
      <c r="F486" s="13"/>
      <c r="G486" s="3"/>
      <c r="H486" s="3"/>
      <c r="I486" s="3"/>
      <c r="J486" s="3"/>
      <c r="K486" s="3"/>
      <c r="L486" s="3"/>
      <c r="M486" s="3"/>
      <c r="N486" s="3"/>
      <c r="O486" s="3"/>
      <c r="P486" s="3"/>
      <c r="Q486" s="3"/>
      <c r="R486" s="3"/>
      <c r="S486" s="3"/>
      <c r="T486" s="3"/>
      <c r="U486" s="3"/>
      <c r="V486" s="3"/>
      <c r="W486" s="3"/>
    </row>
    <row r="487" spans="1:23">
      <c r="A487" s="3"/>
      <c r="B487" s="3"/>
      <c r="C487" s="13"/>
      <c r="D487" s="13"/>
      <c r="E487" s="13"/>
      <c r="F487" s="13"/>
      <c r="G487" s="3"/>
      <c r="H487" s="3"/>
      <c r="I487" s="3"/>
      <c r="J487" s="3"/>
      <c r="K487" s="3"/>
      <c r="L487" s="3"/>
      <c r="M487" s="3"/>
      <c r="N487" s="3"/>
      <c r="O487" s="3"/>
      <c r="P487" s="3"/>
      <c r="Q487" s="3"/>
      <c r="R487" s="3"/>
      <c r="S487" s="3"/>
      <c r="T487" s="3"/>
      <c r="U487" s="3"/>
      <c r="V487" s="3"/>
      <c r="W487" s="3"/>
    </row>
    <row r="488" spans="1:23">
      <c r="A488" s="3"/>
      <c r="B488" s="3"/>
      <c r="C488" s="13"/>
      <c r="D488" s="13"/>
      <c r="E488" s="13"/>
      <c r="F488" s="13"/>
      <c r="G488" s="3"/>
      <c r="H488" s="3"/>
      <c r="I488" s="3"/>
      <c r="J488" s="3"/>
      <c r="K488" s="3"/>
      <c r="L488" s="3"/>
      <c r="M488" s="3"/>
      <c r="N488" s="3"/>
      <c r="O488" s="3"/>
      <c r="P488" s="3"/>
      <c r="Q488" s="3"/>
      <c r="R488" s="3"/>
      <c r="S488" s="3"/>
      <c r="T488" s="3"/>
      <c r="U488" s="3"/>
      <c r="V488" s="3"/>
      <c r="W488" s="3"/>
    </row>
    <row r="489" spans="1:23">
      <c r="A489" s="3"/>
      <c r="B489" s="3"/>
      <c r="C489" s="13"/>
      <c r="D489" s="13"/>
      <c r="E489" s="13"/>
      <c r="F489" s="13"/>
      <c r="G489" s="3"/>
      <c r="H489" s="3"/>
      <c r="I489" s="3"/>
      <c r="J489" s="3"/>
      <c r="K489" s="3"/>
      <c r="L489" s="3"/>
      <c r="M489" s="3"/>
      <c r="N489" s="3"/>
      <c r="O489" s="3"/>
      <c r="P489" s="3"/>
      <c r="Q489" s="3"/>
      <c r="R489" s="3"/>
      <c r="S489" s="3"/>
      <c r="T489" s="3"/>
      <c r="U489" s="3"/>
      <c r="V489" s="3"/>
      <c r="W489" s="3"/>
    </row>
    <row r="490" spans="1:23">
      <c r="A490" s="3"/>
      <c r="B490" s="3"/>
      <c r="C490" s="13"/>
      <c r="D490" s="13"/>
      <c r="E490" s="13"/>
      <c r="F490" s="13"/>
      <c r="G490" s="3"/>
      <c r="H490" s="3"/>
      <c r="I490" s="3"/>
      <c r="J490" s="3"/>
      <c r="K490" s="3"/>
      <c r="L490" s="3"/>
      <c r="M490" s="3"/>
      <c r="N490" s="3"/>
      <c r="O490" s="3"/>
      <c r="P490" s="3"/>
      <c r="Q490" s="3"/>
      <c r="R490" s="3"/>
      <c r="S490" s="3"/>
      <c r="T490" s="3"/>
      <c r="U490" s="3"/>
      <c r="V490" s="3"/>
      <c r="W490" s="3"/>
    </row>
    <row r="491" spans="1:23">
      <c r="A491" s="3"/>
      <c r="B491" s="3"/>
      <c r="C491" s="13"/>
      <c r="D491" s="13"/>
      <c r="E491" s="13"/>
      <c r="F491" s="13"/>
      <c r="G491" s="3"/>
      <c r="H491" s="3"/>
      <c r="I491" s="3"/>
      <c r="J491" s="3"/>
      <c r="K491" s="3"/>
      <c r="L491" s="3"/>
      <c r="M491" s="3"/>
      <c r="N491" s="3"/>
      <c r="O491" s="3"/>
      <c r="P491" s="3"/>
      <c r="Q491" s="3"/>
      <c r="R491" s="3"/>
      <c r="S491" s="3"/>
      <c r="T491" s="3"/>
      <c r="U491" s="3"/>
      <c r="V491" s="3"/>
      <c r="W491" s="3"/>
    </row>
    <row r="492" spans="1:23">
      <c r="A492" s="3"/>
      <c r="B492" s="3"/>
      <c r="C492" s="13"/>
      <c r="D492" s="13"/>
      <c r="E492" s="13"/>
      <c r="F492" s="13"/>
      <c r="G492" s="3"/>
      <c r="H492" s="3"/>
      <c r="I492" s="3"/>
      <c r="J492" s="3"/>
      <c r="K492" s="3"/>
      <c r="L492" s="3"/>
      <c r="M492" s="3"/>
      <c r="N492" s="3"/>
      <c r="O492" s="3"/>
      <c r="P492" s="3"/>
      <c r="Q492" s="3"/>
      <c r="R492" s="3"/>
      <c r="S492" s="3"/>
      <c r="T492" s="3"/>
      <c r="U492" s="3"/>
      <c r="V492" s="3"/>
      <c r="W492" s="3"/>
    </row>
    <row r="493" spans="1:23">
      <c r="A493" s="3"/>
      <c r="B493" s="3"/>
      <c r="C493" s="13"/>
      <c r="D493" s="13"/>
      <c r="E493" s="13"/>
      <c r="F493" s="13"/>
      <c r="G493" s="3"/>
      <c r="H493" s="3"/>
      <c r="I493" s="3"/>
      <c r="J493" s="3"/>
      <c r="K493" s="3"/>
      <c r="L493" s="3"/>
      <c r="M493" s="3"/>
      <c r="N493" s="3"/>
      <c r="O493" s="3"/>
      <c r="P493" s="3"/>
      <c r="Q493" s="3"/>
      <c r="R493" s="3"/>
      <c r="S493" s="3"/>
      <c r="T493" s="3"/>
      <c r="U493" s="3"/>
      <c r="V493" s="3"/>
      <c r="W493" s="3"/>
    </row>
    <row r="494" spans="1:23">
      <c r="A494" s="3"/>
      <c r="B494" s="3"/>
      <c r="C494" s="13"/>
      <c r="D494" s="13"/>
      <c r="E494" s="13"/>
      <c r="F494" s="13"/>
      <c r="G494" s="3"/>
      <c r="H494" s="3"/>
      <c r="I494" s="3"/>
      <c r="J494" s="3"/>
      <c r="K494" s="3"/>
      <c r="L494" s="3"/>
      <c r="M494" s="3"/>
      <c r="N494" s="3"/>
      <c r="O494" s="3"/>
      <c r="P494" s="3"/>
      <c r="Q494" s="3"/>
      <c r="R494" s="3"/>
      <c r="S494" s="3"/>
      <c r="T494" s="3"/>
      <c r="U494" s="3"/>
      <c r="V494" s="3"/>
      <c r="W494" s="3"/>
    </row>
    <row r="495" spans="1:23">
      <c r="A495" s="3"/>
      <c r="B495" s="3"/>
      <c r="C495" s="13"/>
      <c r="D495" s="13"/>
      <c r="E495" s="13"/>
      <c r="F495" s="13"/>
      <c r="G495" s="3"/>
      <c r="H495" s="3"/>
      <c r="I495" s="3"/>
      <c r="J495" s="3"/>
      <c r="K495" s="3"/>
      <c r="L495" s="3"/>
      <c r="M495" s="3"/>
      <c r="N495" s="3"/>
      <c r="O495" s="3"/>
      <c r="P495" s="3"/>
      <c r="Q495" s="3"/>
      <c r="R495" s="3"/>
      <c r="S495" s="3"/>
      <c r="T495" s="3"/>
      <c r="U495" s="3"/>
      <c r="V495" s="3"/>
      <c r="W495" s="3"/>
    </row>
    <row r="496" spans="1:23">
      <c r="A496" s="3"/>
      <c r="B496" s="3"/>
      <c r="C496" s="13"/>
      <c r="D496" s="13"/>
      <c r="E496" s="13"/>
      <c r="F496" s="13"/>
      <c r="G496" s="3"/>
      <c r="H496" s="3"/>
      <c r="I496" s="3"/>
      <c r="J496" s="3"/>
      <c r="K496" s="3"/>
      <c r="L496" s="3"/>
      <c r="M496" s="3"/>
      <c r="N496" s="3"/>
      <c r="O496" s="3"/>
      <c r="P496" s="3"/>
      <c r="Q496" s="3"/>
      <c r="R496" s="3"/>
      <c r="S496" s="3"/>
      <c r="T496" s="3"/>
      <c r="U496" s="3"/>
      <c r="V496" s="3"/>
      <c r="W496" s="3"/>
    </row>
    <row r="497" spans="1:23">
      <c r="A497" s="3"/>
      <c r="B497" s="3"/>
      <c r="C497" s="13"/>
      <c r="D497" s="13"/>
      <c r="E497" s="13"/>
      <c r="F497" s="13"/>
      <c r="G497" s="3"/>
      <c r="H497" s="3"/>
      <c r="I497" s="3"/>
      <c r="J497" s="3"/>
      <c r="K497" s="3"/>
      <c r="L497" s="3"/>
      <c r="M497" s="3"/>
      <c r="N497" s="3"/>
      <c r="O497" s="3"/>
      <c r="P497" s="3"/>
      <c r="Q497" s="3"/>
      <c r="R497" s="3"/>
      <c r="S497" s="3"/>
      <c r="T497" s="3"/>
      <c r="U497" s="3"/>
      <c r="V497" s="3"/>
      <c r="W497" s="3"/>
    </row>
    <row r="498" spans="1:23">
      <c r="A498" s="3"/>
      <c r="B498" s="3"/>
      <c r="C498" s="13"/>
      <c r="D498" s="13"/>
      <c r="E498" s="13"/>
      <c r="F498" s="13"/>
      <c r="G498" s="3"/>
      <c r="H498" s="3"/>
      <c r="I498" s="3"/>
      <c r="J498" s="3"/>
      <c r="K498" s="3"/>
      <c r="L498" s="3"/>
      <c r="M498" s="3"/>
      <c r="N498" s="3"/>
      <c r="O498" s="3"/>
      <c r="P498" s="3"/>
      <c r="Q498" s="3"/>
      <c r="R498" s="3"/>
      <c r="S498" s="3"/>
      <c r="T498" s="3"/>
      <c r="U498" s="3"/>
      <c r="V498" s="3"/>
      <c r="W498" s="3"/>
    </row>
    <row r="499" spans="1:23">
      <c r="A499" s="3"/>
      <c r="B499" s="3"/>
      <c r="C499" s="13"/>
      <c r="D499" s="13"/>
      <c r="E499" s="13"/>
      <c r="F499" s="13"/>
      <c r="G499" s="3"/>
      <c r="H499" s="3"/>
      <c r="I499" s="3"/>
      <c r="J499" s="3"/>
      <c r="K499" s="3"/>
      <c r="L499" s="3"/>
      <c r="M499" s="3"/>
      <c r="N499" s="3"/>
      <c r="O499" s="3"/>
      <c r="P499" s="3"/>
      <c r="Q499" s="3"/>
      <c r="R499" s="3"/>
      <c r="S499" s="3"/>
      <c r="T499" s="3"/>
      <c r="U499" s="3"/>
      <c r="V499" s="3"/>
      <c r="W499" s="3"/>
    </row>
    <row r="500" spans="1:23">
      <c r="A500" s="3"/>
      <c r="B500" s="3"/>
      <c r="C500" s="13"/>
      <c r="D500" s="13"/>
      <c r="E500" s="13"/>
      <c r="F500" s="13"/>
      <c r="G500" s="3"/>
      <c r="H500" s="3"/>
      <c r="I500" s="3"/>
      <c r="J500" s="3"/>
      <c r="K500" s="3"/>
      <c r="L500" s="3"/>
      <c r="M500" s="3"/>
      <c r="N500" s="3"/>
      <c r="O500" s="3"/>
      <c r="P500" s="3"/>
      <c r="Q500" s="3"/>
      <c r="R500" s="3"/>
      <c r="S500" s="3"/>
      <c r="T500" s="3"/>
      <c r="U500" s="3"/>
      <c r="V500" s="3"/>
      <c r="W500" s="3"/>
    </row>
    <row r="501" spans="1:23">
      <c r="A501" s="3"/>
      <c r="B501" s="3"/>
      <c r="C501" s="13"/>
      <c r="D501" s="13"/>
      <c r="E501" s="13"/>
      <c r="F501" s="13"/>
      <c r="G501" s="3"/>
      <c r="H501" s="3"/>
      <c r="I501" s="3"/>
      <c r="J501" s="3"/>
      <c r="K501" s="3"/>
      <c r="L501" s="3"/>
      <c r="M501" s="3"/>
      <c r="N501" s="3"/>
      <c r="O501" s="3"/>
      <c r="P501" s="3"/>
      <c r="Q501" s="3"/>
      <c r="R501" s="3"/>
      <c r="S501" s="3"/>
      <c r="T501" s="3"/>
      <c r="U501" s="3"/>
      <c r="V501" s="3"/>
      <c r="W501" s="3"/>
    </row>
    <row r="502" spans="1:23">
      <c r="A502" s="3"/>
      <c r="B502" s="3"/>
      <c r="C502" s="13"/>
      <c r="D502" s="13"/>
      <c r="E502" s="13"/>
      <c r="F502" s="13"/>
      <c r="G502" s="3"/>
      <c r="H502" s="3"/>
      <c r="I502" s="3"/>
      <c r="J502" s="3"/>
      <c r="K502" s="3"/>
      <c r="L502" s="3"/>
      <c r="M502" s="3"/>
      <c r="N502" s="3"/>
      <c r="O502" s="3"/>
      <c r="P502" s="3"/>
      <c r="Q502" s="3"/>
      <c r="R502" s="3"/>
      <c r="S502" s="3"/>
      <c r="T502" s="3"/>
      <c r="U502" s="3"/>
      <c r="V502" s="3"/>
      <c r="W502" s="3"/>
    </row>
    <row r="503" spans="1:23">
      <c r="A503" s="3"/>
      <c r="B503" s="3"/>
      <c r="C503" s="13"/>
      <c r="D503" s="13"/>
      <c r="E503" s="13"/>
      <c r="F503" s="13"/>
      <c r="G503" s="3"/>
      <c r="H503" s="3"/>
      <c r="I503" s="3"/>
      <c r="J503" s="3"/>
      <c r="K503" s="3"/>
      <c r="L503" s="3"/>
      <c r="M503" s="3"/>
      <c r="N503" s="3"/>
      <c r="O503" s="3"/>
      <c r="P503" s="3"/>
      <c r="Q503" s="3"/>
      <c r="R503" s="3"/>
      <c r="S503" s="3"/>
      <c r="T503" s="3"/>
      <c r="U503" s="3"/>
      <c r="V503" s="3"/>
      <c r="W503" s="3"/>
    </row>
    <row r="504" spans="1:23">
      <c r="A504" s="3"/>
      <c r="B504" s="3"/>
      <c r="C504" s="13"/>
      <c r="D504" s="13"/>
      <c r="E504" s="13"/>
      <c r="F504" s="13"/>
      <c r="G504" s="3"/>
      <c r="H504" s="3"/>
      <c r="I504" s="3"/>
      <c r="J504" s="3"/>
      <c r="K504" s="3"/>
      <c r="L504" s="3"/>
      <c r="M504" s="3"/>
      <c r="N504" s="3"/>
      <c r="O504" s="3"/>
      <c r="P504" s="3"/>
      <c r="Q504" s="3"/>
      <c r="R504" s="3"/>
      <c r="S504" s="3"/>
      <c r="T504" s="3"/>
      <c r="U504" s="3"/>
      <c r="V504" s="3"/>
      <c r="W504" s="3"/>
    </row>
    <row r="505" spans="1:23">
      <c r="A505" s="3"/>
      <c r="B505" s="3"/>
      <c r="C505" s="13"/>
      <c r="D505" s="13"/>
      <c r="E505" s="13"/>
      <c r="F505" s="13"/>
      <c r="G505" s="3"/>
      <c r="H505" s="3"/>
      <c r="I505" s="3"/>
      <c r="J505" s="3"/>
      <c r="K505" s="3"/>
      <c r="L505" s="3"/>
      <c r="M505" s="3"/>
      <c r="N505" s="3"/>
      <c r="O505" s="3"/>
      <c r="P505" s="3"/>
      <c r="Q505" s="3"/>
      <c r="R505" s="3"/>
      <c r="S505" s="3"/>
      <c r="T505" s="3"/>
      <c r="U505" s="3"/>
      <c r="V505" s="3"/>
      <c r="W505" s="3"/>
    </row>
    <row r="506" spans="1:23">
      <c r="A506" s="3"/>
      <c r="B506" s="3"/>
      <c r="C506" s="13"/>
      <c r="D506" s="13"/>
      <c r="E506" s="13"/>
      <c r="F506" s="13"/>
      <c r="G506" s="3"/>
      <c r="H506" s="3"/>
      <c r="I506" s="3"/>
      <c r="J506" s="3"/>
      <c r="K506" s="3"/>
      <c r="L506" s="3"/>
      <c r="M506" s="3"/>
      <c r="N506" s="3"/>
      <c r="O506" s="3"/>
      <c r="P506" s="3"/>
      <c r="Q506" s="3"/>
      <c r="R506" s="3"/>
      <c r="S506" s="3"/>
      <c r="T506" s="3"/>
      <c r="U506" s="3"/>
      <c r="V506" s="3"/>
      <c r="W506" s="3"/>
    </row>
    <row r="507" spans="1:23">
      <c r="A507" s="3"/>
      <c r="B507" s="3"/>
      <c r="C507" s="13"/>
      <c r="D507" s="13"/>
      <c r="E507" s="13"/>
      <c r="F507" s="13"/>
      <c r="G507" s="3"/>
      <c r="H507" s="3"/>
      <c r="I507" s="3"/>
      <c r="J507" s="3"/>
      <c r="K507" s="3"/>
      <c r="L507" s="3"/>
      <c r="M507" s="3"/>
      <c r="N507" s="3"/>
      <c r="O507" s="3"/>
      <c r="P507" s="3"/>
      <c r="Q507" s="3"/>
      <c r="R507" s="3"/>
      <c r="S507" s="3"/>
      <c r="T507" s="3"/>
      <c r="U507" s="3"/>
      <c r="V507" s="3"/>
      <c r="W507" s="3"/>
    </row>
    <row r="508" spans="1:23">
      <c r="A508" s="3"/>
      <c r="B508" s="3"/>
      <c r="C508" s="13"/>
      <c r="D508" s="13"/>
      <c r="E508" s="13"/>
      <c r="F508" s="13"/>
      <c r="G508" s="3"/>
      <c r="H508" s="3"/>
      <c r="I508" s="3"/>
      <c r="J508" s="3"/>
      <c r="K508" s="3"/>
      <c r="L508" s="3"/>
      <c r="M508" s="3"/>
      <c r="N508" s="3"/>
      <c r="O508" s="3"/>
      <c r="P508" s="3"/>
      <c r="Q508" s="3"/>
      <c r="R508" s="3"/>
      <c r="S508" s="3"/>
      <c r="T508" s="3"/>
      <c r="U508" s="3"/>
      <c r="V508" s="3"/>
      <c r="W508" s="3"/>
    </row>
    <row r="509" spans="1:23">
      <c r="A509" s="3"/>
      <c r="B509" s="3"/>
      <c r="C509" s="13"/>
      <c r="D509" s="13"/>
      <c r="E509" s="13"/>
      <c r="F509" s="13"/>
      <c r="G509" s="3"/>
      <c r="H509" s="3"/>
      <c r="I509" s="3"/>
      <c r="J509" s="3"/>
      <c r="K509" s="3"/>
      <c r="L509" s="3"/>
      <c r="M509" s="3"/>
      <c r="N509" s="3"/>
      <c r="O509" s="3"/>
      <c r="P509" s="3"/>
      <c r="Q509" s="3"/>
      <c r="R509" s="3"/>
      <c r="S509" s="3"/>
      <c r="T509" s="3"/>
      <c r="U509" s="3"/>
      <c r="V509" s="3"/>
      <c r="W509" s="3"/>
    </row>
    <row r="510" spans="1:23">
      <c r="A510" s="3"/>
      <c r="B510" s="3"/>
      <c r="C510" s="13"/>
      <c r="D510" s="13"/>
      <c r="E510" s="13"/>
      <c r="F510" s="13"/>
      <c r="G510" s="3"/>
      <c r="H510" s="3"/>
      <c r="I510" s="3"/>
      <c r="J510" s="3"/>
      <c r="K510" s="3"/>
      <c r="L510" s="3"/>
      <c r="M510" s="3"/>
      <c r="N510" s="3"/>
      <c r="O510" s="3"/>
      <c r="P510" s="3"/>
      <c r="Q510" s="3"/>
      <c r="R510" s="3"/>
      <c r="S510" s="3"/>
      <c r="T510" s="3"/>
      <c r="U510" s="3"/>
      <c r="V510" s="3"/>
      <c r="W510" s="3"/>
    </row>
    <row r="511" spans="1:23">
      <c r="A511" s="3"/>
      <c r="B511" s="3"/>
      <c r="C511" s="13"/>
      <c r="D511" s="13"/>
      <c r="E511" s="13"/>
      <c r="F511" s="13"/>
      <c r="G511" s="3"/>
      <c r="H511" s="3"/>
      <c r="I511" s="3"/>
      <c r="J511" s="3"/>
      <c r="K511" s="3"/>
      <c r="L511" s="3"/>
      <c r="M511" s="3"/>
      <c r="N511" s="3"/>
      <c r="O511" s="3"/>
      <c r="P511" s="3"/>
      <c r="Q511" s="3"/>
      <c r="R511" s="3"/>
      <c r="S511" s="3"/>
      <c r="T511" s="3"/>
      <c r="U511" s="3"/>
      <c r="V511" s="3"/>
      <c r="W511" s="3"/>
    </row>
    <row r="512" spans="1:23">
      <c r="A512" s="3"/>
      <c r="B512" s="3"/>
      <c r="C512" s="13"/>
      <c r="D512" s="13"/>
      <c r="E512" s="13"/>
      <c r="F512" s="13"/>
      <c r="G512" s="3"/>
      <c r="H512" s="3"/>
      <c r="I512" s="3"/>
      <c r="J512" s="3"/>
      <c r="K512" s="3"/>
      <c r="L512" s="3"/>
      <c r="M512" s="3"/>
      <c r="N512" s="3"/>
      <c r="O512" s="3"/>
      <c r="P512" s="3"/>
      <c r="Q512" s="3"/>
      <c r="R512" s="3"/>
      <c r="S512" s="3"/>
      <c r="T512" s="3"/>
      <c r="U512" s="3"/>
      <c r="V512" s="3"/>
      <c r="W512" s="3"/>
    </row>
    <row r="513" spans="1:23">
      <c r="A513" s="3"/>
      <c r="B513" s="3"/>
      <c r="C513" s="13"/>
      <c r="D513" s="13"/>
      <c r="E513" s="13"/>
      <c r="F513" s="13"/>
      <c r="G513" s="3"/>
      <c r="H513" s="3"/>
      <c r="I513" s="3"/>
      <c r="J513" s="3"/>
      <c r="K513" s="3"/>
      <c r="L513" s="3"/>
      <c r="M513" s="3"/>
      <c r="N513" s="3"/>
      <c r="O513" s="3"/>
      <c r="P513" s="3"/>
      <c r="Q513" s="3"/>
      <c r="R513" s="3"/>
      <c r="S513" s="3"/>
      <c r="T513" s="3"/>
      <c r="U513" s="3"/>
      <c r="V513" s="3"/>
      <c r="W513" s="3"/>
    </row>
    <row r="514" spans="1:23">
      <c r="A514" s="3"/>
      <c r="B514" s="3"/>
      <c r="C514" s="13"/>
      <c r="D514" s="13"/>
      <c r="E514" s="13"/>
      <c r="F514" s="13"/>
      <c r="G514" s="3"/>
      <c r="H514" s="3"/>
      <c r="I514" s="3"/>
      <c r="J514" s="3"/>
      <c r="K514" s="3"/>
      <c r="L514" s="3"/>
      <c r="M514" s="3"/>
      <c r="N514" s="3"/>
      <c r="O514" s="3"/>
      <c r="P514" s="3"/>
      <c r="Q514" s="3"/>
      <c r="R514" s="3"/>
      <c r="S514" s="3"/>
      <c r="T514" s="3"/>
      <c r="U514" s="3"/>
      <c r="V514" s="3"/>
      <c r="W514" s="3"/>
    </row>
    <row r="515" spans="1:23">
      <c r="A515" s="3"/>
      <c r="B515" s="3"/>
      <c r="C515" s="13"/>
      <c r="D515" s="13"/>
      <c r="E515" s="13"/>
      <c r="F515" s="13"/>
      <c r="G515" s="3"/>
      <c r="H515" s="3"/>
      <c r="I515" s="3"/>
      <c r="J515" s="3"/>
      <c r="K515" s="3"/>
      <c r="L515" s="3"/>
      <c r="M515" s="3"/>
      <c r="N515" s="3"/>
      <c r="O515" s="3"/>
      <c r="P515" s="3"/>
      <c r="Q515" s="3"/>
      <c r="R515" s="3"/>
      <c r="S515" s="3"/>
      <c r="T515" s="3"/>
      <c r="U515" s="3"/>
      <c r="V515" s="3"/>
      <c r="W515" s="3"/>
    </row>
    <row r="516" spans="1:23">
      <c r="A516" s="3"/>
      <c r="B516" s="3"/>
      <c r="C516" s="13"/>
      <c r="D516" s="13"/>
      <c r="E516" s="13"/>
      <c r="F516" s="13"/>
      <c r="G516" s="3"/>
      <c r="H516" s="3"/>
      <c r="I516" s="3"/>
      <c r="J516" s="3"/>
      <c r="K516" s="3"/>
      <c r="L516" s="3"/>
      <c r="M516" s="3"/>
      <c r="N516" s="3"/>
      <c r="O516" s="3"/>
      <c r="P516" s="3"/>
      <c r="Q516" s="3"/>
      <c r="R516" s="3"/>
      <c r="S516" s="3"/>
      <c r="T516" s="3"/>
      <c r="U516" s="3"/>
      <c r="V516" s="3"/>
      <c r="W516" s="3"/>
    </row>
    <row r="517" spans="1:23">
      <c r="A517" s="3"/>
      <c r="B517" s="3"/>
      <c r="C517" s="13"/>
      <c r="D517" s="13"/>
      <c r="E517" s="13"/>
      <c r="F517" s="13"/>
      <c r="G517" s="3"/>
      <c r="H517" s="3"/>
      <c r="I517" s="3"/>
      <c r="J517" s="3"/>
      <c r="K517" s="3"/>
      <c r="L517" s="3"/>
      <c r="M517" s="3"/>
      <c r="N517" s="3"/>
      <c r="O517" s="3"/>
      <c r="P517" s="3"/>
      <c r="Q517" s="3"/>
      <c r="R517" s="3"/>
      <c r="S517" s="3"/>
      <c r="T517" s="3"/>
      <c r="U517" s="3"/>
      <c r="V517" s="3"/>
      <c r="W517" s="3"/>
    </row>
    <row r="518" spans="1:23">
      <c r="A518" s="3"/>
      <c r="B518" s="3"/>
      <c r="C518" s="13"/>
      <c r="D518" s="13"/>
      <c r="E518" s="13"/>
      <c r="F518" s="13"/>
      <c r="G518" s="3"/>
      <c r="H518" s="3"/>
      <c r="I518" s="3"/>
      <c r="J518" s="3"/>
      <c r="K518" s="3"/>
      <c r="L518" s="3"/>
      <c r="M518" s="3"/>
      <c r="N518" s="3"/>
      <c r="O518" s="3"/>
      <c r="P518" s="3"/>
      <c r="Q518" s="3"/>
      <c r="R518" s="3"/>
      <c r="S518" s="3"/>
      <c r="T518" s="3"/>
      <c r="U518" s="3"/>
      <c r="V518" s="3"/>
      <c r="W518" s="3"/>
    </row>
    <row r="519" spans="1:23">
      <c r="A519" s="3"/>
      <c r="B519" s="3"/>
      <c r="C519" s="13"/>
      <c r="D519" s="13"/>
      <c r="E519" s="13"/>
      <c r="F519" s="13"/>
      <c r="G519" s="3"/>
      <c r="H519" s="3"/>
      <c r="I519" s="3"/>
      <c r="J519" s="3"/>
      <c r="K519" s="3"/>
      <c r="L519" s="3"/>
      <c r="M519" s="3"/>
      <c r="N519" s="3"/>
      <c r="O519" s="3"/>
      <c r="P519" s="3"/>
      <c r="Q519" s="3"/>
      <c r="R519" s="3"/>
      <c r="S519" s="3"/>
      <c r="T519" s="3"/>
      <c r="U519" s="3"/>
      <c r="V519" s="3"/>
      <c r="W519" s="3"/>
    </row>
    <row r="520" spans="1:23">
      <c r="A520" s="3"/>
      <c r="B520" s="3"/>
      <c r="C520" s="13"/>
      <c r="D520" s="13"/>
      <c r="E520" s="13"/>
      <c r="F520" s="13"/>
      <c r="G520" s="3"/>
      <c r="H520" s="3"/>
      <c r="I520" s="3"/>
      <c r="J520" s="3"/>
      <c r="K520" s="3"/>
      <c r="L520" s="3"/>
      <c r="M520" s="3"/>
      <c r="N520" s="3"/>
      <c r="O520" s="3"/>
      <c r="P520" s="3"/>
      <c r="Q520" s="3"/>
      <c r="R520" s="3"/>
      <c r="S520" s="3"/>
      <c r="T520" s="3"/>
      <c r="U520" s="3"/>
      <c r="V520" s="3"/>
      <c r="W520" s="3"/>
    </row>
    <row r="521" spans="1:23">
      <c r="A521" s="3"/>
      <c r="B521" s="3"/>
      <c r="C521" s="13"/>
      <c r="D521" s="13"/>
      <c r="E521" s="13"/>
      <c r="F521" s="13"/>
      <c r="G521" s="3"/>
      <c r="H521" s="3"/>
      <c r="I521" s="3"/>
      <c r="J521" s="3"/>
      <c r="K521" s="3"/>
      <c r="L521" s="3"/>
      <c r="M521" s="3"/>
      <c r="N521" s="3"/>
      <c r="O521" s="3"/>
      <c r="P521" s="3"/>
      <c r="Q521" s="3"/>
      <c r="R521" s="3"/>
      <c r="S521" s="3"/>
      <c r="T521" s="3"/>
      <c r="U521" s="3"/>
      <c r="V521" s="3"/>
      <c r="W521" s="3"/>
    </row>
    <row r="522" spans="1:23">
      <c r="A522" s="3"/>
      <c r="B522" s="3"/>
      <c r="C522" s="13"/>
      <c r="D522" s="13"/>
      <c r="E522" s="13"/>
      <c r="F522" s="13"/>
      <c r="G522" s="3"/>
      <c r="H522" s="3"/>
      <c r="I522" s="3"/>
      <c r="J522" s="3"/>
      <c r="K522" s="3"/>
      <c r="L522" s="3"/>
      <c r="M522" s="3"/>
      <c r="N522" s="3"/>
      <c r="O522" s="3"/>
      <c r="P522" s="3"/>
      <c r="Q522" s="3"/>
      <c r="R522" s="3"/>
      <c r="S522" s="3"/>
      <c r="T522" s="3"/>
      <c r="U522" s="3"/>
      <c r="V522" s="3"/>
      <c r="W522" s="3"/>
    </row>
    <row r="523" spans="1:23">
      <c r="A523" s="3"/>
      <c r="B523" s="3"/>
      <c r="C523" s="13"/>
      <c r="D523" s="13"/>
      <c r="E523" s="13"/>
      <c r="F523" s="13"/>
      <c r="G523" s="3"/>
      <c r="H523" s="3"/>
      <c r="I523" s="3"/>
      <c r="J523" s="3"/>
      <c r="K523" s="3"/>
      <c r="L523" s="3"/>
      <c r="M523" s="3"/>
      <c r="N523" s="3"/>
      <c r="O523" s="3"/>
      <c r="P523" s="3"/>
      <c r="Q523" s="3"/>
      <c r="R523" s="3"/>
      <c r="S523" s="3"/>
      <c r="T523" s="3"/>
      <c r="U523" s="3"/>
      <c r="V523" s="3"/>
      <c r="W523" s="3"/>
    </row>
    <row r="524" spans="1:23">
      <c r="A524" s="3"/>
      <c r="B524" s="3"/>
      <c r="C524" s="13"/>
      <c r="D524" s="13"/>
      <c r="E524" s="13"/>
      <c r="F524" s="13"/>
      <c r="G524" s="3"/>
      <c r="H524" s="3"/>
      <c r="I524" s="3"/>
      <c r="J524" s="3"/>
      <c r="K524" s="3"/>
      <c r="L524" s="3"/>
      <c r="M524" s="3"/>
      <c r="N524" s="3"/>
      <c r="O524" s="3"/>
      <c r="P524" s="3"/>
      <c r="Q524" s="3"/>
      <c r="R524" s="3"/>
      <c r="S524" s="3"/>
      <c r="T524" s="3"/>
      <c r="U524" s="3"/>
      <c r="V524" s="3"/>
      <c r="W524" s="3"/>
    </row>
    <row r="525" spans="1:23">
      <c r="A525" s="3"/>
      <c r="B525" s="3"/>
      <c r="C525" s="13"/>
      <c r="D525" s="13"/>
      <c r="E525" s="13"/>
      <c r="F525" s="13"/>
      <c r="G525" s="3"/>
      <c r="H525" s="3"/>
      <c r="I525" s="3"/>
      <c r="J525" s="3"/>
      <c r="K525" s="3"/>
      <c r="L525" s="3"/>
      <c r="M525" s="3"/>
      <c r="N525" s="3"/>
      <c r="O525" s="3"/>
      <c r="P525" s="3"/>
      <c r="Q525" s="3"/>
      <c r="R525" s="3"/>
      <c r="S525" s="3"/>
      <c r="T525" s="3"/>
      <c r="U525" s="3"/>
      <c r="V525" s="3"/>
      <c r="W525" s="3"/>
    </row>
    <row r="526" spans="1:23">
      <c r="A526" s="3"/>
      <c r="B526" s="3"/>
      <c r="C526" s="13"/>
      <c r="D526" s="13"/>
      <c r="E526" s="13"/>
      <c r="F526" s="13"/>
      <c r="G526" s="3"/>
      <c r="H526" s="3"/>
      <c r="I526" s="3"/>
      <c r="J526" s="3"/>
      <c r="K526" s="3"/>
      <c r="L526" s="3"/>
      <c r="M526" s="3"/>
      <c r="N526" s="3"/>
      <c r="O526" s="3"/>
      <c r="P526" s="3"/>
      <c r="Q526" s="3"/>
      <c r="R526" s="3"/>
      <c r="S526" s="3"/>
      <c r="T526" s="3"/>
      <c r="U526" s="3"/>
      <c r="V526" s="3"/>
      <c r="W526" s="3"/>
    </row>
    <row r="527" spans="1:23">
      <c r="A527" s="3"/>
      <c r="B527" s="3"/>
      <c r="C527" s="13"/>
      <c r="D527" s="13"/>
      <c r="E527" s="13"/>
      <c r="F527" s="13"/>
      <c r="G527" s="3"/>
      <c r="H527" s="3"/>
      <c r="I527" s="3"/>
      <c r="J527" s="3"/>
      <c r="K527" s="3"/>
      <c r="L527" s="3"/>
      <c r="M527" s="3"/>
      <c r="N527" s="3"/>
      <c r="O527" s="3"/>
      <c r="P527" s="3"/>
      <c r="Q527" s="3"/>
      <c r="R527" s="3"/>
      <c r="S527" s="3"/>
      <c r="T527" s="3"/>
      <c r="U527" s="3"/>
      <c r="V527" s="3"/>
      <c r="W527" s="3"/>
    </row>
    <row r="528" spans="1:23">
      <c r="A528" s="3"/>
      <c r="B528" s="3"/>
      <c r="C528" s="13"/>
      <c r="D528" s="13"/>
      <c r="E528" s="13"/>
      <c r="F528" s="13"/>
      <c r="G528" s="3"/>
      <c r="H528" s="3"/>
      <c r="I528" s="3"/>
      <c r="J528" s="3"/>
      <c r="K528" s="3"/>
      <c r="L528" s="3"/>
      <c r="M528" s="3"/>
      <c r="N528" s="3"/>
      <c r="O528" s="3"/>
      <c r="P528" s="3"/>
      <c r="Q528" s="3"/>
      <c r="R528" s="3"/>
      <c r="S528" s="3"/>
      <c r="T528" s="3"/>
      <c r="U528" s="3"/>
      <c r="V528" s="3"/>
      <c r="W528" s="3"/>
    </row>
    <row r="529" spans="1:23">
      <c r="A529" s="3"/>
      <c r="B529" s="3"/>
      <c r="C529" s="13"/>
      <c r="D529" s="13"/>
      <c r="E529" s="13"/>
      <c r="F529" s="13"/>
      <c r="G529" s="3"/>
      <c r="H529" s="3"/>
      <c r="I529" s="3"/>
      <c r="J529" s="3"/>
      <c r="K529" s="3"/>
      <c r="L529" s="3"/>
      <c r="M529" s="3"/>
      <c r="N529" s="3"/>
      <c r="O529" s="3"/>
      <c r="P529" s="3"/>
      <c r="Q529" s="3"/>
      <c r="R529" s="3"/>
      <c r="S529" s="3"/>
      <c r="T529" s="3"/>
      <c r="U529" s="3"/>
      <c r="V529" s="3"/>
      <c r="W529" s="3"/>
    </row>
    <row r="530" spans="1:23">
      <c r="A530" s="3"/>
      <c r="B530" s="3"/>
      <c r="C530" s="13"/>
      <c r="D530" s="13"/>
      <c r="E530" s="13"/>
      <c r="F530" s="13"/>
      <c r="G530" s="3"/>
      <c r="H530" s="3"/>
      <c r="I530" s="3"/>
      <c r="J530" s="3"/>
      <c r="K530" s="3"/>
      <c r="L530" s="3"/>
      <c r="M530" s="3"/>
      <c r="N530" s="3"/>
      <c r="O530" s="3"/>
      <c r="P530" s="3"/>
      <c r="Q530" s="3"/>
      <c r="R530" s="3"/>
      <c r="S530" s="3"/>
      <c r="T530" s="3"/>
      <c r="U530" s="3"/>
      <c r="V530" s="3"/>
      <c r="W530" s="3"/>
    </row>
    <row r="531" spans="1:23">
      <c r="A531" s="3"/>
      <c r="B531" s="3"/>
      <c r="C531" s="13"/>
      <c r="D531" s="13"/>
      <c r="E531" s="13"/>
      <c r="F531" s="13"/>
      <c r="G531" s="3"/>
      <c r="H531" s="3"/>
      <c r="I531" s="3"/>
      <c r="J531" s="3"/>
      <c r="K531" s="3"/>
      <c r="L531" s="3"/>
      <c r="M531" s="3"/>
      <c r="N531" s="3"/>
      <c r="O531" s="3"/>
      <c r="P531" s="3"/>
      <c r="Q531" s="3"/>
      <c r="R531" s="3"/>
      <c r="S531" s="3"/>
      <c r="T531" s="3"/>
      <c r="U531" s="3"/>
      <c r="V531" s="3"/>
      <c r="W531" s="3"/>
    </row>
    <row r="532" spans="1:23">
      <c r="A532" s="3"/>
      <c r="B532" s="3"/>
      <c r="C532" s="13"/>
      <c r="D532" s="13"/>
      <c r="E532" s="13"/>
      <c r="F532" s="13"/>
      <c r="G532" s="3"/>
      <c r="H532" s="3"/>
      <c r="I532" s="3"/>
      <c r="J532" s="3"/>
      <c r="K532" s="3"/>
      <c r="L532" s="3"/>
      <c r="M532" s="3"/>
      <c r="N532" s="3"/>
      <c r="O532" s="3"/>
      <c r="P532" s="3"/>
      <c r="Q532" s="3"/>
      <c r="R532" s="3"/>
      <c r="S532" s="3"/>
      <c r="T532" s="3"/>
      <c r="U532" s="3"/>
      <c r="V532" s="3"/>
      <c r="W532" s="3"/>
    </row>
    <row r="533" spans="1:23">
      <c r="A533" s="3"/>
      <c r="B533" s="3"/>
      <c r="C533" s="13"/>
      <c r="D533" s="13"/>
      <c r="E533" s="13"/>
      <c r="F533" s="13"/>
      <c r="G533" s="3"/>
      <c r="H533" s="3"/>
      <c r="I533" s="3"/>
      <c r="J533" s="3"/>
      <c r="K533" s="3"/>
      <c r="L533" s="3"/>
      <c r="M533" s="3"/>
      <c r="N533" s="3"/>
      <c r="O533" s="3"/>
      <c r="P533" s="3"/>
      <c r="Q533" s="3"/>
      <c r="R533" s="3"/>
      <c r="S533" s="3"/>
      <c r="T533" s="3"/>
      <c r="U533" s="3"/>
      <c r="V533" s="3"/>
      <c r="W533" s="3"/>
    </row>
    <row r="534" spans="1:23">
      <c r="A534" s="3"/>
      <c r="B534" s="3"/>
      <c r="C534" s="13"/>
      <c r="D534" s="13"/>
      <c r="E534" s="13"/>
      <c r="F534" s="13"/>
      <c r="G534" s="3"/>
      <c r="H534" s="3"/>
      <c r="I534" s="3"/>
      <c r="J534" s="3"/>
      <c r="K534" s="3"/>
      <c r="L534" s="3"/>
      <c r="M534" s="3"/>
      <c r="N534" s="3"/>
      <c r="O534" s="3"/>
      <c r="P534" s="3"/>
      <c r="Q534" s="3"/>
      <c r="R534" s="3"/>
      <c r="S534" s="3"/>
      <c r="T534" s="3"/>
      <c r="U534" s="3"/>
      <c r="V534" s="3"/>
      <c r="W534" s="3"/>
    </row>
    <row r="535" spans="1:23">
      <c r="A535" s="3"/>
      <c r="B535" s="3"/>
      <c r="C535" s="13"/>
      <c r="D535" s="13"/>
      <c r="E535" s="13"/>
      <c r="F535" s="13"/>
      <c r="G535" s="3"/>
      <c r="H535" s="3"/>
      <c r="I535" s="3"/>
      <c r="J535" s="3"/>
      <c r="K535" s="3"/>
      <c r="L535" s="3"/>
      <c r="M535" s="3"/>
      <c r="N535" s="3"/>
      <c r="O535" s="3"/>
      <c r="P535" s="3"/>
      <c r="Q535" s="3"/>
      <c r="R535" s="3"/>
      <c r="S535" s="3"/>
      <c r="T535" s="3"/>
      <c r="U535" s="3"/>
      <c r="V535" s="3"/>
      <c r="W535" s="3"/>
    </row>
    <row r="536" spans="1:23">
      <c r="A536" s="3"/>
      <c r="B536" s="3"/>
      <c r="C536" s="13"/>
      <c r="D536" s="13"/>
      <c r="E536" s="13"/>
      <c r="F536" s="13"/>
      <c r="G536" s="3"/>
      <c r="H536" s="3"/>
      <c r="I536" s="3"/>
      <c r="J536" s="3"/>
      <c r="K536" s="3"/>
      <c r="L536" s="3"/>
      <c r="M536" s="3"/>
      <c r="N536" s="3"/>
      <c r="O536" s="3"/>
      <c r="P536" s="3"/>
      <c r="Q536" s="3"/>
      <c r="R536" s="3"/>
      <c r="S536" s="3"/>
      <c r="T536" s="3"/>
      <c r="U536" s="3"/>
      <c r="V536" s="3"/>
      <c r="W536" s="3"/>
    </row>
    <row r="537" spans="1:23">
      <c r="A537" s="3"/>
      <c r="B537" s="3"/>
      <c r="C537" s="13"/>
      <c r="D537" s="13"/>
      <c r="E537" s="13"/>
      <c r="F537" s="13"/>
      <c r="G537" s="3"/>
      <c r="H537" s="3"/>
      <c r="I537" s="3"/>
      <c r="J537" s="3"/>
      <c r="K537" s="3"/>
      <c r="L537" s="3"/>
      <c r="M537" s="3"/>
      <c r="N537" s="3"/>
      <c r="O537" s="3"/>
      <c r="P537" s="3"/>
      <c r="Q537" s="3"/>
      <c r="R537" s="3"/>
      <c r="S537" s="3"/>
      <c r="T537" s="3"/>
      <c r="U537" s="3"/>
      <c r="V537" s="3"/>
      <c r="W537" s="3"/>
    </row>
    <row r="538" spans="1:23">
      <c r="A538" s="3"/>
      <c r="B538" s="3"/>
      <c r="C538" s="13"/>
      <c r="D538" s="13"/>
      <c r="E538" s="13"/>
      <c r="F538" s="13"/>
      <c r="G538" s="3"/>
      <c r="H538" s="3"/>
      <c r="I538" s="3"/>
      <c r="J538" s="3"/>
      <c r="K538" s="3"/>
      <c r="L538" s="3"/>
      <c r="M538" s="3"/>
      <c r="N538" s="3"/>
      <c r="O538" s="3"/>
      <c r="P538" s="3"/>
      <c r="Q538" s="3"/>
      <c r="R538" s="3"/>
      <c r="S538" s="3"/>
      <c r="T538" s="3"/>
      <c r="U538" s="3"/>
      <c r="V538" s="3"/>
      <c r="W538" s="3"/>
    </row>
    <row r="539" spans="1:23">
      <c r="A539" s="3"/>
      <c r="B539" s="3"/>
      <c r="C539" s="13"/>
      <c r="D539" s="13"/>
      <c r="E539" s="13"/>
      <c r="F539" s="13"/>
      <c r="G539" s="3"/>
      <c r="H539" s="3"/>
      <c r="I539" s="3"/>
      <c r="J539" s="3"/>
      <c r="K539" s="3"/>
      <c r="L539" s="3"/>
      <c r="M539" s="3"/>
      <c r="N539" s="3"/>
      <c r="O539" s="3"/>
      <c r="P539" s="3"/>
      <c r="Q539" s="3"/>
      <c r="R539" s="3"/>
      <c r="S539" s="3"/>
      <c r="T539" s="3"/>
      <c r="U539" s="3"/>
      <c r="V539" s="3"/>
      <c r="W539" s="3"/>
    </row>
    <row r="540" spans="1:23">
      <c r="A540" s="3"/>
      <c r="B540" s="3"/>
      <c r="C540" s="13"/>
      <c r="D540" s="13"/>
      <c r="E540" s="13"/>
      <c r="F540" s="13"/>
      <c r="G540" s="3"/>
      <c r="H540" s="3"/>
      <c r="I540" s="3"/>
      <c r="J540" s="3"/>
      <c r="K540" s="3"/>
      <c r="L540" s="3"/>
      <c r="M540" s="3"/>
      <c r="N540" s="3"/>
      <c r="O540" s="3"/>
      <c r="P540" s="3"/>
      <c r="Q540" s="3"/>
      <c r="R540" s="3"/>
      <c r="S540" s="3"/>
      <c r="T540" s="3"/>
      <c r="U540" s="3"/>
      <c r="V540" s="3"/>
      <c r="W540" s="3"/>
    </row>
    <row r="541" spans="1:23">
      <c r="A541" s="3"/>
      <c r="B541" s="3"/>
      <c r="C541" s="13"/>
      <c r="D541" s="13"/>
      <c r="E541" s="13"/>
      <c r="F541" s="13"/>
      <c r="G541" s="3"/>
      <c r="H541" s="3"/>
      <c r="I541" s="3"/>
      <c r="J541" s="3"/>
      <c r="K541" s="3"/>
      <c r="L541" s="3"/>
      <c r="M541" s="3"/>
      <c r="N541" s="3"/>
      <c r="O541" s="3"/>
      <c r="P541" s="3"/>
      <c r="Q541" s="3"/>
      <c r="R541" s="3"/>
      <c r="S541" s="3"/>
      <c r="T541" s="3"/>
      <c r="U541" s="3"/>
      <c r="V541" s="3"/>
      <c r="W541" s="3"/>
    </row>
    <row r="542" spans="1:23">
      <c r="A542" s="3"/>
      <c r="B542" s="3"/>
      <c r="C542" s="13"/>
      <c r="D542" s="13"/>
      <c r="E542" s="13"/>
      <c r="F542" s="13"/>
      <c r="G542" s="3"/>
      <c r="H542" s="3"/>
      <c r="I542" s="3"/>
      <c r="J542" s="3"/>
      <c r="K542" s="3"/>
      <c r="L542" s="3"/>
      <c r="M542" s="3"/>
      <c r="N542" s="3"/>
      <c r="O542" s="3"/>
      <c r="P542" s="3"/>
      <c r="Q542" s="3"/>
      <c r="R542" s="3"/>
      <c r="S542" s="3"/>
      <c r="T542" s="3"/>
      <c r="U542" s="3"/>
      <c r="V542" s="3"/>
      <c r="W542" s="3"/>
    </row>
    <row r="543" spans="1:23">
      <c r="A543" s="3"/>
      <c r="B543" s="3"/>
      <c r="C543" s="13"/>
      <c r="D543" s="13"/>
      <c r="E543" s="13"/>
      <c r="F543" s="13"/>
      <c r="G543" s="3"/>
      <c r="H543" s="3"/>
      <c r="I543" s="3"/>
      <c r="J543" s="3"/>
      <c r="K543" s="3"/>
      <c r="L543" s="3"/>
      <c r="M543" s="3"/>
      <c r="N543" s="3"/>
      <c r="O543" s="3"/>
      <c r="P543" s="3"/>
      <c r="Q543" s="3"/>
      <c r="R543" s="3"/>
      <c r="S543" s="3"/>
      <c r="T543" s="3"/>
      <c r="U543" s="3"/>
      <c r="V543" s="3"/>
      <c r="W543" s="3"/>
    </row>
    <row r="544" spans="1:23">
      <c r="A544" s="3"/>
      <c r="B544" s="3"/>
      <c r="C544" s="13"/>
      <c r="D544" s="13"/>
      <c r="E544" s="13"/>
      <c r="F544" s="13"/>
      <c r="G544" s="3"/>
      <c r="H544" s="3"/>
      <c r="I544" s="3"/>
      <c r="J544" s="3"/>
      <c r="K544" s="3"/>
      <c r="L544" s="3"/>
      <c r="M544" s="3"/>
      <c r="N544" s="3"/>
      <c r="O544" s="3"/>
      <c r="P544" s="3"/>
      <c r="Q544" s="3"/>
      <c r="R544" s="3"/>
      <c r="S544" s="3"/>
      <c r="T544" s="3"/>
      <c r="U544" s="3"/>
      <c r="V544" s="3"/>
      <c r="W544" s="3"/>
    </row>
    <row r="545" spans="1:23">
      <c r="A545" s="3"/>
      <c r="B545" s="3"/>
      <c r="C545" s="13"/>
      <c r="D545" s="13"/>
      <c r="E545" s="13"/>
      <c r="F545" s="13"/>
      <c r="G545" s="3"/>
      <c r="H545" s="3"/>
      <c r="I545" s="3"/>
      <c r="J545" s="3"/>
      <c r="K545" s="3"/>
      <c r="L545" s="3"/>
      <c r="M545" s="3"/>
      <c r="N545" s="3"/>
      <c r="O545" s="3"/>
      <c r="P545" s="3"/>
      <c r="Q545" s="3"/>
      <c r="R545" s="3"/>
      <c r="S545" s="3"/>
      <c r="T545" s="3"/>
      <c r="U545" s="3"/>
      <c r="V545" s="3"/>
      <c r="W545" s="3"/>
    </row>
    <row r="546" spans="1:23">
      <c r="A546" s="3"/>
      <c r="B546" s="3"/>
      <c r="C546" s="13"/>
      <c r="D546" s="13"/>
      <c r="E546" s="13"/>
      <c r="F546" s="13"/>
      <c r="G546" s="3"/>
      <c r="H546" s="3"/>
      <c r="I546" s="3"/>
      <c r="J546" s="3"/>
      <c r="K546" s="3"/>
      <c r="L546" s="3"/>
      <c r="M546" s="3"/>
      <c r="N546" s="3"/>
      <c r="O546" s="3"/>
      <c r="P546" s="3"/>
      <c r="Q546" s="3"/>
      <c r="R546" s="3"/>
      <c r="S546" s="3"/>
      <c r="T546" s="3"/>
      <c r="U546" s="3"/>
      <c r="V546" s="3"/>
      <c r="W546" s="3"/>
    </row>
    <row r="547" spans="1:23">
      <c r="A547" s="3"/>
      <c r="B547" s="3"/>
      <c r="C547" s="13"/>
      <c r="D547" s="13"/>
      <c r="E547" s="13"/>
      <c r="F547" s="13"/>
      <c r="G547" s="3"/>
      <c r="H547" s="3"/>
      <c r="I547" s="3"/>
      <c r="J547" s="3"/>
      <c r="K547" s="3"/>
      <c r="L547" s="3"/>
      <c r="M547" s="3"/>
      <c r="N547" s="3"/>
      <c r="O547" s="3"/>
      <c r="P547" s="3"/>
      <c r="Q547" s="3"/>
      <c r="R547" s="3"/>
      <c r="S547" s="3"/>
      <c r="T547" s="3"/>
      <c r="U547" s="3"/>
      <c r="V547" s="3"/>
      <c r="W547" s="3"/>
    </row>
    <row r="548" spans="1:23">
      <c r="A548" s="3"/>
      <c r="B548" s="3"/>
      <c r="C548" s="13"/>
      <c r="D548" s="13"/>
      <c r="E548" s="13"/>
      <c r="F548" s="13"/>
      <c r="G548" s="3"/>
      <c r="H548" s="3"/>
      <c r="I548" s="3"/>
      <c r="J548" s="3"/>
      <c r="K548" s="3"/>
      <c r="L548" s="3"/>
      <c r="M548" s="3"/>
      <c r="N548" s="3"/>
      <c r="O548" s="3"/>
      <c r="P548" s="3"/>
      <c r="Q548" s="3"/>
      <c r="R548" s="3"/>
      <c r="S548" s="3"/>
      <c r="T548" s="3"/>
      <c r="U548" s="3"/>
      <c r="V548" s="3"/>
      <c r="W548" s="3"/>
    </row>
    <row r="549" spans="1:23">
      <c r="A549" s="3"/>
      <c r="B549" s="3"/>
      <c r="C549" s="13"/>
      <c r="D549" s="13"/>
      <c r="E549" s="13"/>
      <c r="F549" s="13"/>
      <c r="G549" s="3"/>
      <c r="H549" s="3"/>
      <c r="I549" s="3"/>
      <c r="J549" s="3"/>
      <c r="K549" s="3"/>
      <c r="L549" s="3"/>
      <c r="M549" s="3"/>
      <c r="N549" s="3"/>
      <c r="O549" s="3"/>
      <c r="P549" s="3"/>
      <c r="Q549" s="3"/>
      <c r="R549" s="3"/>
      <c r="S549" s="3"/>
      <c r="T549" s="3"/>
      <c r="U549" s="3"/>
      <c r="V549" s="3"/>
      <c r="W549" s="3"/>
    </row>
    <row r="550" spans="1:23">
      <c r="A550" s="3"/>
      <c r="B550" s="3"/>
      <c r="C550" s="13"/>
      <c r="D550" s="13"/>
      <c r="E550" s="13"/>
      <c r="F550" s="13"/>
      <c r="G550" s="3"/>
      <c r="H550" s="3"/>
      <c r="I550" s="3"/>
      <c r="J550" s="3"/>
      <c r="K550" s="3"/>
      <c r="L550" s="3"/>
      <c r="M550" s="3"/>
      <c r="N550" s="3"/>
      <c r="O550" s="3"/>
      <c r="P550" s="3"/>
      <c r="Q550" s="3"/>
      <c r="R550" s="3"/>
      <c r="S550" s="3"/>
      <c r="T550" s="3"/>
      <c r="U550" s="3"/>
      <c r="V550" s="3"/>
      <c r="W550" s="3"/>
    </row>
    <row r="551" spans="1:23">
      <c r="A551" s="3"/>
      <c r="B551" s="3"/>
      <c r="C551" s="13"/>
      <c r="D551" s="13"/>
      <c r="E551" s="13"/>
      <c r="F551" s="13"/>
      <c r="G551" s="3"/>
      <c r="H551" s="3"/>
      <c r="I551" s="3"/>
      <c r="J551" s="3"/>
      <c r="K551" s="3"/>
      <c r="L551" s="3"/>
      <c r="M551" s="3"/>
      <c r="N551" s="3"/>
      <c r="O551" s="3"/>
      <c r="P551" s="3"/>
      <c r="Q551" s="3"/>
      <c r="R551" s="3"/>
      <c r="S551" s="3"/>
      <c r="T551" s="3"/>
      <c r="U551" s="3"/>
      <c r="V551" s="3"/>
      <c r="W551" s="3"/>
    </row>
    <row r="552" spans="1:23">
      <c r="A552" s="3"/>
      <c r="B552" s="3"/>
      <c r="C552" s="13"/>
      <c r="D552" s="13"/>
      <c r="E552" s="13"/>
      <c r="F552" s="13"/>
      <c r="G552" s="3"/>
      <c r="H552" s="3"/>
      <c r="I552" s="3"/>
      <c r="J552" s="3"/>
      <c r="K552" s="3"/>
      <c r="L552" s="3"/>
      <c r="M552" s="3"/>
      <c r="N552" s="3"/>
      <c r="O552" s="3"/>
      <c r="P552" s="3"/>
      <c r="Q552" s="3"/>
      <c r="R552" s="3"/>
      <c r="S552" s="3"/>
      <c r="T552" s="3"/>
      <c r="U552" s="3"/>
      <c r="V552" s="3"/>
      <c r="W552" s="3"/>
    </row>
    <row r="553" spans="1:23">
      <c r="A553" s="3"/>
      <c r="B553" s="3"/>
      <c r="C553" s="13"/>
      <c r="D553" s="13"/>
      <c r="E553" s="13"/>
      <c r="F553" s="13"/>
      <c r="G553" s="3"/>
      <c r="H553" s="3"/>
      <c r="I553" s="3"/>
      <c r="J553" s="3"/>
      <c r="K553" s="3"/>
      <c r="L553" s="3"/>
      <c r="M553" s="3"/>
      <c r="N553" s="3"/>
      <c r="O553" s="3"/>
      <c r="P553" s="3"/>
      <c r="Q553" s="3"/>
      <c r="R553" s="3"/>
      <c r="S553" s="3"/>
      <c r="T553" s="3"/>
      <c r="U553" s="3"/>
      <c r="V553" s="3"/>
      <c r="W553" s="3"/>
    </row>
    <row r="554" spans="1:23">
      <c r="A554" s="3"/>
      <c r="B554" s="3"/>
      <c r="C554" s="13"/>
      <c r="D554" s="13"/>
      <c r="E554" s="13"/>
      <c r="F554" s="13"/>
      <c r="G554" s="3"/>
      <c r="H554" s="3"/>
      <c r="I554" s="3"/>
      <c r="J554" s="3"/>
      <c r="K554" s="3"/>
      <c r="L554" s="3"/>
      <c r="M554" s="3"/>
      <c r="N554" s="3"/>
      <c r="O554" s="3"/>
      <c r="P554" s="3"/>
      <c r="Q554" s="3"/>
      <c r="R554" s="3"/>
      <c r="S554" s="3"/>
      <c r="T554" s="3"/>
      <c r="U554" s="3"/>
      <c r="V554" s="3"/>
      <c r="W554" s="3"/>
    </row>
    <row r="555" spans="1:23">
      <c r="A555" s="3"/>
      <c r="B555" s="3"/>
      <c r="C555" s="13"/>
      <c r="D555" s="13"/>
      <c r="E555" s="13"/>
      <c r="F555" s="13"/>
      <c r="G555" s="3"/>
      <c r="H555" s="3"/>
      <c r="I555" s="3"/>
      <c r="J555" s="3"/>
      <c r="K555" s="3"/>
      <c r="L555" s="3"/>
      <c r="M555" s="3"/>
      <c r="N555" s="3"/>
      <c r="O555" s="3"/>
      <c r="P555" s="3"/>
      <c r="Q555" s="3"/>
      <c r="R555" s="3"/>
      <c r="S555" s="3"/>
      <c r="T555" s="3"/>
      <c r="U555" s="3"/>
      <c r="V555" s="3"/>
      <c r="W555" s="3"/>
    </row>
    <row r="556" spans="1:23">
      <c r="A556" s="3"/>
      <c r="B556" s="3"/>
      <c r="C556" s="13"/>
      <c r="D556" s="13"/>
      <c r="E556" s="13"/>
      <c r="F556" s="13"/>
      <c r="G556" s="3"/>
      <c r="H556" s="3"/>
      <c r="I556" s="3"/>
      <c r="J556" s="3"/>
      <c r="K556" s="3"/>
      <c r="L556" s="3"/>
      <c r="M556" s="3"/>
      <c r="N556" s="3"/>
      <c r="O556" s="3"/>
      <c r="P556" s="3"/>
      <c r="Q556" s="3"/>
      <c r="R556" s="3"/>
      <c r="S556" s="3"/>
      <c r="T556" s="3"/>
      <c r="U556" s="3"/>
      <c r="V556" s="3"/>
      <c r="W556" s="3"/>
    </row>
    <row r="557" spans="1:23">
      <c r="A557" s="3"/>
      <c r="B557" s="3"/>
      <c r="C557" s="13"/>
      <c r="D557" s="13"/>
      <c r="E557" s="13"/>
      <c r="F557" s="13"/>
      <c r="G557" s="3"/>
      <c r="H557" s="3"/>
      <c r="I557" s="3"/>
      <c r="J557" s="3"/>
      <c r="K557" s="3"/>
      <c r="L557" s="3"/>
      <c r="M557" s="3"/>
      <c r="N557" s="3"/>
      <c r="O557" s="3"/>
      <c r="P557" s="3"/>
      <c r="Q557" s="3"/>
      <c r="R557" s="3"/>
      <c r="S557" s="3"/>
      <c r="T557" s="3"/>
      <c r="U557" s="3"/>
      <c r="V557" s="3"/>
      <c r="W557" s="3"/>
    </row>
    <row r="558" spans="1:23">
      <c r="A558" s="3"/>
      <c r="B558" s="3"/>
      <c r="C558" s="13"/>
      <c r="D558" s="13"/>
      <c r="E558" s="13"/>
      <c r="F558" s="13"/>
      <c r="G558" s="3"/>
      <c r="H558" s="3"/>
      <c r="I558" s="3"/>
      <c r="J558" s="3"/>
      <c r="K558" s="3"/>
      <c r="L558" s="3"/>
      <c r="M558" s="3"/>
      <c r="N558" s="3"/>
      <c r="O558" s="3"/>
      <c r="P558" s="3"/>
      <c r="Q558" s="3"/>
      <c r="R558" s="3"/>
      <c r="S558" s="3"/>
      <c r="T558" s="3"/>
      <c r="U558" s="3"/>
      <c r="V558" s="3"/>
      <c r="W558" s="3"/>
    </row>
    <row r="559" spans="1:23">
      <c r="A559" s="3"/>
      <c r="B559" s="3"/>
      <c r="C559" s="13"/>
      <c r="D559" s="13"/>
      <c r="E559" s="13"/>
      <c r="F559" s="13"/>
      <c r="G559" s="3"/>
      <c r="H559" s="3"/>
      <c r="I559" s="3"/>
      <c r="J559" s="3"/>
      <c r="K559" s="3"/>
      <c r="L559" s="3"/>
      <c r="M559" s="3"/>
      <c r="N559" s="3"/>
      <c r="O559" s="3"/>
      <c r="P559" s="3"/>
      <c r="Q559" s="3"/>
      <c r="R559" s="3"/>
      <c r="S559" s="3"/>
      <c r="T559" s="3"/>
      <c r="U559" s="3"/>
      <c r="V559" s="3"/>
      <c r="W559" s="3"/>
    </row>
    <row r="560" spans="1:23">
      <c r="A560" s="3"/>
      <c r="B560" s="3"/>
      <c r="C560" s="13"/>
      <c r="D560" s="13"/>
      <c r="E560" s="13"/>
      <c r="F560" s="13"/>
      <c r="G560" s="3"/>
      <c r="H560" s="3"/>
      <c r="I560" s="3"/>
      <c r="J560" s="3"/>
      <c r="K560" s="3"/>
      <c r="L560" s="3"/>
      <c r="M560" s="3"/>
      <c r="N560" s="3"/>
      <c r="O560" s="3"/>
      <c r="P560" s="3"/>
      <c r="Q560" s="3"/>
      <c r="R560" s="3"/>
      <c r="S560" s="3"/>
      <c r="T560" s="3"/>
      <c r="U560" s="3"/>
      <c r="V560" s="3"/>
      <c r="W560" s="3"/>
    </row>
    <row r="561" spans="1:23">
      <c r="A561" s="3"/>
      <c r="B561" s="3"/>
      <c r="C561" s="13"/>
      <c r="D561" s="13"/>
      <c r="E561" s="13"/>
      <c r="F561" s="13"/>
      <c r="G561" s="3"/>
      <c r="H561" s="3"/>
      <c r="I561" s="3"/>
      <c r="J561" s="3"/>
      <c r="K561" s="3"/>
      <c r="L561" s="3"/>
      <c r="M561" s="3"/>
      <c r="N561" s="3"/>
      <c r="O561" s="3"/>
      <c r="P561" s="3"/>
      <c r="Q561" s="3"/>
      <c r="R561" s="3"/>
      <c r="S561" s="3"/>
      <c r="T561" s="3"/>
      <c r="U561" s="3"/>
      <c r="V561" s="3"/>
      <c r="W561" s="3"/>
    </row>
    <row r="562" spans="1:23">
      <c r="A562" s="3"/>
      <c r="B562" s="3"/>
      <c r="C562" s="13"/>
      <c r="D562" s="13"/>
      <c r="E562" s="13"/>
      <c r="F562" s="13"/>
      <c r="G562" s="3"/>
      <c r="H562" s="3"/>
      <c r="I562" s="3"/>
      <c r="J562" s="3"/>
      <c r="K562" s="3"/>
      <c r="L562" s="3"/>
      <c r="M562" s="3"/>
      <c r="N562" s="3"/>
      <c r="O562" s="3"/>
      <c r="P562" s="3"/>
      <c r="Q562" s="3"/>
      <c r="R562" s="3"/>
      <c r="S562" s="3"/>
      <c r="T562" s="3"/>
      <c r="U562" s="3"/>
      <c r="V562" s="3"/>
      <c r="W562" s="3"/>
    </row>
    <row r="563" spans="1:23">
      <c r="A563" s="3"/>
      <c r="B563" s="3"/>
      <c r="C563" s="13"/>
      <c r="D563" s="13"/>
      <c r="E563" s="13"/>
      <c r="F563" s="13"/>
      <c r="G563" s="3"/>
      <c r="H563" s="3"/>
      <c r="I563" s="3"/>
      <c r="J563" s="3"/>
      <c r="K563" s="3"/>
      <c r="L563" s="3"/>
      <c r="M563" s="3"/>
      <c r="N563" s="3"/>
      <c r="O563" s="3"/>
      <c r="P563" s="3"/>
      <c r="Q563" s="3"/>
      <c r="R563" s="3"/>
      <c r="S563" s="3"/>
      <c r="T563" s="3"/>
      <c r="U563" s="3"/>
      <c r="V563" s="3"/>
      <c r="W563" s="3"/>
    </row>
    <row r="564" spans="1:23">
      <c r="A564" s="3"/>
      <c r="B564" s="3"/>
      <c r="C564" s="13"/>
      <c r="D564" s="13"/>
      <c r="E564" s="13"/>
      <c r="F564" s="13"/>
      <c r="G564" s="3"/>
      <c r="H564" s="3"/>
      <c r="I564" s="3"/>
      <c r="J564" s="3"/>
      <c r="K564" s="3"/>
      <c r="L564" s="3"/>
      <c r="M564" s="3"/>
      <c r="N564" s="3"/>
      <c r="O564" s="3"/>
      <c r="P564" s="3"/>
      <c r="Q564" s="3"/>
      <c r="R564" s="3"/>
      <c r="S564" s="3"/>
      <c r="T564" s="3"/>
      <c r="U564" s="3"/>
      <c r="V564" s="3"/>
      <c r="W564" s="3"/>
    </row>
    <row r="565" spans="1:23">
      <c r="A565" s="3"/>
      <c r="B565" s="3"/>
      <c r="C565" s="13"/>
      <c r="D565" s="13"/>
      <c r="E565" s="13"/>
      <c r="F565" s="13"/>
      <c r="G565" s="3"/>
      <c r="H565" s="3"/>
      <c r="I565" s="3"/>
      <c r="J565" s="3"/>
      <c r="K565" s="3"/>
      <c r="L565" s="3"/>
      <c r="M565" s="3"/>
      <c r="N565" s="3"/>
      <c r="O565" s="3"/>
      <c r="P565" s="3"/>
      <c r="Q565" s="3"/>
      <c r="R565" s="3"/>
      <c r="S565" s="3"/>
      <c r="T565" s="3"/>
      <c r="U565" s="3"/>
      <c r="V565" s="3"/>
      <c r="W565" s="3"/>
    </row>
    <row r="566" spans="1:23">
      <c r="A566" s="3"/>
      <c r="B566" s="3"/>
      <c r="C566" s="13"/>
      <c r="D566" s="13"/>
      <c r="E566" s="13"/>
      <c r="F566" s="13"/>
      <c r="G566" s="3"/>
      <c r="H566" s="3"/>
      <c r="I566" s="3"/>
      <c r="J566" s="3"/>
      <c r="K566" s="3"/>
      <c r="L566" s="3"/>
      <c r="M566" s="3"/>
      <c r="N566" s="3"/>
      <c r="O566" s="3"/>
      <c r="P566" s="3"/>
      <c r="Q566" s="3"/>
      <c r="R566" s="3"/>
      <c r="S566" s="3"/>
      <c r="T566" s="3"/>
      <c r="U566" s="3"/>
      <c r="V566" s="3"/>
      <c r="W566" s="3"/>
    </row>
    <row r="567" spans="1:23">
      <c r="A567" s="3"/>
      <c r="B567" s="3"/>
      <c r="C567" s="13"/>
      <c r="D567" s="13"/>
      <c r="E567" s="13"/>
      <c r="F567" s="13"/>
      <c r="G567" s="3"/>
      <c r="H567" s="3"/>
      <c r="I567" s="3"/>
      <c r="J567" s="3"/>
      <c r="K567" s="3"/>
      <c r="L567" s="3"/>
      <c r="M567" s="3"/>
      <c r="N567" s="3"/>
      <c r="O567" s="3"/>
      <c r="P567" s="3"/>
      <c r="Q567" s="3"/>
      <c r="R567" s="3"/>
      <c r="S567" s="3"/>
      <c r="T567" s="3"/>
      <c r="U567" s="3"/>
      <c r="V567" s="3"/>
      <c r="W567" s="3"/>
    </row>
    <row r="568" spans="1:23">
      <c r="A568" s="3"/>
      <c r="B568" s="3"/>
      <c r="C568" s="13"/>
      <c r="D568" s="13"/>
      <c r="E568" s="13"/>
      <c r="F568" s="13"/>
      <c r="G568" s="3"/>
      <c r="H568" s="3"/>
      <c r="I568" s="3"/>
      <c r="J568" s="3"/>
      <c r="K568" s="3"/>
      <c r="L568" s="3"/>
      <c r="M568" s="3"/>
      <c r="N568" s="3"/>
      <c r="O568" s="3"/>
      <c r="P568" s="3"/>
      <c r="Q568" s="3"/>
      <c r="R568" s="3"/>
      <c r="S568" s="3"/>
      <c r="T568" s="3"/>
      <c r="U568" s="3"/>
      <c r="V568" s="3"/>
      <c r="W568" s="3"/>
    </row>
    <row r="569" spans="1:23">
      <c r="A569" s="3"/>
      <c r="B569" s="3"/>
      <c r="C569" s="13"/>
      <c r="D569" s="13"/>
      <c r="E569" s="13"/>
      <c r="F569" s="13"/>
      <c r="G569" s="3"/>
      <c r="H569" s="3"/>
      <c r="I569" s="3"/>
      <c r="J569" s="3"/>
      <c r="K569" s="3"/>
      <c r="L569" s="3"/>
      <c r="M569" s="3"/>
      <c r="N569" s="3"/>
      <c r="O569" s="3"/>
      <c r="P569" s="3"/>
      <c r="Q569" s="3"/>
      <c r="R569" s="3"/>
      <c r="S569" s="3"/>
      <c r="T569" s="3"/>
      <c r="U569" s="3"/>
      <c r="V569" s="3"/>
      <c r="W569" s="3"/>
    </row>
    <row r="570" spans="1:23">
      <c r="A570" s="3"/>
      <c r="B570" s="3"/>
      <c r="C570" s="13"/>
      <c r="D570" s="13"/>
      <c r="E570" s="13"/>
      <c r="F570" s="13"/>
      <c r="G570" s="3"/>
      <c r="H570" s="3"/>
      <c r="I570" s="3"/>
      <c r="J570" s="3"/>
      <c r="K570" s="3"/>
      <c r="L570" s="3"/>
      <c r="M570" s="3"/>
      <c r="N570" s="3"/>
      <c r="O570" s="3"/>
      <c r="P570" s="3"/>
      <c r="Q570" s="3"/>
      <c r="R570" s="3"/>
      <c r="S570" s="3"/>
      <c r="T570" s="3"/>
      <c r="U570" s="3"/>
      <c r="V570" s="3"/>
      <c r="W570" s="3"/>
    </row>
    <row r="571" spans="1:23">
      <c r="A571" s="3"/>
      <c r="B571" s="3"/>
      <c r="C571" s="13"/>
      <c r="D571" s="13"/>
      <c r="E571" s="13"/>
      <c r="F571" s="13"/>
      <c r="G571" s="3"/>
      <c r="H571" s="3"/>
      <c r="I571" s="3"/>
      <c r="J571" s="3"/>
      <c r="K571" s="3"/>
      <c r="L571" s="3"/>
      <c r="M571" s="3"/>
      <c r="N571" s="3"/>
      <c r="O571" s="3"/>
      <c r="P571" s="3"/>
      <c r="Q571" s="3"/>
      <c r="R571" s="3"/>
      <c r="S571" s="3"/>
      <c r="T571" s="3"/>
      <c r="U571" s="3"/>
      <c r="V571" s="3"/>
      <c r="W571" s="3"/>
    </row>
    <row r="572" spans="1:23">
      <c r="A572" s="3"/>
      <c r="B572" s="3"/>
      <c r="C572" s="13"/>
      <c r="D572" s="13"/>
      <c r="E572" s="13"/>
      <c r="F572" s="13"/>
      <c r="G572" s="3"/>
      <c r="H572" s="3"/>
      <c r="I572" s="3"/>
      <c r="J572" s="3"/>
      <c r="K572" s="3"/>
      <c r="L572" s="3"/>
      <c r="M572" s="3"/>
      <c r="N572" s="3"/>
      <c r="O572" s="3"/>
      <c r="P572" s="3"/>
      <c r="Q572" s="3"/>
      <c r="R572" s="3"/>
      <c r="S572" s="3"/>
      <c r="T572" s="3"/>
      <c r="U572" s="3"/>
      <c r="V572" s="3"/>
      <c r="W572" s="3"/>
    </row>
    <row r="573" spans="1:23">
      <c r="A573" s="3"/>
      <c r="B573" s="3"/>
      <c r="C573" s="13"/>
      <c r="D573" s="13"/>
      <c r="E573" s="13"/>
      <c r="F573" s="13"/>
      <c r="G573" s="3"/>
      <c r="H573" s="3"/>
      <c r="I573" s="3"/>
      <c r="J573" s="3"/>
      <c r="K573" s="3"/>
      <c r="L573" s="3"/>
      <c r="M573" s="3"/>
      <c r="N573" s="3"/>
      <c r="O573" s="3"/>
      <c r="P573" s="3"/>
      <c r="Q573" s="3"/>
      <c r="R573" s="3"/>
      <c r="S573" s="3"/>
      <c r="T573" s="3"/>
      <c r="U573" s="3"/>
      <c r="V573" s="3"/>
      <c r="W573" s="3"/>
    </row>
    <row r="574" spans="1:23">
      <c r="A574" s="3"/>
      <c r="B574" s="3"/>
      <c r="C574" s="13"/>
      <c r="D574" s="13"/>
      <c r="E574" s="13"/>
      <c r="F574" s="13"/>
      <c r="G574" s="3"/>
      <c r="H574" s="3"/>
      <c r="I574" s="3"/>
      <c r="J574" s="3"/>
      <c r="K574" s="3"/>
      <c r="L574" s="3"/>
      <c r="M574" s="3"/>
      <c r="N574" s="3"/>
      <c r="O574" s="3"/>
      <c r="P574" s="3"/>
      <c r="Q574" s="3"/>
      <c r="R574" s="3"/>
      <c r="S574" s="3"/>
      <c r="T574" s="3"/>
      <c r="U574" s="3"/>
      <c r="V574" s="3"/>
      <c r="W574" s="3"/>
    </row>
    <row r="575" spans="1:23">
      <c r="A575" s="3"/>
      <c r="B575" s="3"/>
      <c r="C575" s="13"/>
      <c r="D575" s="13"/>
      <c r="E575" s="13"/>
      <c r="F575" s="13"/>
      <c r="G575" s="3"/>
      <c r="H575" s="3"/>
      <c r="I575" s="3"/>
      <c r="J575" s="3"/>
      <c r="K575" s="3"/>
      <c r="L575" s="3"/>
      <c r="M575" s="3"/>
      <c r="N575" s="3"/>
      <c r="O575" s="3"/>
      <c r="P575" s="3"/>
      <c r="Q575" s="3"/>
      <c r="R575" s="3"/>
      <c r="S575" s="3"/>
      <c r="T575" s="3"/>
      <c r="U575" s="3"/>
      <c r="V575" s="3"/>
      <c r="W575" s="3"/>
    </row>
    <row r="576" spans="1:23">
      <c r="A576" s="3"/>
      <c r="B576" s="3"/>
      <c r="C576" s="13"/>
      <c r="D576" s="13"/>
      <c r="E576" s="13"/>
      <c r="F576" s="13"/>
      <c r="G576" s="3"/>
      <c r="H576" s="3"/>
      <c r="I576" s="3"/>
      <c r="J576" s="3"/>
      <c r="K576" s="3"/>
      <c r="L576" s="3"/>
      <c r="M576" s="3"/>
      <c r="N576" s="3"/>
      <c r="O576" s="3"/>
      <c r="P576" s="3"/>
      <c r="Q576" s="3"/>
      <c r="R576" s="3"/>
      <c r="S576" s="3"/>
      <c r="T576" s="3"/>
      <c r="U576" s="3"/>
      <c r="V576" s="3"/>
      <c r="W576" s="3"/>
    </row>
    <row r="577" spans="1:23">
      <c r="A577" s="3"/>
      <c r="B577" s="3"/>
      <c r="C577" s="13"/>
      <c r="D577" s="13"/>
      <c r="E577" s="13"/>
      <c r="F577" s="13"/>
      <c r="G577" s="3"/>
      <c r="H577" s="3"/>
      <c r="I577" s="3"/>
      <c r="J577" s="3"/>
      <c r="K577" s="3"/>
      <c r="L577" s="3"/>
      <c r="M577" s="3"/>
      <c r="N577" s="3"/>
      <c r="O577" s="3"/>
      <c r="P577" s="3"/>
      <c r="Q577" s="3"/>
      <c r="R577" s="3"/>
      <c r="S577" s="3"/>
      <c r="T577" s="3"/>
      <c r="U577" s="3"/>
      <c r="V577" s="3"/>
      <c r="W577" s="3"/>
    </row>
    <row r="578" spans="1:23">
      <c r="A578" s="3"/>
      <c r="B578" s="3"/>
      <c r="C578" s="13"/>
      <c r="D578" s="13"/>
      <c r="E578" s="13"/>
      <c r="F578" s="13"/>
      <c r="G578" s="3"/>
      <c r="H578" s="3"/>
      <c r="I578" s="3"/>
      <c r="J578" s="3"/>
      <c r="K578" s="3"/>
      <c r="L578" s="3"/>
      <c r="M578" s="3"/>
      <c r="N578" s="3"/>
      <c r="O578" s="3"/>
      <c r="P578" s="3"/>
      <c r="Q578" s="3"/>
      <c r="R578" s="3"/>
      <c r="S578" s="3"/>
      <c r="T578" s="3"/>
      <c r="U578" s="3"/>
      <c r="V578" s="3"/>
      <c r="W578" s="3"/>
    </row>
    <row r="579" spans="1:23">
      <c r="A579" s="3"/>
      <c r="B579" s="3"/>
      <c r="C579" s="13"/>
      <c r="D579" s="13"/>
      <c r="E579" s="13"/>
      <c r="F579" s="13"/>
      <c r="G579" s="3"/>
      <c r="H579" s="3"/>
      <c r="I579" s="3"/>
      <c r="J579" s="3"/>
      <c r="K579" s="3"/>
      <c r="L579" s="3"/>
      <c r="M579" s="3"/>
      <c r="N579" s="3"/>
      <c r="O579" s="3"/>
      <c r="P579" s="3"/>
      <c r="Q579" s="3"/>
      <c r="R579" s="3"/>
      <c r="S579" s="3"/>
      <c r="T579" s="3"/>
      <c r="U579" s="3"/>
      <c r="V579" s="3"/>
      <c r="W579" s="3"/>
    </row>
    <row r="580" spans="1:23">
      <c r="A580" s="3"/>
      <c r="B580" s="3"/>
      <c r="C580" s="13"/>
      <c r="D580" s="13"/>
      <c r="E580" s="13"/>
      <c r="F580" s="13"/>
      <c r="G580" s="3"/>
      <c r="H580" s="3"/>
      <c r="I580" s="3"/>
      <c r="J580" s="3"/>
      <c r="K580" s="3"/>
      <c r="L580" s="3"/>
      <c r="M580" s="3"/>
      <c r="N580" s="3"/>
      <c r="O580" s="3"/>
      <c r="P580" s="3"/>
      <c r="Q580" s="3"/>
      <c r="R580" s="3"/>
      <c r="S580" s="3"/>
      <c r="T580" s="3"/>
      <c r="U580" s="3"/>
      <c r="V580" s="3"/>
      <c r="W580" s="3"/>
    </row>
    <row r="581" spans="1:23">
      <c r="A581" s="3"/>
      <c r="B581" s="3"/>
      <c r="C581" s="13"/>
      <c r="D581" s="13"/>
      <c r="E581" s="13"/>
      <c r="F581" s="13"/>
      <c r="G581" s="3"/>
      <c r="H581" s="3"/>
      <c r="I581" s="3"/>
      <c r="J581" s="3"/>
      <c r="K581" s="3"/>
      <c r="L581" s="3"/>
      <c r="M581" s="3"/>
      <c r="N581" s="3"/>
      <c r="O581" s="3"/>
      <c r="P581" s="3"/>
      <c r="Q581" s="3"/>
      <c r="R581" s="3"/>
      <c r="S581" s="3"/>
      <c r="T581" s="3"/>
      <c r="U581" s="3"/>
      <c r="V581" s="3"/>
      <c r="W581" s="3"/>
    </row>
    <row r="582" spans="1:23">
      <c r="A582" s="3"/>
      <c r="B582" s="3"/>
      <c r="C582" s="13"/>
      <c r="D582" s="13"/>
      <c r="E582" s="13"/>
      <c r="F582" s="13"/>
      <c r="G582" s="3"/>
      <c r="H582" s="3"/>
      <c r="I582" s="3"/>
      <c r="J582" s="3"/>
      <c r="K582" s="3"/>
      <c r="L582" s="3"/>
      <c r="M582" s="3"/>
      <c r="N582" s="3"/>
      <c r="O582" s="3"/>
      <c r="P582" s="3"/>
      <c r="Q582" s="3"/>
      <c r="R582" s="3"/>
      <c r="S582" s="3"/>
      <c r="T582" s="3"/>
      <c r="U582" s="3"/>
      <c r="V582" s="3"/>
      <c r="W582" s="3"/>
    </row>
    <row r="583" spans="1:23">
      <c r="A583" s="3"/>
      <c r="B583" s="3"/>
      <c r="C583" s="13"/>
      <c r="D583" s="13"/>
      <c r="E583" s="13"/>
      <c r="F583" s="13"/>
      <c r="G583" s="3"/>
      <c r="H583" s="3"/>
      <c r="I583" s="3"/>
      <c r="J583" s="3"/>
      <c r="K583" s="3"/>
      <c r="L583" s="3"/>
      <c r="M583" s="3"/>
      <c r="N583" s="3"/>
      <c r="O583" s="3"/>
      <c r="P583" s="3"/>
      <c r="Q583" s="3"/>
      <c r="R583" s="3"/>
      <c r="S583" s="3"/>
      <c r="T583" s="3"/>
      <c r="U583" s="3"/>
      <c r="V583" s="3"/>
      <c r="W583" s="3"/>
    </row>
    <row r="584" spans="1:23">
      <c r="A584" s="3"/>
      <c r="B584" s="3"/>
      <c r="C584" s="13"/>
      <c r="D584" s="13"/>
      <c r="E584" s="13"/>
      <c r="F584" s="13"/>
      <c r="G584" s="3"/>
      <c r="H584" s="3"/>
      <c r="I584" s="3"/>
      <c r="J584" s="3"/>
      <c r="K584" s="3"/>
      <c r="L584" s="3"/>
      <c r="M584" s="3"/>
      <c r="N584" s="3"/>
      <c r="O584" s="3"/>
      <c r="P584" s="3"/>
      <c r="Q584" s="3"/>
      <c r="R584" s="3"/>
      <c r="S584" s="3"/>
      <c r="T584" s="3"/>
      <c r="U584" s="3"/>
      <c r="V584" s="3"/>
      <c r="W584" s="3"/>
    </row>
    <row r="585" spans="1:23">
      <c r="A585" s="3"/>
      <c r="B585" s="3"/>
      <c r="C585" s="13"/>
      <c r="D585" s="13"/>
      <c r="E585" s="13"/>
      <c r="F585" s="13"/>
      <c r="G585" s="3"/>
      <c r="H585" s="3"/>
      <c r="I585" s="3"/>
      <c r="J585" s="3"/>
      <c r="K585" s="3"/>
      <c r="L585" s="3"/>
      <c r="M585" s="3"/>
      <c r="N585" s="3"/>
      <c r="O585" s="3"/>
      <c r="P585" s="3"/>
      <c r="Q585" s="3"/>
      <c r="R585" s="3"/>
      <c r="S585" s="3"/>
      <c r="T585" s="3"/>
      <c r="U585" s="3"/>
      <c r="V585" s="3"/>
      <c r="W585" s="3"/>
    </row>
    <row r="586" spans="1:23">
      <c r="A586" s="3"/>
      <c r="B586" s="3"/>
      <c r="C586" s="13"/>
      <c r="D586" s="13"/>
      <c r="E586" s="13"/>
      <c r="F586" s="13"/>
      <c r="G586" s="3"/>
      <c r="H586" s="3"/>
      <c r="I586" s="3"/>
      <c r="J586" s="3"/>
      <c r="K586" s="3"/>
      <c r="L586" s="3"/>
      <c r="M586" s="3"/>
      <c r="N586" s="3"/>
      <c r="O586" s="3"/>
      <c r="P586" s="3"/>
      <c r="Q586" s="3"/>
      <c r="R586" s="3"/>
      <c r="S586" s="3"/>
      <c r="T586" s="3"/>
      <c r="U586" s="3"/>
      <c r="V586" s="3"/>
      <c r="W586" s="3"/>
    </row>
    <row r="587" spans="1:23">
      <c r="A587" s="3"/>
      <c r="B587" s="3"/>
      <c r="C587" s="13"/>
      <c r="D587" s="13"/>
      <c r="E587" s="13"/>
      <c r="F587" s="13"/>
      <c r="G587" s="3"/>
      <c r="H587" s="3"/>
      <c r="I587" s="3"/>
      <c r="J587" s="3"/>
      <c r="K587" s="3"/>
      <c r="L587" s="3"/>
      <c r="M587" s="3"/>
      <c r="N587" s="3"/>
      <c r="O587" s="3"/>
      <c r="P587" s="3"/>
      <c r="Q587" s="3"/>
      <c r="R587" s="3"/>
      <c r="S587" s="3"/>
      <c r="T587" s="3"/>
      <c r="U587" s="3"/>
      <c r="V587" s="3"/>
      <c r="W587" s="3"/>
    </row>
    <row r="588" spans="1:23">
      <c r="A588" s="3"/>
      <c r="B588" s="3"/>
      <c r="C588" s="13"/>
      <c r="D588" s="13"/>
      <c r="E588" s="13"/>
      <c r="F588" s="13"/>
      <c r="G588" s="3"/>
      <c r="H588" s="3"/>
      <c r="I588" s="3"/>
      <c r="J588" s="3"/>
      <c r="K588" s="3"/>
      <c r="L588" s="3"/>
      <c r="M588" s="3"/>
      <c r="N588" s="3"/>
      <c r="O588" s="3"/>
      <c r="P588" s="3"/>
      <c r="Q588" s="3"/>
      <c r="R588" s="3"/>
      <c r="S588" s="3"/>
      <c r="T588" s="3"/>
      <c r="U588" s="3"/>
      <c r="V588" s="3"/>
      <c r="W588" s="3"/>
    </row>
    <row r="589" spans="1:23">
      <c r="A589" s="3"/>
      <c r="B589" s="3"/>
      <c r="C589" s="13"/>
      <c r="D589" s="13"/>
      <c r="E589" s="13"/>
      <c r="F589" s="13"/>
      <c r="G589" s="3"/>
      <c r="H589" s="3"/>
      <c r="I589" s="3"/>
      <c r="J589" s="3"/>
      <c r="K589" s="3"/>
      <c r="L589" s="3"/>
      <c r="M589" s="3"/>
      <c r="N589" s="3"/>
      <c r="O589" s="3"/>
      <c r="P589" s="3"/>
      <c r="Q589" s="3"/>
      <c r="R589" s="3"/>
      <c r="S589" s="3"/>
      <c r="T589" s="3"/>
      <c r="U589" s="3"/>
      <c r="V589" s="3"/>
      <c r="W589" s="3"/>
    </row>
    <row r="590" spans="1:23">
      <c r="A590" s="3"/>
      <c r="B590" s="3"/>
      <c r="C590" s="13"/>
      <c r="D590" s="13"/>
      <c r="E590" s="13"/>
      <c r="F590" s="13"/>
      <c r="G590" s="3"/>
      <c r="H590" s="3"/>
      <c r="I590" s="3"/>
      <c r="J590" s="3"/>
      <c r="K590" s="3"/>
      <c r="L590" s="3"/>
      <c r="M590" s="3"/>
      <c r="N590" s="3"/>
      <c r="O590" s="3"/>
      <c r="P590" s="3"/>
      <c r="Q590" s="3"/>
      <c r="R590" s="3"/>
      <c r="S590" s="3"/>
      <c r="T590" s="3"/>
      <c r="U590" s="3"/>
      <c r="V590" s="3"/>
      <c r="W590" s="3"/>
    </row>
    <row r="591" spans="1:23">
      <c r="A591" s="3"/>
      <c r="B591" s="3"/>
      <c r="C591" s="13"/>
      <c r="D591" s="13"/>
      <c r="E591" s="13"/>
      <c r="F591" s="13"/>
      <c r="G591" s="3"/>
      <c r="H591" s="3"/>
      <c r="I591" s="3"/>
      <c r="J591" s="3"/>
      <c r="K591" s="3"/>
      <c r="L591" s="3"/>
      <c r="M591" s="3"/>
      <c r="N591" s="3"/>
      <c r="O591" s="3"/>
      <c r="P591" s="3"/>
      <c r="Q591" s="3"/>
      <c r="R591" s="3"/>
      <c r="S591" s="3"/>
      <c r="T591" s="3"/>
      <c r="U591" s="3"/>
      <c r="V591" s="3"/>
      <c r="W591" s="3"/>
    </row>
    <row r="592" spans="1:23">
      <c r="A592" s="3"/>
      <c r="B592" s="3"/>
      <c r="C592" s="13"/>
      <c r="D592" s="13"/>
      <c r="E592" s="13"/>
      <c r="F592" s="13"/>
      <c r="G592" s="3"/>
      <c r="H592" s="3"/>
      <c r="I592" s="3"/>
      <c r="J592" s="3"/>
      <c r="K592" s="3"/>
      <c r="L592" s="3"/>
      <c r="M592" s="3"/>
      <c r="N592" s="3"/>
      <c r="O592" s="3"/>
      <c r="P592" s="3"/>
      <c r="Q592" s="3"/>
      <c r="R592" s="3"/>
      <c r="S592" s="3"/>
      <c r="T592" s="3"/>
      <c r="U592" s="3"/>
      <c r="V592" s="3"/>
      <c r="W592" s="3"/>
    </row>
    <row r="593" spans="1:23">
      <c r="A593" s="3"/>
      <c r="B593" s="3"/>
      <c r="C593" s="13"/>
      <c r="D593" s="13"/>
      <c r="E593" s="13"/>
      <c r="F593" s="13"/>
      <c r="G593" s="3"/>
      <c r="H593" s="3"/>
      <c r="I593" s="3"/>
      <c r="J593" s="3"/>
      <c r="K593" s="3"/>
      <c r="L593" s="3"/>
      <c r="M593" s="3"/>
      <c r="N593" s="3"/>
      <c r="O593" s="3"/>
      <c r="P593" s="3"/>
      <c r="Q593" s="3"/>
      <c r="R593" s="3"/>
      <c r="S593" s="3"/>
      <c r="T593" s="3"/>
      <c r="U593" s="3"/>
      <c r="V593" s="3"/>
      <c r="W593" s="3"/>
    </row>
    <row r="594" spans="1:23">
      <c r="A594" s="3"/>
      <c r="B594" s="3"/>
      <c r="C594" s="13"/>
      <c r="D594" s="13"/>
      <c r="E594" s="13"/>
      <c r="F594" s="13"/>
      <c r="G594" s="3"/>
      <c r="H594" s="3"/>
      <c r="I594" s="3"/>
      <c r="J594" s="3"/>
      <c r="K594" s="3"/>
      <c r="L594" s="3"/>
      <c r="M594" s="3"/>
      <c r="N594" s="3"/>
      <c r="O594" s="3"/>
      <c r="P594" s="3"/>
      <c r="Q594" s="3"/>
      <c r="R594" s="3"/>
      <c r="S594" s="3"/>
      <c r="T594" s="3"/>
      <c r="U594" s="3"/>
      <c r="V594" s="3"/>
      <c r="W594" s="3"/>
    </row>
    <row r="595" spans="1:23">
      <c r="A595" s="3"/>
      <c r="B595" s="3"/>
      <c r="C595" s="13"/>
      <c r="D595" s="13"/>
      <c r="E595" s="13"/>
      <c r="F595" s="13"/>
      <c r="G595" s="3"/>
      <c r="H595" s="3"/>
      <c r="I595" s="3"/>
      <c r="J595" s="3"/>
      <c r="K595" s="3"/>
      <c r="L595" s="3"/>
      <c r="M595" s="3"/>
      <c r="N595" s="3"/>
      <c r="O595" s="3"/>
      <c r="P595" s="3"/>
      <c r="Q595" s="3"/>
      <c r="R595" s="3"/>
      <c r="S595" s="3"/>
      <c r="T595" s="3"/>
      <c r="U595" s="3"/>
      <c r="V595" s="3"/>
      <c r="W595" s="3"/>
    </row>
    <row r="596" spans="1:23">
      <c r="A596" s="3"/>
      <c r="B596" s="3"/>
      <c r="C596" s="13"/>
      <c r="D596" s="13"/>
      <c r="E596" s="13"/>
      <c r="F596" s="13"/>
      <c r="G596" s="3"/>
      <c r="H596" s="3"/>
      <c r="I596" s="3"/>
      <c r="J596" s="3"/>
      <c r="K596" s="3"/>
      <c r="L596" s="3"/>
      <c r="M596" s="3"/>
      <c r="N596" s="3"/>
      <c r="O596" s="3"/>
      <c r="P596" s="3"/>
      <c r="Q596" s="3"/>
      <c r="R596" s="3"/>
      <c r="S596" s="3"/>
      <c r="T596" s="3"/>
      <c r="U596" s="3"/>
      <c r="V596" s="3"/>
      <c r="W596" s="3"/>
    </row>
    <row r="597" spans="1:23">
      <c r="A597" s="3"/>
      <c r="B597" s="3"/>
      <c r="C597" s="13"/>
      <c r="D597" s="13"/>
      <c r="E597" s="13"/>
      <c r="F597" s="13"/>
      <c r="G597" s="3"/>
      <c r="H597" s="3"/>
      <c r="I597" s="3"/>
      <c r="J597" s="3"/>
      <c r="K597" s="3"/>
      <c r="L597" s="3"/>
      <c r="M597" s="3"/>
      <c r="N597" s="3"/>
      <c r="O597" s="3"/>
      <c r="P597" s="3"/>
      <c r="Q597" s="3"/>
      <c r="R597" s="3"/>
      <c r="S597" s="3"/>
      <c r="T597" s="3"/>
      <c r="U597" s="3"/>
      <c r="V597" s="3"/>
      <c r="W597" s="3"/>
    </row>
    <row r="598" spans="1:23">
      <c r="A598" s="3"/>
      <c r="B598" s="3"/>
      <c r="C598" s="13"/>
      <c r="D598" s="13"/>
      <c r="E598" s="13"/>
      <c r="F598" s="13"/>
      <c r="G598" s="3"/>
      <c r="H598" s="3"/>
      <c r="I598" s="3"/>
      <c r="J598" s="3"/>
      <c r="K598" s="3"/>
      <c r="L598" s="3"/>
      <c r="M598" s="3"/>
      <c r="N598" s="3"/>
      <c r="O598" s="3"/>
      <c r="P598" s="3"/>
      <c r="Q598" s="3"/>
      <c r="R598" s="3"/>
      <c r="S598" s="3"/>
      <c r="T598" s="3"/>
      <c r="U598" s="3"/>
      <c r="V598" s="3"/>
      <c r="W598" s="3"/>
    </row>
    <row r="599" spans="1:23">
      <c r="A599" s="3"/>
      <c r="B599" s="3"/>
      <c r="C599" s="13"/>
      <c r="D599" s="13"/>
      <c r="E599" s="13"/>
      <c r="F599" s="13"/>
      <c r="G599" s="3"/>
      <c r="H599" s="3"/>
      <c r="I599" s="3"/>
      <c r="J599" s="3"/>
      <c r="K599" s="3"/>
      <c r="L599" s="3"/>
      <c r="M599" s="3"/>
      <c r="N599" s="3"/>
      <c r="O599" s="3"/>
      <c r="P599" s="3"/>
      <c r="Q599" s="3"/>
      <c r="R599" s="3"/>
      <c r="S599" s="3"/>
      <c r="T599" s="3"/>
      <c r="U599" s="3"/>
      <c r="V599" s="3"/>
      <c r="W599" s="3"/>
    </row>
    <row r="600" spans="1:23">
      <c r="A600" s="3"/>
      <c r="B600" s="3"/>
      <c r="C600" s="13"/>
      <c r="D600" s="13"/>
      <c r="E600" s="13"/>
      <c r="F600" s="13"/>
      <c r="G600" s="3"/>
      <c r="H600" s="3"/>
      <c r="I600" s="3"/>
      <c r="J600" s="3"/>
      <c r="K600" s="3"/>
      <c r="L600" s="3"/>
      <c r="M600" s="3"/>
      <c r="N600" s="3"/>
      <c r="O600" s="3"/>
      <c r="P600" s="3"/>
      <c r="Q600" s="3"/>
      <c r="R600" s="3"/>
      <c r="S600" s="3"/>
      <c r="T600" s="3"/>
      <c r="U600" s="3"/>
      <c r="V600" s="3"/>
      <c r="W600" s="3"/>
    </row>
    <row r="601" spans="1:23">
      <c r="A601" s="3"/>
      <c r="B601" s="3"/>
      <c r="C601" s="13"/>
      <c r="D601" s="13"/>
      <c r="E601" s="13"/>
      <c r="F601" s="13"/>
      <c r="G601" s="3"/>
      <c r="H601" s="3"/>
      <c r="I601" s="3"/>
      <c r="J601" s="3"/>
      <c r="K601" s="3"/>
      <c r="L601" s="3"/>
      <c r="M601" s="3"/>
      <c r="N601" s="3"/>
      <c r="O601" s="3"/>
      <c r="P601" s="3"/>
      <c r="Q601" s="3"/>
      <c r="R601" s="3"/>
      <c r="S601" s="3"/>
      <c r="T601" s="3"/>
      <c r="U601" s="3"/>
      <c r="V601" s="3"/>
      <c r="W601" s="3"/>
    </row>
    <row r="602" spans="1:23">
      <c r="A602" s="3"/>
      <c r="B602" s="3"/>
      <c r="C602" s="13"/>
      <c r="D602" s="13"/>
      <c r="E602" s="13"/>
      <c r="F602" s="13"/>
      <c r="G602" s="3"/>
      <c r="H602" s="3"/>
      <c r="I602" s="3"/>
      <c r="J602" s="3"/>
      <c r="K602" s="3"/>
      <c r="L602" s="3"/>
      <c r="M602" s="3"/>
      <c r="N602" s="3"/>
      <c r="O602" s="3"/>
      <c r="P602" s="3"/>
      <c r="Q602" s="3"/>
      <c r="R602" s="3"/>
      <c r="S602" s="3"/>
      <c r="T602" s="3"/>
      <c r="U602" s="3"/>
      <c r="V602" s="3"/>
      <c r="W602" s="3"/>
    </row>
    <row r="603" spans="1:23">
      <c r="A603" s="3"/>
      <c r="B603" s="3"/>
      <c r="C603" s="13"/>
      <c r="D603" s="13"/>
      <c r="E603" s="13"/>
      <c r="F603" s="13"/>
      <c r="G603" s="3"/>
      <c r="H603" s="3"/>
      <c r="I603" s="3"/>
      <c r="J603" s="3"/>
      <c r="K603" s="3"/>
      <c r="L603" s="3"/>
      <c r="M603" s="3"/>
      <c r="N603" s="3"/>
      <c r="O603" s="3"/>
      <c r="P603" s="3"/>
      <c r="Q603" s="3"/>
      <c r="R603" s="3"/>
      <c r="S603" s="3"/>
      <c r="T603" s="3"/>
      <c r="U603" s="3"/>
      <c r="V603" s="3"/>
      <c r="W603" s="3"/>
    </row>
    <row r="604" spans="1:23">
      <c r="A604" s="3"/>
      <c r="B604" s="3"/>
      <c r="C604" s="13"/>
      <c r="D604" s="13"/>
      <c r="E604" s="13"/>
      <c r="F604" s="13"/>
      <c r="G604" s="3"/>
      <c r="H604" s="3"/>
      <c r="I604" s="3"/>
      <c r="J604" s="3"/>
      <c r="K604" s="3"/>
      <c r="L604" s="3"/>
      <c r="M604" s="3"/>
      <c r="N604" s="3"/>
      <c r="O604" s="3"/>
      <c r="P604" s="3"/>
      <c r="Q604" s="3"/>
      <c r="R604" s="3"/>
      <c r="S604" s="3"/>
      <c r="T604" s="3"/>
      <c r="U604" s="3"/>
      <c r="V604" s="3"/>
      <c r="W604" s="3"/>
    </row>
    <row r="605" spans="1:23">
      <c r="A605" s="3"/>
      <c r="B605" s="3"/>
      <c r="C605" s="13"/>
      <c r="D605" s="13"/>
      <c r="E605" s="13"/>
      <c r="F605" s="13"/>
      <c r="G605" s="3"/>
      <c r="H605" s="3"/>
      <c r="I605" s="3"/>
      <c r="J605" s="3"/>
      <c r="K605" s="3"/>
      <c r="L605" s="3"/>
      <c r="M605" s="3"/>
      <c r="N605" s="3"/>
      <c r="O605" s="3"/>
      <c r="P605" s="3"/>
      <c r="Q605" s="3"/>
      <c r="R605" s="3"/>
      <c r="S605" s="3"/>
      <c r="T605" s="3"/>
      <c r="U605" s="3"/>
      <c r="V605" s="3"/>
      <c r="W605" s="3"/>
    </row>
    <row r="606" spans="1:23">
      <c r="A606" s="3"/>
      <c r="B606" s="3"/>
      <c r="C606" s="13"/>
      <c r="D606" s="13"/>
      <c r="E606" s="13"/>
      <c r="F606" s="13"/>
      <c r="G606" s="3"/>
      <c r="H606" s="3"/>
      <c r="I606" s="3"/>
      <c r="J606" s="3"/>
      <c r="K606" s="3"/>
      <c r="L606" s="3"/>
      <c r="M606" s="3"/>
      <c r="N606" s="3"/>
      <c r="O606" s="3"/>
      <c r="P606" s="3"/>
      <c r="Q606" s="3"/>
      <c r="R606" s="3"/>
      <c r="S606" s="3"/>
      <c r="T606" s="3"/>
      <c r="U606" s="3"/>
      <c r="V606" s="3"/>
      <c r="W606" s="3"/>
    </row>
    <row r="607" spans="1:23">
      <c r="A607" s="3"/>
      <c r="B607" s="3"/>
      <c r="C607" s="13"/>
      <c r="D607" s="13"/>
      <c r="E607" s="13"/>
      <c r="F607" s="13"/>
      <c r="G607" s="3"/>
      <c r="H607" s="3"/>
      <c r="I607" s="3"/>
      <c r="J607" s="3"/>
      <c r="K607" s="3"/>
      <c r="L607" s="3"/>
      <c r="M607" s="3"/>
      <c r="N607" s="3"/>
      <c r="O607" s="3"/>
      <c r="P607" s="3"/>
      <c r="Q607" s="3"/>
      <c r="R607" s="3"/>
      <c r="S607" s="3"/>
      <c r="T607" s="3"/>
      <c r="U607" s="3"/>
      <c r="V607" s="3"/>
      <c r="W607" s="3"/>
    </row>
    <row r="608" spans="1:23">
      <c r="A608" s="3"/>
      <c r="B608" s="3"/>
      <c r="C608" s="13"/>
      <c r="D608" s="13"/>
      <c r="E608" s="13"/>
      <c r="F608" s="13"/>
      <c r="G608" s="3"/>
      <c r="H608" s="3"/>
      <c r="I608" s="3"/>
      <c r="J608" s="3"/>
      <c r="K608" s="3"/>
      <c r="L608" s="3"/>
      <c r="M608" s="3"/>
      <c r="N608" s="3"/>
      <c r="O608" s="3"/>
      <c r="P608" s="3"/>
      <c r="Q608" s="3"/>
      <c r="R608" s="3"/>
      <c r="S608" s="3"/>
      <c r="T608" s="3"/>
      <c r="U608" s="3"/>
      <c r="V608" s="3"/>
      <c r="W608" s="3"/>
    </row>
    <row r="609" spans="1:23">
      <c r="A609" s="3"/>
      <c r="B609" s="3"/>
      <c r="C609" s="13"/>
      <c r="D609" s="13"/>
      <c r="E609" s="13"/>
      <c r="F609" s="13"/>
      <c r="G609" s="3"/>
      <c r="H609" s="3"/>
      <c r="I609" s="3"/>
      <c r="J609" s="3"/>
      <c r="K609" s="3"/>
      <c r="L609" s="3"/>
      <c r="M609" s="3"/>
      <c r="N609" s="3"/>
      <c r="O609" s="3"/>
      <c r="P609" s="3"/>
      <c r="Q609" s="3"/>
      <c r="R609" s="3"/>
      <c r="S609" s="3"/>
      <c r="T609" s="3"/>
      <c r="U609" s="3"/>
      <c r="V609" s="3"/>
      <c r="W609" s="3"/>
    </row>
    <row r="610" spans="1:23">
      <c r="A610" s="3"/>
      <c r="B610" s="3"/>
      <c r="C610" s="13"/>
      <c r="D610" s="13"/>
      <c r="E610" s="13"/>
      <c r="F610" s="13"/>
      <c r="G610" s="3"/>
      <c r="H610" s="3"/>
      <c r="I610" s="3"/>
      <c r="J610" s="3"/>
      <c r="K610" s="3"/>
      <c r="L610" s="3"/>
      <c r="M610" s="3"/>
      <c r="N610" s="3"/>
      <c r="O610" s="3"/>
      <c r="P610" s="3"/>
      <c r="Q610" s="3"/>
      <c r="R610" s="3"/>
      <c r="S610" s="3"/>
      <c r="T610" s="3"/>
      <c r="U610" s="3"/>
      <c r="V610" s="3"/>
      <c r="W610" s="3"/>
    </row>
    <row r="611" spans="1:23">
      <c r="A611" s="3"/>
      <c r="B611" s="3"/>
      <c r="C611" s="13"/>
      <c r="D611" s="13"/>
      <c r="E611" s="13"/>
      <c r="F611" s="13"/>
      <c r="G611" s="3"/>
      <c r="H611" s="3"/>
      <c r="I611" s="3"/>
      <c r="J611" s="3"/>
      <c r="K611" s="3"/>
      <c r="L611" s="3"/>
      <c r="M611" s="3"/>
      <c r="N611" s="3"/>
      <c r="O611" s="3"/>
      <c r="P611" s="3"/>
      <c r="Q611" s="3"/>
      <c r="R611" s="3"/>
      <c r="S611" s="3"/>
      <c r="T611" s="3"/>
      <c r="U611" s="3"/>
      <c r="V611" s="3"/>
      <c r="W611" s="3"/>
    </row>
    <row r="612" spans="1:23">
      <c r="A612" s="3"/>
      <c r="B612" s="3"/>
      <c r="C612" s="13"/>
      <c r="D612" s="13"/>
      <c r="E612" s="13"/>
      <c r="F612" s="13"/>
      <c r="G612" s="3"/>
      <c r="H612" s="3"/>
      <c r="I612" s="3"/>
      <c r="J612" s="3"/>
      <c r="K612" s="3"/>
      <c r="L612" s="3"/>
      <c r="M612" s="3"/>
      <c r="N612" s="3"/>
      <c r="O612" s="3"/>
      <c r="P612" s="3"/>
      <c r="Q612" s="3"/>
      <c r="R612" s="3"/>
      <c r="S612" s="3"/>
      <c r="T612" s="3"/>
      <c r="U612" s="3"/>
      <c r="V612" s="3"/>
      <c r="W612" s="3"/>
    </row>
    <row r="613" spans="1:23">
      <c r="A613" s="3"/>
      <c r="B613" s="3"/>
      <c r="C613" s="13"/>
      <c r="D613" s="13"/>
      <c r="E613" s="13"/>
      <c r="F613" s="13"/>
      <c r="G613" s="3"/>
      <c r="H613" s="3"/>
      <c r="I613" s="3"/>
      <c r="J613" s="3"/>
      <c r="K613" s="3"/>
      <c r="L613" s="3"/>
      <c r="M613" s="3"/>
      <c r="N613" s="3"/>
      <c r="O613" s="3"/>
      <c r="P613" s="3"/>
      <c r="Q613" s="3"/>
      <c r="R613" s="3"/>
      <c r="S613" s="3"/>
      <c r="T613" s="3"/>
      <c r="U613" s="3"/>
      <c r="V613" s="3"/>
      <c r="W613" s="3"/>
    </row>
    <row r="614" spans="1:23">
      <c r="A614" s="3"/>
      <c r="B614" s="3"/>
      <c r="C614" s="13"/>
      <c r="D614" s="13"/>
      <c r="E614" s="13"/>
      <c r="F614" s="13"/>
      <c r="G614" s="3"/>
      <c r="H614" s="3"/>
      <c r="I614" s="3"/>
      <c r="J614" s="3"/>
      <c r="K614" s="3"/>
      <c r="L614" s="3"/>
      <c r="M614" s="3"/>
      <c r="N614" s="3"/>
      <c r="O614" s="3"/>
      <c r="P614" s="3"/>
      <c r="Q614" s="3"/>
      <c r="R614" s="3"/>
      <c r="S614" s="3"/>
      <c r="T614" s="3"/>
      <c r="U614" s="3"/>
      <c r="V614" s="3"/>
      <c r="W614" s="3"/>
    </row>
    <row r="615" spans="1:23">
      <c r="A615" s="3"/>
      <c r="B615" s="3"/>
      <c r="C615" s="13"/>
      <c r="D615" s="13"/>
      <c r="E615" s="13"/>
      <c r="F615" s="13"/>
      <c r="G615" s="3"/>
      <c r="H615" s="3"/>
      <c r="I615" s="3"/>
      <c r="J615" s="3"/>
      <c r="K615" s="3"/>
      <c r="L615" s="3"/>
      <c r="M615" s="3"/>
      <c r="N615" s="3"/>
      <c r="O615" s="3"/>
      <c r="P615" s="3"/>
      <c r="Q615" s="3"/>
      <c r="R615" s="3"/>
      <c r="S615" s="3"/>
      <c r="T615" s="3"/>
      <c r="U615" s="3"/>
      <c r="V615" s="3"/>
      <c r="W615" s="3"/>
    </row>
    <row r="616" spans="1:23">
      <c r="A616" s="3"/>
      <c r="B616" s="3"/>
      <c r="C616" s="13"/>
      <c r="D616" s="13"/>
      <c r="E616" s="13"/>
      <c r="F616" s="13"/>
      <c r="G616" s="3"/>
      <c r="H616" s="3"/>
      <c r="I616" s="3"/>
      <c r="J616" s="3"/>
      <c r="K616" s="3"/>
      <c r="L616" s="3"/>
      <c r="M616" s="3"/>
      <c r="N616" s="3"/>
      <c r="O616" s="3"/>
      <c r="P616" s="3"/>
      <c r="Q616" s="3"/>
      <c r="R616" s="3"/>
      <c r="S616" s="3"/>
      <c r="T616" s="3"/>
      <c r="U616" s="3"/>
      <c r="V616" s="3"/>
      <c r="W616" s="3"/>
    </row>
    <row r="617" spans="1:23">
      <c r="A617" s="3"/>
      <c r="B617" s="3"/>
      <c r="C617" s="13"/>
      <c r="D617" s="13"/>
      <c r="E617" s="13"/>
      <c r="F617" s="13"/>
      <c r="G617" s="3"/>
      <c r="H617" s="3"/>
      <c r="I617" s="3"/>
      <c r="J617" s="3"/>
      <c r="K617" s="3"/>
      <c r="L617" s="3"/>
      <c r="M617" s="3"/>
      <c r="N617" s="3"/>
      <c r="O617" s="3"/>
      <c r="P617" s="3"/>
      <c r="Q617" s="3"/>
      <c r="R617" s="3"/>
      <c r="S617" s="3"/>
      <c r="T617" s="3"/>
      <c r="U617" s="3"/>
      <c r="V617" s="3"/>
      <c r="W617" s="3"/>
    </row>
    <row r="618" spans="1:23">
      <c r="A618" s="3"/>
      <c r="B618" s="3"/>
      <c r="C618" s="13"/>
      <c r="D618" s="13"/>
      <c r="E618" s="13"/>
      <c r="F618" s="13"/>
      <c r="G618" s="3"/>
      <c r="H618" s="3"/>
      <c r="I618" s="3"/>
      <c r="J618" s="3"/>
      <c r="K618" s="3"/>
      <c r="L618" s="3"/>
      <c r="M618" s="3"/>
      <c r="N618" s="3"/>
      <c r="O618" s="3"/>
      <c r="P618" s="3"/>
      <c r="Q618" s="3"/>
      <c r="R618" s="3"/>
      <c r="S618" s="3"/>
      <c r="T618" s="3"/>
      <c r="U618" s="3"/>
      <c r="V618" s="3"/>
      <c r="W618" s="3"/>
    </row>
    <row r="619" spans="1:23">
      <c r="A619" s="3"/>
      <c r="B619" s="3"/>
      <c r="C619" s="13"/>
      <c r="D619" s="13"/>
      <c r="E619" s="13"/>
      <c r="F619" s="13"/>
      <c r="G619" s="3"/>
      <c r="H619" s="3"/>
      <c r="I619" s="3"/>
      <c r="J619" s="3"/>
      <c r="K619" s="3"/>
      <c r="L619" s="3"/>
      <c r="M619" s="3"/>
      <c r="N619" s="3"/>
      <c r="O619" s="3"/>
      <c r="P619" s="3"/>
      <c r="Q619" s="3"/>
      <c r="R619" s="3"/>
      <c r="S619" s="3"/>
      <c r="T619" s="3"/>
      <c r="U619" s="3"/>
      <c r="V619" s="3"/>
      <c r="W619" s="3"/>
    </row>
    <row r="620" spans="1:23">
      <c r="A620" s="3"/>
      <c r="B620" s="3"/>
      <c r="C620" s="13"/>
      <c r="D620" s="13"/>
      <c r="E620" s="13"/>
      <c r="F620" s="13"/>
      <c r="G620" s="3"/>
      <c r="H620" s="3"/>
      <c r="I620" s="3"/>
      <c r="J620" s="3"/>
      <c r="K620" s="3"/>
      <c r="L620" s="3"/>
      <c r="M620" s="3"/>
      <c r="N620" s="3"/>
      <c r="O620" s="3"/>
      <c r="P620" s="3"/>
      <c r="Q620" s="3"/>
      <c r="R620" s="3"/>
      <c r="S620" s="3"/>
      <c r="T620" s="3"/>
      <c r="U620" s="3"/>
      <c r="V620" s="3"/>
      <c r="W620" s="3"/>
    </row>
    <row r="621" spans="1:23">
      <c r="A621" s="3"/>
      <c r="B621" s="3"/>
      <c r="C621" s="13"/>
      <c r="D621" s="13"/>
      <c r="E621" s="13"/>
      <c r="F621" s="13"/>
      <c r="G621" s="3"/>
      <c r="H621" s="3"/>
      <c r="I621" s="3"/>
      <c r="J621" s="3"/>
      <c r="K621" s="3"/>
      <c r="L621" s="3"/>
      <c r="M621" s="3"/>
      <c r="N621" s="3"/>
      <c r="O621" s="3"/>
      <c r="P621" s="3"/>
      <c r="Q621" s="3"/>
      <c r="R621" s="3"/>
      <c r="S621" s="3"/>
      <c r="T621" s="3"/>
      <c r="U621" s="3"/>
      <c r="V621" s="3"/>
      <c r="W621" s="3"/>
    </row>
    <row r="622" spans="1:23">
      <c r="A622" s="3"/>
      <c r="B622" s="3"/>
      <c r="C622" s="13"/>
      <c r="D622" s="13"/>
      <c r="E622" s="13"/>
      <c r="F622" s="13"/>
      <c r="G622" s="3"/>
      <c r="H622" s="3"/>
      <c r="I622" s="3"/>
      <c r="J622" s="3"/>
      <c r="K622" s="3"/>
      <c r="L622" s="3"/>
      <c r="M622" s="3"/>
      <c r="N622" s="3"/>
      <c r="O622" s="3"/>
      <c r="P622" s="3"/>
      <c r="Q622" s="3"/>
      <c r="R622" s="3"/>
      <c r="S622" s="3"/>
      <c r="T622" s="3"/>
      <c r="U622" s="3"/>
      <c r="V622" s="3"/>
      <c r="W622" s="3"/>
    </row>
    <row r="623" spans="1:23">
      <c r="A623" s="3"/>
      <c r="B623" s="3"/>
      <c r="C623" s="13"/>
      <c r="D623" s="13"/>
      <c r="E623" s="13"/>
      <c r="F623" s="13"/>
      <c r="G623" s="3"/>
      <c r="H623" s="3"/>
      <c r="I623" s="3"/>
      <c r="J623" s="3"/>
      <c r="K623" s="3"/>
      <c r="L623" s="3"/>
      <c r="M623" s="3"/>
      <c r="N623" s="3"/>
      <c r="O623" s="3"/>
      <c r="P623" s="3"/>
      <c r="Q623" s="3"/>
      <c r="R623" s="3"/>
      <c r="S623" s="3"/>
      <c r="T623" s="3"/>
      <c r="U623" s="3"/>
      <c r="V623" s="3"/>
      <c r="W623" s="3"/>
    </row>
    <row r="624" spans="1:23">
      <c r="A624" s="3"/>
      <c r="B624" s="3"/>
      <c r="C624" s="13"/>
      <c r="D624" s="13"/>
      <c r="E624" s="13"/>
      <c r="F624" s="13"/>
      <c r="G624" s="3"/>
      <c r="H624" s="3"/>
      <c r="I624" s="3"/>
      <c r="J624" s="3"/>
      <c r="K624" s="3"/>
      <c r="L624" s="3"/>
      <c r="M624" s="3"/>
      <c r="N624" s="3"/>
      <c r="O624" s="3"/>
      <c r="P624" s="3"/>
      <c r="Q624" s="3"/>
      <c r="R624" s="3"/>
      <c r="S624" s="3"/>
      <c r="T624" s="3"/>
      <c r="U624" s="3"/>
      <c r="V624" s="3"/>
      <c r="W624" s="3"/>
    </row>
    <row r="625" spans="1:23">
      <c r="A625" s="3"/>
      <c r="B625" s="3"/>
      <c r="C625" s="13"/>
      <c r="D625" s="13"/>
      <c r="E625" s="13"/>
      <c r="F625" s="13"/>
      <c r="G625" s="3"/>
      <c r="H625" s="3"/>
      <c r="I625" s="3"/>
      <c r="J625" s="3"/>
      <c r="K625" s="3"/>
      <c r="L625" s="3"/>
      <c r="M625" s="3"/>
      <c r="N625" s="3"/>
      <c r="O625" s="3"/>
      <c r="P625" s="3"/>
      <c r="Q625" s="3"/>
      <c r="R625" s="3"/>
      <c r="S625" s="3"/>
      <c r="T625" s="3"/>
      <c r="U625" s="3"/>
      <c r="V625" s="3"/>
      <c r="W625" s="3"/>
    </row>
    <row r="626" spans="1:23">
      <c r="A626" s="3"/>
      <c r="B626" s="3"/>
      <c r="C626" s="13"/>
      <c r="D626" s="13"/>
      <c r="E626" s="13"/>
      <c r="F626" s="13"/>
      <c r="G626" s="3"/>
      <c r="H626" s="3"/>
      <c r="I626" s="3"/>
      <c r="J626" s="3"/>
      <c r="K626" s="3"/>
      <c r="L626" s="3"/>
      <c r="M626" s="3"/>
      <c r="N626" s="3"/>
      <c r="O626" s="3"/>
      <c r="P626" s="3"/>
      <c r="Q626" s="3"/>
      <c r="R626" s="3"/>
      <c r="S626" s="3"/>
      <c r="T626" s="3"/>
      <c r="U626" s="3"/>
      <c r="V626" s="3"/>
      <c r="W626" s="3"/>
    </row>
    <row r="627" spans="1:23">
      <c r="A627" s="3"/>
      <c r="B627" s="3"/>
      <c r="C627" s="13"/>
      <c r="D627" s="13"/>
      <c r="E627" s="13"/>
      <c r="F627" s="13"/>
      <c r="G627" s="3"/>
      <c r="H627" s="3"/>
      <c r="I627" s="3"/>
      <c r="J627" s="3"/>
      <c r="K627" s="3"/>
      <c r="L627" s="3"/>
      <c r="M627" s="3"/>
      <c r="N627" s="3"/>
      <c r="O627" s="3"/>
      <c r="P627" s="3"/>
      <c r="Q627" s="3"/>
      <c r="R627" s="3"/>
      <c r="S627" s="3"/>
      <c r="T627" s="3"/>
      <c r="U627" s="3"/>
      <c r="V627" s="3"/>
      <c r="W627" s="3"/>
    </row>
    <row r="628" spans="1:23">
      <c r="A628" s="3"/>
      <c r="B628" s="3"/>
      <c r="C628" s="13"/>
      <c r="D628" s="13"/>
      <c r="E628" s="13"/>
      <c r="F628" s="13"/>
      <c r="G628" s="3"/>
      <c r="H628" s="3"/>
      <c r="I628" s="3"/>
      <c r="J628" s="3"/>
      <c r="K628" s="3"/>
      <c r="L628" s="3"/>
      <c r="M628" s="3"/>
      <c r="N628" s="3"/>
      <c r="O628" s="3"/>
      <c r="P628" s="3"/>
      <c r="Q628" s="3"/>
      <c r="R628" s="3"/>
      <c r="S628" s="3"/>
      <c r="T628" s="3"/>
      <c r="U628" s="3"/>
      <c r="V628" s="3"/>
      <c r="W628" s="3"/>
    </row>
    <row r="629" spans="1:23">
      <c r="A629" s="3"/>
      <c r="B629" s="3"/>
      <c r="C629" s="13"/>
      <c r="D629" s="13"/>
      <c r="E629" s="13"/>
      <c r="F629" s="13"/>
      <c r="G629" s="3"/>
      <c r="H629" s="3"/>
      <c r="I629" s="3"/>
      <c r="J629" s="3"/>
      <c r="K629" s="3"/>
      <c r="L629" s="3"/>
      <c r="M629" s="3"/>
      <c r="N629" s="3"/>
      <c r="O629" s="3"/>
      <c r="P629" s="3"/>
      <c r="Q629" s="3"/>
      <c r="R629" s="3"/>
      <c r="S629" s="3"/>
      <c r="T629" s="3"/>
      <c r="U629" s="3"/>
      <c r="V629" s="3"/>
      <c r="W629" s="3"/>
    </row>
    <row r="630" spans="1:23">
      <c r="A630" s="3"/>
      <c r="B630" s="3"/>
      <c r="C630" s="13"/>
      <c r="D630" s="13"/>
      <c r="E630" s="13"/>
      <c r="F630" s="13"/>
      <c r="G630" s="3"/>
      <c r="H630" s="3"/>
      <c r="I630" s="3"/>
      <c r="J630" s="3"/>
      <c r="K630" s="3"/>
      <c r="L630" s="3"/>
      <c r="M630" s="3"/>
      <c r="N630" s="3"/>
      <c r="O630" s="3"/>
      <c r="P630" s="3"/>
      <c r="Q630" s="3"/>
      <c r="R630" s="3"/>
      <c r="S630" s="3"/>
      <c r="T630" s="3"/>
      <c r="U630" s="3"/>
      <c r="V630" s="3"/>
      <c r="W630" s="3"/>
    </row>
    <row r="631" spans="1:23">
      <c r="A631" s="3"/>
      <c r="B631" s="3"/>
      <c r="C631" s="13"/>
      <c r="D631" s="13"/>
      <c r="E631" s="13"/>
      <c r="F631" s="13"/>
      <c r="G631" s="3"/>
      <c r="H631" s="3"/>
      <c r="I631" s="3"/>
      <c r="J631" s="3"/>
      <c r="K631" s="3"/>
      <c r="L631" s="3"/>
      <c r="M631" s="3"/>
      <c r="N631" s="3"/>
      <c r="O631" s="3"/>
      <c r="P631" s="3"/>
      <c r="Q631" s="3"/>
      <c r="R631" s="3"/>
      <c r="S631" s="3"/>
      <c r="T631" s="3"/>
      <c r="U631" s="3"/>
      <c r="V631" s="3"/>
      <c r="W631" s="3"/>
    </row>
    <row r="632" spans="1:23">
      <c r="A632" s="3"/>
      <c r="B632" s="3"/>
      <c r="C632" s="13"/>
      <c r="D632" s="13"/>
      <c r="E632" s="13"/>
      <c r="F632" s="13"/>
      <c r="G632" s="3"/>
      <c r="H632" s="3"/>
      <c r="I632" s="3"/>
      <c r="J632" s="3"/>
      <c r="K632" s="3"/>
      <c r="L632" s="3"/>
      <c r="M632" s="3"/>
      <c r="N632" s="3"/>
      <c r="O632" s="3"/>
      <c r="P632" s="3"/>
      <c r="Q632" s="3"/>
      <c r="R632" s="3"/>
      <c r="S632" s="3"/>
      <c r="T632" s="3"/>
      <c r="U632" s="3"/>
      <c r="V632" s="3"/>
      <c r="W632" s="3"/>
    </row>
    <row r="633" spans="1:23">
      <c r="A633" s="3"/>
      <c r="B633" s="3"/>
      <c r="C633" s="13"/>
      <c r="D633" s="13"/>
      <c r="E633" s="13"/>
      <c r="F633" s="13"/>
      <c r="G633" s="3"/>
      <c r="H633" s="3"/>
      <c r="I633" s="3"/>
      <c r="J633" s="3"/>
      <c r="K633" s="3"/>
      <c r="L633" s="3"/>
      <c r="M633" s="3"/>
      <c r="N633" s="3"/>
      <c r="O633" s="3"/>
      <c r="P633" s="3"/>
      <c r="Q633" s="3"/>
      <c r="R633" s="3"/>
      <c r="S633" s="3"/>
      <c r="T633" s="3"/>
      <c r="U633" s="3"/>
      <c r="V633" s="3"/>
      <c r="W633" s="3"/>
    </row>
    <row r="634" spans="1:23">
      <c r="A634" s="3"/>
      <c r="B634" s="3"/>
      <c r="C634" s="13"/>
      <c r="D634" s="13"/>
      <c r="E634" s="13"/>
      <c r="F634" s="13"/>
      <c r="G634" s="3"/>
      <c r="H634" s="3"/>
      <c r="I634" s="3"/>
      <c r="J634" s="3"/>
      <c r="K634" s="3"/>
      <c r="L634" s="3"/>
      <c r="M634" s="3"/>
      <c r="N634" s="3"/>
      <c r="O634" s="3"/>
      <c r="P634" s="3"/>
      <c r="Q634" s="3"/>
      <c r="R634" s="3"/>
      <c r="S634" s="3"/>
      <c r="T634" s="3"/>
      <c r="U634" s="3"/>
      <c r="V634" s="3"/>
      <c r="W634" s="3"/>
    </row>
    <row r="635" spans="1:23">
      <c r="A635" s="3"/>
      <c r="B635" s="3"/>
      <c r="C635" s="13"/>
      <c r="D635" s="13"/>
      <c r="E635" s="13"/>
      <c r="F635" s="13"/>
      <c r="G635" s="3"/>
      <c r="H635" s="3"/>
      <c r="I635" s="3"/>
      <c r="J635" s="3"/>
      <c r="K635" s="3"/>
      <c r="L635" s="3"/>
      <c r="M635" s="3"/>
      <c r="N635" s="3"/>
      <c r="O635" s="3"/>
      <c r="P635" s="3"/>
      <c r="Q635" s="3"/>
      <c r="R635" s="3"/>
      <c r="S635" s="3"/>
      <c r="T635" s="3"/>
      <c r="U635" s="3"/>
      <c r="V635" s="3"/>
      <c r="W635" s="3"/>
    </row>
    <row r="636" spans="1:23">
      <c r="A636" s="3"/>
      <c r="B636" s="3"/>
      <c r="C636" s="13"/>
      <c r="D636" s="13"/>
      <c r="E636" s="13"/>
      <c r="F636" s="13"/>
      <c r="G636" s="3"/>
      <c r="H636" s="3"/>
      <c r="I636" s="3"/>
      <c r="J636" s="3"/>
      <c r="K636" s="3"/>
      <c r="L636" s="3"/>
      <c r="M636" s="3"/>
      <c r="N636" s="3"/>
      <c r="O636" s="3"/>
      <c r="P636" s="3"/>
      <c r="Q636" s="3"/>
      <c r="R636" s="3"/>
      <c r="S636" s="3"/>
      <c r="T636" s="3"/>
      <c r="U636" s="3"/>
      <c r="V636" s="3"/>
      <c r="W636" s="3"/>
    </row>
    <row r="637" spans="1:23">
      <c r="A637" s="3"/>
      <c r="B637" s="3"/>
      <c r="C637" s="13"/>
      <c r="D637" s="13"/>
      <c r="E637" s="13"/>
      <c r="F637" s="13"/>
      <c r="G637" s="3"/>
      <c r="H637" s="3"/>
      <c r="I637" s="3"/>
      <c r="J637" s="3"/>
      <c r="K637" s="3"/>
      <c r="L637" s="3"/>
      <c r="M637" s="3"/>
      <c r="N637" s="3"/>
      <c r="O637" s="3"/>
      <c r="P637" s="3"/>
      <c r="Q637" s="3"/>
      <c r="R637" s="3"/>
      <c r="S637" s="3"/>
      <c r="T637" s="3"/>
      <c r="U637" s="3"/>
      <c r="V637" s="3"/>
      <c r="W637" s="3"/>
    </row>
    <row r="638" spans="1:23">
      <c r="A638" s="3"/>
      <c r="B638" s="3"/>
      <c r="C638" s="13"/>
      <c r="D638" s="13"/>
      <c r="E638" s="13"/>
      <c r="F638" s="13"/>
      <c r="G638" s="3"/>
      <c r="H638" s="3"/>
      <c r="I638" s="3"/>
      <c r="J638" s="3"/>
      <c r="K638" s="3"/>
      <c r="L638" s="3"/>
      <c r="M638" s="3"/>
      <c r="N638" s="3"/>
      <c r="O638" s="3"/>
      <c r="P638" s="3"/>
      <c r="Q638" s="3"/>
      <c r="R638" s="3"/>
      <c r="S638" s="3"/>
      <c r="T638" s="3"/>
      <c r="U638" s="3"/>
      <c r="V638" s="3"/>
      <c r="W638" s="3"/>
    </row>
    <row r="639" spans="1:23">
      <c r="A639" s="3"/>
      <c r="B639" s="3"/>
      <c r="C639" s="13"/>
      <c r="D639" s="13"/>
      <c r="E639" s="13"/>
      <c r="F639" s="13"/>
      <c r="G639" s="3"/>
      <c r="H639" s="3"/>
      <c r="I639" s="3"/>
      <c r="J639" s="3"/>
      <c r="K639" s="3"/>
      <c r="L639" s="3"/>
      <c r="M639" s="3"/>
      <c r="N639" s="3"/>
      <c r="O639" s="3"/>
      <c r="P639" s="3"/>
      <c r="Q639" s="3"/>
      <c r="R639" s="3"/>
      <c r="S639" s="3"/>
      <c r="T639" s="3"/>
      <c r="U639" s="3"/>
      <c r="V639" s="3"/>
      <c r="W639" s="3"/>
    </row>
    <row r="640" spans="1:23">
      <c r="A640" s="3"/>
      <c r="B640" s="3"/>
      <c r="C640" s="13"/>
      <c r="D640" s="13"/>
      <c r="E640" s="13"/>
      <c r="F640" s="13"/>
      <c r="G640" s="3"/>
      <c r="H640" s="3"/>
      <c r="I640" s="3"/>
      <c r="J640" s="3"/>
      <c r="K640" s="3"/>
      <c r="L640" s="3"/>
      <c r="M640" s="3"/>
      <c r="N640" s="3"/>
      <c r="O640" s="3"/>
      <c r="P640" s="3"/>
      <c r="Q640" s="3"/>
      <c r="R640" s="3"/>
      <c r="S640" s="3"/>
      <c r="T640" s="3"/>
      <c r="U640" s="3"/>
      <c r="V640" s="3"/>
      <c r="W640" s="3"/>
    </row>
    <row r="641" spans="1:23">
      <c r="A641" s="3"/>
      <c r="B641" s="3"/>
      <c r="C641" s="13"/>
      <c r="D641" s="13"/>
      <c r="E641" s="13"/>
      <c r="F641" s="13"/>
      <c r="G641" s="3"/>
      <c r="H641" s="3"/>
      <c r="I641" s="3"/>
      <c r="J641" s="3"/>
      <c r="K641" s="3"/>
      <c r="L641" s="3"/>
      <c r="M641" s="3"/>
      <c r="N641" s="3"/>
      <c r="O641" s="3"/>
      <c r="P641" s="3"/>
      <c r="Q641" s="3"/>
      <c r="R641" s="3"/>
      <c r="S641" s="3"/>
      <c r="T641" s="3"/>
      <c r="U641" s="3"/>
      <c r="V641" s="3"/>
      <c r="W641" s="3"/>
    </row>
    <row r="642" spans="1:23">
      <c r="A642" s="3"/>
      <c r="B642" s="3"/>
      <c r="C642" s="13"/>
      <c r="D642" s="13"/>
      <c r="E642" s="13"/>
      <c r="F642" s="13"/>
      <c r="G642" s="3"/>
      <c r="H642" s="3"/>
      <c r="I642" s="3"/>
      <c r="J642" s="3"/>
      <c r="K642" s="3"/>
      <c r="L642" s="3"/>
      <c r="M642" s="3"/>
      <c r="N642" s="3"/>
      <c r="O642" s="3"/>
      <c r="P642" s="3"/>
      <c r="Q642" s="3"/>
      <c r="R642" s="3"/>
      <c r="S642" s="3"/>
      <c r="T642" s="3"/>
      <c r="U642" s="3"/>
      <c r="V642" s="3"/>
      <c r="W642" s="3"/>
    </row>
    <row r="643" spans="1:23">
      <c r="A643" s="3"/>
      <c r="B643" s="3"/>
      <c r="C643" s="13"/>
      <c r="D643" s="13"/>
      <c r="E643" s="13"/>
      <c r="F643" s="13"/>
      <c r="G643" s="3"/>
      <c r="H643" s="3"/>
      <c r="I643" s="3"/>
      <c r="J643" s="3"/>
      <c r="K643" s="3"/>
      <c r="L643" s="3"/>
      <c r="M643" s="3"/>
      <c r="N643" s="3"/>
      <c r="O643" s="3"/>
      <c r="P643" s="3"/>
      <c r="Q643" s="3"/>
      <c r="R643" s="3"/>
      <c r="S643" s="3"/>
      <c r="T643" s="3"/>
      <c r="U643" s="3"/>
      <c r="V643" s="3"/>
      <c r="W643" s="3"/>
    </row>
    <row r="644" spans="1:23">
      <c r="A644" s="3"/>
      <c r="B644" s="3"/>
      <c r="C644" s="13"/>
      <c r="D644" s="13"/>
      <c r="E644" s="13"/>
      <c r="F644" s="13"/>
      <c r="G644" s="3"/>
      <c r="H644" s="3"/>
      <c r="I644" s="3"/>
      <c r="J644" s="3"/>
      <c r="K644" s="3"/>
      <c r="L644" s="3"/>
      <c r="M644" s="3"/>
      <c r="N644" s="3"/>
      <c r="O644" s="3"/>
      <c r="P644" s="3"/>
      <c r="Q644" s="3"/>
      <c r="R644" s="3"/>
      <c r="S644" s="3"/>
      <c r="T644" s="3"/>
      <c r="U644" s="3"/>
      <c r="V644" s="3"/>
      <c r="W644" s="3"/>
    </row>
    <row r="645" spans="1:23">
      <c r="A645" s="3"/>
      <c r="B645" s="3"/>
      <c r="C645" s="13"/>
      <c r="D645" s="13"/>
      <c r="E645" s="13"/>
      <c r="F645" s="13"/>
      <c r="G645" s="3"/>
      <c r="H645" s="3"/>
      <c r="I645" s="3"/>
      <c r="J645" s="3"/>
      <c r="K645" s="3"/>
      <c r="L645" s="3"/>
      <c r="M645" s="3"/>
      <c r="N645" s="3"/>
      <c r="O645" s="3"/>
      <c r="P645" s="3"/>
      <c r="Q645" s="3"/>
      <c r="R645" s="3"/>
      <c r="S645" s="3"/>
      <c r="T645" s="3"/>
      <c r="U645" s="3"/>
      <c r="V645" s="3"/>
      <c r="W645" s="3"/>
    </row>
    <row r="646" spans="1:23">
      <c r="A646" s="3"/>
      <c r="B646" s="3"/>
      <c r="C646" s="13"/>
      <c r="D646" s="13"/>
      <c r="E646" s="13"/>
      <c r="F646" s="13"/>
      <c r="G646" s="3"/>
      <c r="H646" s="3"/>
      <c r="I646" s="3"/>
      <c r="J646" s="3"/>
      <c r="K646" s="3"/>
      <c r="L646" s="3"/>
      <c r="M646" s="3"/>
      <c r="N646" s="3"/>
      <c r="O646" s="3"/>
      <c r="P646" s="3"/>
      <c r="Q646" s="3"/>
      <c r="R646" s="3"/>
      <c r="S646" s="3"/>
      <c r="T646" s="3"/>
      <c r="U646" s="3"/>
      <c r="V646" s="3"/>
      <c r="W646" s="3"/>
    </row>
    <row r="647" spans="1:23">
      <c r="A647" s="3"/>
      <c r="B647" s="3"/>
      <c r="C647" s="13"/>
      <c r="D647" s="13"/>
      <c r="E647" s="13"/>
      <c r="F647" s="13"/>
      <c r="G647" s="3"/>
      <c r="H647" s="3"/>
      <c r="I647" s="3"/>
      <c r="J647" s="3"/>
      <c r="K647" s="3"/>
      <c r="L647" s="3"/>
      <c r="M647" s="3"/>
      <c r="N647" s="3"/>
      <c r="O647" s="3"/>
      <c r="P647" s="3"/>
      <c r="Q647" s="3"/>
      <c r="R647" s="3"/>
      <c r="S647" s="3"/>
      <c r="T647" s="3"/>
      <c r="U647" s="3"/>
      <c r="V647" s="3"/>
      <c r="W647" s="3"/>
    </row>
    <row r="648" spans="1:23">
      <c r="A648" s="3"/>
      <c r="B648" s="3"/>
      <c r="C648" s="13"/>
      <c r="D648" s="13"/>
      <c r="E648" s="13"/>
      <c r="F648" s="13"/>
      <c r="G648" s="3"/>
      <c r="H648" s="3"/>
      <c r="I648" s="3"/>
      <c r="J648" s="3"/>
      <c r="K648" s="3"/>
      <c r="L648" s="3"/>
      <c r="M648" s="3"/>
      <c r="N648" s="3"/>
      <c r="O648" s="3"/>
      <c r="P648" s="3"/>
      <c r="Q648" s="3"/>
      <c r="R648" s="3"/>
      <c r="S648" s="3"/>
      <c r="T648" s="3"/>
      <c r="U648" s="3"/>
      <c r="V648" s="3"/>
      <c r="W648" s="3"/>
    </row>
    <row r="649" spans="1:23">
      <c r="A649" s="3"/>
      <c r="B649" s="3"/>
      <c r="C649" s="13"/>
      <c r="D649" s="13"/>
      <c r="E649" s="13"/>
      <c r="F649" s="13"/>
      <c r="G649" s="3"/>
      <c r="H649" s="3"/>
      <c r="I649" s="3"/>
      <c r="J649" s="3"/>
      <c r="K649" s="3"/>
      <c r="L649" s="3"/>
      <c r="M649" s="3"/>
      <c r="N649" s="3"/>
      <c r="O649" s="3"/>
      <c r="P649" s="3"/>
      <c r="Q649" s="3"/>
      <c r="R649" s="3"/>
      <c r="S649" s="3"/>
      <c r="T649" s="3"/>
      <c r="U649" s="3"/>
      <c r="V649" s="3"/>
      <c r="W649" s="3"/>
    </row>
    <row r="650" spans="1:23">
      <c r="A650" s="3"/>
      <c r="B650" s="3"/>
      <c r="C650" s="13"/>
      <c r="D650" s="13"/>
      <c r="E650" s="13"/>
      <c r="F650" s="13"/>
      <c r="G650" s="3"/>
      <c r="H650" s="3"/>
      <c r="I650" s="3"/>
      <c r="J650" s="3"/>
      <c r="K650" s="3"/>
      <c r="L650" s="3"/>
      <c r="M650" s="3"/>
      <c r="N650" s="3"/>
      <c r="O650" s="3"/>
      <c r="P650" s="3"/>
      <c r="Q650" s="3"/>
      <c r="R650" s="3"/>
      <c r="S650" s="3"/>
      <c r="T650" s="3"/>
      <c r="U650" s="3"/>
      <c r="V650" s="3"/>
      <c r="W650" s="3"/>
    </row>
    <row r="651" spans="1:23">
      <c r="A651" s="3"/>
      <c r="B651" s="3"/>
      <c r="C651" s="13"/>
      <c r="D651" s="13"/>
      <c r="E651" s="13"/>
      <c r="F651" s="13"/>
      <c r="G651" s="3"/>
      <c r="H651" s="3"/>
      <c r="I651" s="3"/>
      <c r="J651" s="3"/>
      <c r="K651" s="3"/>
      <c r="L651" s="3"/>
      <c r="M651" s="3"/>
      <c r="N651" s="3"/>
      <c r="O651" s="3"/>
      <c r="P651" s="3"/>
      <c r="Q651" s="3"/>
      <c r="R651" s="3"/>
      <c r="S651" s="3"/>
      <c r="T651" s="3"/>
      <c r="U651" s="3"/>
      <c r="V651" s="3"/>
      <c r="W651" s="3"/>
    </row>
    <row r="652" spans="1:23">
      <c r="A652" s="3"/>
      <c r="B652" s="3"/>
      <c r="C652" s="13"/>
      <c r="D652" s="13"/>
      <c r="E652" s="13"/>
      <c r="F652" s="13"/>
      <c r="G652" s="3"/>
      <c r="H652" s="3"/>
      <c r="I652" s="3"/>
      <c r="J652" s="3"/>
      <c r="K652" s="3"/>
      <c r="L652" s="3"/>
      <c r="M652" s="3"/>
      <c r="N652" s="3"/>
      <c r="O652" s="3"/>
      <c r="P652" s="3"/>
      <c r="Q652" s="3"/>
      <c r="R652" s="3"/>
      <c r="S652" s="3"/>
      <c r="T652" s="3"/>
      <c r="U652" s="3"/>
      <c r="V652" s="3"/>
      <c r="W652" s="3"/>
    </row>
    <row r="653" spans="1:23">
      <c r="A653" s="3"/>
      <c r="B653" s="3"/>
      <c r="C653" s="13"/>
      <c r="D653" s="13"/>
      <c r="E653" s="13"/>
      <c r="F653" s="13"/>
      <c r="G653" s="3"/>
      <c r="H653" s="3"/>
      <c r="I653" s="3"/>
      <c r="J653" s="3"/>
      <c r="K653" s="3"/>
      <c r="L653" s="3"/>
      <c r="M653" s="3"/>
      <c r="N653" s="3"/>
      <c r="O653" s="3"/>
      <c r="P653" s="3"/>
      <c r="Q653" s="3"/>
      <c r="R653" s="3"/>
      <c r="S653" s="3"/>
      <c r="T653" s="3"/>
      <c r="U653" s="3"/>
      <c r="V653" s="3"/>
      <c r="W653" s="3"/>
    </row>
    <row r="654" spans="1:23">
      <c r="A654" s="3"/>
      <c r="B654" s="3"/>
      <c r="C654" s="13"/>
      <c r="D654" s="13"/>
      <c r="E654" s="13"/>
      <c r="F654" s="13"/>
      <c r="G654" s="3"/>
      <c r="H654" s="3"/>
      <c r="I654" s="3"/>
      <c r="J654" s="3"/>
      <c r="K654" s="3"/>
      <c r="L654" s="3"/>
      <c r="M654" s="3"/>
      <c r="N654" s="3"/>
      <c r="O654" s="3"/>
      <c r="P654" s="3"/>
      <c r="Q654" s="3"/>
      <c r="R654" s="3"/>
      <c r="S654" s="3"/>
      <c r="T654" s="3"/>
      <c r="U654" s="3"/>
      <c r="V654" s="3"/>
      <c r="W654" s="3"/>
    </row>
    <row r="655" spans="1:23">
      <c r="A655" s="3"/>
      <c r="B655" s="3"/>
      <c r="C655" s="13"/>
      <c r="D655" s="13"/>
      <c r="E655" s="13"/>
      <c r="F655" s="13"/>
      <c r="G655" s="3"/>
      <c r="H655" s="3"/>
      <c r="I655" s="3"/>
      <c r="J655" s="3"/>
      <c r="K655" s="3"/>
      <c r="L655" s="3"/>
      <c r="M655" s="3"/>
      <c r="N655" s="3"/>
      <c r="O655" s="3"/>
      <c r="P655" s="3"/>
      <c r="Q655" s="3"/>
      <c r="R655" s="3"/>
      <c r="S655" s="3"/>
      <c r="T655" s="3"/>
      <c r="U655" s="3"/>
      <c r="V655" s="3"/>
      <c r="W655" s="3"/>
    </row>
    <row r="656" spans="1:23">
      <c r="A656" s="3"/>
      <c r="B656" s="3"/>
      <c r="C656" s="13"/>
      <c r="D656" s="13"/>
      <c r="E656" s="13"/>
      <c r="F656" s="13"/>
      <c r="G656" s="3"/>
      <c r="H656" s="3"/>
      <c r="I656" s="3"/>
      <c r="J656" s="3"/>
      <c r="K656" s="3"/>
      <c r="L656" s="3"/>
      <c r="M656" s="3"/>
      <c r="N656" s="3"/>
      <c r="O656" s="3"/>
      <c r="P656" s="3"/>
      <c r="Q656" s="3"/>
      <c r="R656" s="3"/>
      <c r="S656" s="3"/>
      <c r="T656" s="3"/>
      <c r="U656" s="3"/>
      <c r="V656" s="3"/>
      <c r="W656" s="3"/>
    </row>
    <row r="657" spans="1:23">
      <c r="A657" s="3"/>
      <c r="B657" s="3"/>
      <c r="C657" s="13"/>
      <c r="D657" s="13"/>
      <c r="E657" s="13"/>
      <c r="F657" s="13"/>
      <c r="G657" s="3"/>
      <c r="H657" s="3"/>
      <c r="I657" s="3"/>
      <c r="J657" s="3"/>
      <c r="K657" s="3"/>
      <c r="L657" s="3"/>
      <c r="M657" s="3"/>
      <c r="N657" s="3"/>
      <c r="O657" s="3"/>
      <c r="P657" s="3"/>
      <c r="Q657" s="3"/>
      <c r="R657" s="3"/>
      <c r="S657" s="3"/>
      <c r="T657" s="3"/>
      <c r="U657" s="3"/>
      <c r="V657" s="3"/>
      <c r="W657" s="3"/>
    </row>
    <row r="658" spans="1:23">
      <c r="A658" s="3"/>
      <c r="B658" s="3"/>
      <c r="C658" s="13"/>
      <c r="D658" s="13"/>
      <c r="E658" s="13"/>
      <c r="F658" s="13"/>
      <c r="G658" s="3"/>
      <c r="H658" s="3"/>
      <c r="I658" s="3"/>
      <c r="J658" s="3"/>
      <c r="K658" s="3"/>
      <c r="L658" s="3"/>
      <c r="M658" s="3"/>
      <c r="N658" s="3"/>
      <c r="O658" s="3"/>
      <c r="P658" s="3"/>
      <c r="Q658" s="3"/>
      <c r="R658" s="3"/>
      <c r="S658" s="3"/>
      <c r="T658" s="3"/>
      <c r="U658" s="3"/>
      <c r="V658" s="3"/>
      <c r="W658" s="3"/>
    </row>
    <row r="659" spans="1:23">
      <c r="A659" s="3"/>
      <c r="B659" s="3"/>
      <c r="C659" s="13"/>
      <c r="D659" s="13"/>
      <c r="E659" s="13"/>
      <c r="F659" s="13"/>
      <c r="G659" s="3"/>
      <c r="H659" s="3"/>
      <c r="I659" s="3"/>
      <c r="J659" s="3"/>
      <c r="K659" s="3"/>
      <c r="L659" s="3"/>
      <c r="M659" s="3"/>
      <c r="N659" s="3"/>
      <c r="O659" s="3"/>
      <c r="P659" s="3"/>
      <c r="Q659" s="3"/>
      <c r="R659" s="3"/>
      <c r="S659" s="3"/>
      <c r="T659" s="3"/>
      <c r="U659" s="3"/>
      <c r="V659" s="3"/>
      <c r="W659" s="3"/>
    </row>
    <row r="660" spans="1:23">
      <c r="A660" s="3"/>
      <c r="B660" s="3"/>
      <c r="C660" s="13"/>
      <c r="D660" s="13"/>
      <c r="E660" s="13"/>
      <c r="F660" s="13"/>
      <c r="G660" s="3"/>
      <c r="H660" s="3"/>
      <c r="I660" s="3"/>
      <c r="J660" s="3"/>
      <c r="K660" s="3"/>
      <c r="L660" s="3"/>
      <c r="M660" s="3"/>
      <c r="N660" s="3"/>
      <c r="O660" s="3"/>
      <c r="P660" s="3"/>
      <c r="Q660" s="3"/>
      <c r="R660" s="3"/>
      <c r="S660" s="3"/>
      <c r="T660" s="3"/>
      <c r="U660" s="3"/>
      <c r="V660" s="3"/>
      <c r="W660" s="3"/>
    </row>
    <row r="661" spans="1:23">
      <c r="A661" s="3"/>
      <c r="B661" s="3"/>
      <c r="C661" s="13"/>
      <c r="D661" s="13"/>
      <c r="E661" s="13"/>
      <c r="F661" s="13"/>
      <c r="G661" s="3"/>
      <c r="H661" s="3"/>
      <c r="I661" s="3"/>
      <c r="J661" s="3"/>
      <c r="K661" s="3"/>
      <c r="L661" s="3"/>
      <c r="M661" s="3"/>
      <c r="N661" s="3"/>
      <c r="O661" s="3"/>
      <c r="P661" s="3"/>
      <c r="Q661" s="3"/>
      <c r="R661" s="3"/>
      <c r="S661" s="3"/>
      <c r="T661" s="3"/>
      <c r="U661" s="3"/>
      <c r="V661" s="3"/>
      <c r="W661" s="3"/>
    </row>
    <row r="662" spans="1:23">
      <c r="A662" s="3"/>
      <c r="B662" s="3"/>
      <c r="C662" s="13"/>
      <c r="D662" s="13"/>
      <c r="E662" s="13"/>
      <c r="F662" s="13"/>
      <c r="G662" s="3"/>
      <c r="H662" s="3"/>
      <c r="I662" s="3"/>
      <c r="J662" s="3"/>
      <c r="K662" s="3"/>
      <c r="L662" s="3"/>
      <c r="M662" s="3"/>
      <c r="N662" s="3"/>
      <c r="O662" s="3"/>
      <c r="P662" s="3"/>
      <c r="Q662" s="3"/>
      <c r="R662" s="3"/>
      <c r="S662" s="3"/>
      <c r="T662" s="3"/>
      <c r="U662" s="3"/>
      <c r="V662" s="3"/>
      <c r="W662" s="3"/>
    </row>
    <row r="663" spans="1:23">
      <c r="A663" s="3"/>
      <c r="B663" s="3"/>
      <c r="C663" s="13"/>
      <c r="D663" s="13"/>
      <c r="E663" s="13"/>
      <c r="F663" s="13"/>
      <c r="G663" s="3"/>
      <c r="H663" s="3"/>
      <c r="I663" s="3"/>
      <c r="J663" s="3"/>
      <c r="K663" s="3"/>
      <c r="L663" s="3"/>
      <c r="M663" s="3"/>
      <c r="N663" s="3"/>
      <c r="O663" s="3"/>
      <c r="P663" s="3"/>
      <c r="Q663" s="3"/>
      <c r="R663" s="3"/>
      <c r="S663" s="3"/>
      <c r="T663" s="3"/>
      <c r="U663" s="3"/>
      <c r="V663" s="3"/>
      <c r="W663" s="3"/>
    </row>
    <row r="664" spans="1:23">
      <c r="A664" s="3"/>
      <c r="B664" s="3"/>
      <c r="C664" s="13"/>
      <c r="D664" s="13"/>
      <c r="E664" s="13"/>
      <c r="F664" s="13"/>
      <c r="G664" s="3"/>
      <c r="H664" s="3"/>
      <c r="I664" s="3"/>
      <c r="J664" s="3"/>
      <c r="K664" s="3"/>
      <c r="L664" s="3"/>
      <c r="M664" s="3"/>
      <c r="N664" s="3"/>
      <c r="O664" s="3"/>
      <c r="P664" s="3"/>
      <c r="Q664" s="3"/>
      <c r="R664" s="3"/>
      <c r="S664" s="3"/>
      <c r="T664" s="3"/>
      <c r="U664" s="3"/>
      <c r="V664" s="3"/>
      <c r="W664" s="3"/>
    </row>
    <row r="665" spans="1:23">
      <c r="A665" s="3"/>
      <c r="B665" s="3"/>
      <c r="C665" s="13"/>
      <c r="D665" s="13"/>
      <c r="E665" s="13"/>
      <c r="F665" s="13"/>
      <c r="G665" s="3"/>
      <c r="H665" s="3"/>
      <c r="I665" s="3"/>
      <c r="J665" s="3"/>
      <c r="K665" s="3"/>
      <c r="L665" s="3"/>
      <c r="M665" s="3"/>
      <c r="N665" s="3"/>
      <c r="O665" s="3"/>
      <c r="P665" s="3"/>
      <c r="Q665" s="3"/>
      <c r="R665" s="3"/>
      <c r="S665" s="3"/>
      <c r="T665" s="3"/>
      <c r="U665" s="3"/>
      <c r="V665" s="3"/>
      <c r="W665" s="3"/>
    </row>
    <row r="666" spans="1:23">
      <c r="A666" s="3"/>
      <c r="B666" s="3"/>
      <c r="C666" s="13"/>
      <c r="D666" s="13"/>
      <c r="E666" s="13"/>
      <c r="F666" s="13"/>
      <c r="G666" s="3"/>
      <c r="H666" s="3"/>
      <c r="I666" s="3"/>
      <c r="J666" s="3"/>
      <c r="K666" s="3"/>
      <c r="L666" s="3"/>
      <c r="M666" s="3"/>
      <c r="N666" s="3"/>
      <c r="O666" s="3"/>
      <c r="P666" s="3"/>
      <c r="Q666" s="3"/>
      <c r="R666" s="3"/>
      <c r="S666" s="3"/>
      <c r="T666" s="3"/>
      <c r="U666" s="3"/>
      <c r="V666" s="3"/>
      <c r="W666" s="3"/>
    </row>
    <row r="667" spans="1:23">
      <c r="A667" s="3"/>
      <c r="B667" s="3"/>
      <c r="C667" s="13"/>
      <c r="D667" s="13"/>
      <c r="E667" s="13"/>
      <c r="F667" s="13"/>
      <c r="G667" s="3"/>
      <c r="H667" s="3"/>
      <c r="I667" s="3"/>
      <c r="J667" s="3"/>
      <c r="K667" s="3"/>
      <c r="L667" s="3"/>
      <c r="M667" s="3"/>
      <c r="N667" s="3"/>
      <c r="O667" s="3"/>
      <c r="P667" s="3"/>
      <c r="Q667" s="3"/>
      <c r="R667" s="3"/>
      <c r="S667" s="3"/>
      <c r="T667" s="3"/>
      <c r="U667" s="3"/>
      <c r="V667" s="3"/>
      <c r="W667" s="3"/>
    </row>
    <row r="668" spans="1:23">
      <c r="A668" s="3"/>
      <c r="B668" s="3"/>
      <c r="C668" s="13"/>
      <c r="D668" s="13"/>
      <c r="E668" s="13"/>
      <c r="F668" s="13"/>
      <c r="G668" s="3"/>
      <c r="H668" s="3"/>
      <c r="I668" s="3"/>
      <c r="J668" s="3"/>
      <c r="K668" s="3"/>
      <c r="L668" s="3"/>
      <c r="M668" s="3"/>
      <c r="N668" s="3"/>
      <c r="O668" s="3"/>
      <c r="P668" s="3"/>
      <c r="Q668" s="3"/>
      <c r="R668" s="3"/>
      <c r="S668" s="3"/>
      <c r="T668" s="3"/>
      <c r="U668" s="3"/>
      <c r="V668" s="3"/>
      <c r="W668" s="3"/>
    </row>
    <row r="669" spans="1:23">
      <c r="A669" s="3"/>
      <c r="B669" s="3"/>
      <c r="C669" s="13"/>
      <c r="D669" s="13"/>
      <c r="E669" s="13"/>
      <c r="F669" s="13"/>
      <c r="G669" s="3"/>
      <c r="H669" s="3"/>
      <c r="I669" s="3"/>
      <c r="J669" s="3"/>
      <c r="K669" s="3"/>
      <c r="L669" s="3"/>
      <c r="M669" s="3"/>
      <c r="N669" s="3"/>
      <c r="O669" s="3"/>
      <c r="P669" s="3"/>
      <c r="Q669" s="3"/>
      <c r="R669" s="3"/>
      <c r="S669" s="3"/>
      <c r="T669" s="3"/>
      <c r="U669" s="3"/>
      <c r="V669" s="3"/>
      <c r="W669" s="3"/>
    </row>
    <row r="670" spans="1:23">
      <c r="A670" s="3"/>
      <c r="B670" s="3"/>
      <c r="C670" s="13"/>
      <c r="D670" s="13"/>
      <c r="E670" s="13"/>
      <c r="F670" s="13"/>
      <c r="G670" s="3"/>
      <c r="H670" s="3"/>
      <c r="I670" s="3"/>
      <c r="J670" s="3"/>
      <c r="K670" s="3"/>
      <c r="L670" s="3"/>
      <c r="M670" s="3"/>
      <c r="N670" s="3"/>
      <c r="O670" s="3"/>
      <c r="P670" s="3"/>
      <c r="Q670" s="3"/>
      <c r="R670" s="3"/>
      <c r="S670" s="3"/>
      <c r="T670" s="3"/>
      <c r="U670" s="3"/>
      <c r="V670" s="3"/>
      <c r="W670" s="3"/>
    </row>
    <row r="671" spans="1:23">
      <c r="A671" s="3"/>
      <c r="B671" s="3"/>
      <c r="C671" s="13"/>
      <c r="D671" s="13"/>
      <c r="E671" s="13"/>
      <c r="F671" s="13"/>
      <c r="G671" s="3"/>
      <c r="H671" s="3"/>
      <c r="I671" s="3"/>
      <c r="J671" s="3"/>
      <c r="K671" s="3"/>
      <c r="L671" s="3"/>
      <c r="M671" s="3"/>
      <c r="N671" s="3"/>
      <c r="O671" s="3"/>
      <c r="P671" s="3"/>
      <c r="Q671" s="3"/>
      <c r="R671" s="3"/>
      <c r="S671" s="3"/>
      <c r="T671" s="3"/>
      <c r="U671" s="3"/>
      <c r="V671" s="3"/>
      <c r="W671" s="3"/>
    </row>
    <row r="672" spans="1:23">
      <c r="A672" s="3"/>
      <c r="B672" s="3"/>
      <c r="C672" s="13"/>
      <c r="D672" s="13"/>
      <c r="E672" s="13"/>
      <c r="F672" s="13"/>
      <c r="G672" s="3"/>
      <c r="H672" s="3"/>
      <c r="I672" s="3"/>
      <c r="J672" s="3"/>
      <c r="K672" s="3"/>
      <c r="L672" s="3"/>
      <c r="M672" s="3"/>
      <c r="N672" s="3"/>
      <c r="O672" s="3"/>
      <c r="P672" s="3"/>
      <c r="Q672" s="3"/>
      <c r="R672" s="3"/>
      <c r="S672" s="3"/>
      <c r="T672" s="3"/>
      <c r="U672" s="3"/>
      <c r="V672" s="3"/>
      <c r="W672" s="3"/>
    </row>
    <row r="673" spans="1:23">
      <c r="A673" s="3"/>
      <c r="B673" s="3"/>
      <c r="C673" s="13"/>
      <c r="D673" s="13"/>
      <c r="E673" s="13"/>
      <c r="F673" s="13"/>
      <c r="G673" s="3"/>
      <c r="H673" s="3"/>
      <c r="I673" s="3"/>
      <c r="J673" s="3"/>
      <c r="K673" s="3"/>
      <c r="L673" s="3"/>
      <c r="M673" s="3"/>
      <c r="N673" s="3"/>
      <c r="O673" s="3"/>
      <c r="P673" s="3"/>
      <c r="Q673" s="3"/>
      <c r="R673" s="3"/>
      <c r="S673" s="3"/>
      <c r="T673" s="3"/>
      <c r="U673" s="3"/>
      <c r="V673" s="3"/>
      <c r="W673" s="3"/>
    </row>
    <row r="674" spans="1:23">
      <c r="A674" s="3"/>
      <c r="B674" s="3"/>
      <c r="C674" s="13"/>
      <c r="D674" s="13"/>
      <c r="E674" s="13"/>
      <c r="F674" s="13"/>
      <c r="G674" s="3"/>
      <c r="H674" s="3"/>
      <c r="I674" s="3"/>
      <c r="J674" s="3"/>
      <c r="K674" s="3"/>
      <c r="L674" s="3"/>
      <c r="M674" s="3"/>
      <c r="N674" s="3"/>
      <c r="O674" s="3"/>
      <c r="P674" s="3"/>
      <c r="Q674" s="3"/>
      <c r="R674" s="3"/>
      <c r="S674" s="3"/>
      <c r="T674" s="3"/>
      <c r="U674" s="3"/>
      <c r="V674" s="3"/>
      <c r="W674" s="3"/>
    </row>
    <row r="675" spans="1:23">
      <c r="A675" s="3"/>
      <c r="B675" s="3"/>
      <c r="C675" s="13"/>
      <c r="D675" s="13"/>
      <c r="E675" s="13"/>
      <c r="F675" s="13"/>
      <c r="G675" s="3"/>
      <c r="H675" s="3"/>
      <c r="I675" s="3"/>
      <c r="J675" s="3"/>
      <c r="K675" s="3"/>
      <c r="L675" s="3"/>
      <c r="M675" s="3"/>
      <c r="N675" s="3"/>
      <c r="O675" s="3"/>
      <c r="P675" s="3"/>
      <c r="Q675" s="3"/>
      <c r="R675" s="3"/>
      <c r="S675" s="3"/>
      <c r="T675" s="3"/>
      <c r="U675" s="3"/>
      <c r="V675" s="3"/>
      <c r="W675" s="3"/>
    </row>
    <row r="676" spans="1:23">
      <c r="A676" s="3"/>
      <c r="B676" s="3"/>
      <c r="C676" s="13"/>
      <c r="D676" s="13"/>
      <c r="E676" s="13"/>
      <c r="F676" s="13"/>
      <c r="G676" s="3"/>
      <c r="H676" s="3"/>
      <c r="I676" s="3"/>
      <c r="J676" s="3"/>
      <c r="K676" s="3"/>
      <c r="L676" s="3"/>
      <c r="M676" s="3"/>
      <c r="N676" s="3"/>
      <c r="O676" s="3"/>
      <c r="P676" s="3"/>
      <c r="Q676" s="3"/>
      <c r="R676" s="3"/>
      <c r="S676" s="3"/>
      <c r="T676" s="3"/>
      <c r="U676" s="3"/>
      <c r="V676" s="3"/>
      <c r="W676" s="3"/>
    </row>
    <row r="677" spans="1:23">
      <c r="A677" s="3"/>
      <c r="B677" s="3"/>
      <c r="C677" s="13"/>
      <c r="D677" s="13"/>
      <c r="E677" s="13"/>
      <c r="F677" s="13"/>
      <c r="G677" s="3"/>
      <c r="H677" s="3"/>
      <c r="I677" s="3"/>
      <c r="J677" s="3"/>
      <c r="K677" s="3"/>
      <c r="L677" s="3"/>
      <c r="M677" s="3"/>
      <c r="N677" s="3"/>
      <c r="O677" s="3"/>
      <c r="P677" s="3"/>
      <c r="Q677" s="3"/>
      <c r="R677" s="3"/>
      <c r="S677" s="3"/>
      <c r="T677" s="3"/>
      <c r="U677" s="3"/>
      <c r="V677" s="3"/>
      <c r="W677" s="3"/>
    </row>
    <row r="678" spans="1:23">
      <c r="A678" s="3"/>
      <c r="B678" s="3"/>
      <c r="C678" s="13"/>
      <c r="D678" s="13"/>
      <c r="E678" s="13"/>
      <c r="F678" s="13"/>
      <c r="G678" s="3"/>
      <c r="H678" s="3"/>
      <c r="I678" s="3"/>
      <c r="J678" s="3"/>
      <c r="K678" s="3"/>
      <c r="L678" s="3"/>
      <c r="M678" s="3"/>
      <c r="N678" s="3"/>
      <c r="O678" s="3"/>
      <c r="P678" s="3"/>
      <c r="Q678" s="3"/>
      <c r="R678" s="3"/>
      <c r="S678" s="3"/>
      <c r="T678" s="3"/>
      <c r="U678" s="3"/>
      <c r="V678" s="3"/>
      <c r="W678" s="3"/>
    </row>
    <row r="679" spans="1:23">
      <c r="A679" s="3"/>
      <c r="B679" s="3"/>
      <c r="C679" s="13"/>
      <c r="D679" s="13"/>
      <c r="E679" s="13"/>
      <c r="F679" s="13"/>
      <c r="G679" s="3"/>
      <c r="H679" s="3"/>
      <c r="I679" s="3"/>
      <c r="J679" s="3"/>
      <c r="K679" s="3"/>
      <c r="L679" s="3"/>
      <c r="M679" s="3"/>
      <c r="N679" s="3"/>
      <c r="O679" s="3"/>
      <c r="P679" s="3"/>
      <c r="Q679" s="3"/>
      <c r="R679" s="3"/>
      <c r="S679" s="3"/>
      <c r="T679" s="3"/>
      <c r="U679" s="3"/>
      <c r="V679" s="3"/>
      <c r="W679" s="3"/>
    </row>
    <row r="680" spans="1:23">
      <c r="A680" s="3"/>
      <c r="B680" s="3"/>
      <c r="C680" s="13"/>
      <c r="D680" s="13"/>
      <c r="E680" s="13"/>
      <c r="F680" s="13"/>
      <c r="G680" s="3"/>
      <c r="H680" s="3"/>
      <c r="I680" s="3"/>
      <c r="J680" s="3"/>
      <c r="K680" s="3"/>
      <c r="L680" s="3"/>
      <c r="M680" s="3"/>
      <c r="N680" s="3"/>
      <c r="O680" s="3"/>
      <c r="P680" s="3"/>
      <c r="Q680" s="3"/>
      <c r="R680" s="3"/>
      <c r="S680" s="3"/>
      <c r="T680" s="3"/>
      <c r="U680" s="3"/>
      <c r="V680" s="3"/>
      <c r="W680" s="3"/>
    </row>
    <row r="681" spans="1:23">
      <c r="A681" s="3"/>
      <c r="B681" s="3"/>
      <c r="C681" s="13"/>
      <c r="D681" s="13"/>
      <c r="E681" s="13"/>
      <c r="F681" s="13"/>
      <c r="G681" s="3"/>
      <c r="H681" s="3"/>
      <c r="I681" s="3"/>
      <c r="J681" s="3"/>
      <c r="K681" s="3"/>
      <c r="L681" s="3"/>
      <c r="M681" s="3"/>
      <c r="N681" s="3"/>
      <c r="O681" s="3"/>
      <c r="P681" s="3"/>
      <c r="Q681" s="3"/>
      <c r="R681" s="3"/>
      <c r="S681" s="3"/>
      <c r="T681" s="3"/>
      <c r="U681" s="3"/>
      <c r="V681" s="3"/>
      <c r="W681" s="3"/>
    </row>
    <row r="682" spans="1:23">
      <c r="A682" s="3"/>
      <c r="B682" s="3"/>
      <c r="C682" s="13"/>
      <c r="D682" s="13"/>
      <c r="E682" s="13"/>
      <c r="F682" s="13"/>
      <c r="G682" s="3"/>
      <c r="H682" s="3"/>
      <c r="I682" s="3"/>
      <c r="J682" s="3"/>
      <c r="K682" s="3"/>
      <c r="L682" s="3"/>
      <c r="M682" s="3"/>
      <c r="N682" s="3"/>
      <c r="O682" s="3"/>
      <c r="P682" s="3"/>
      <c r="Q682" s="3"/>
      <c r="R682" s="3"/>
      <c r="S682" s="3"/>
      <c r="T682" s="3"/>
      <c r="U682" s="3"/>
      <c r="V682" s="3"/>
      <c r="W682" s="3"/>
    </row>
    <row r="683" spans="1:23">
      <c r="A683" s="3"/>
      <c r="B683" s="3"/>
      <c r="C683" s="13"/>
      <c r="D683" s="13"/>
      <c r="E683" s="13"/>
      <c r="F683" s="13"/>
      <c r="G683" s="3"/>
      <c r="H683" s="3"/>
      <c r="I683" s="3"/>
      <c r="J683" s="3"/>
      <c r="K683" s="3"/>
      <c r="L683" s="3"/>
      <c r="M683" s="3"/>
      <c r="N683" s="3"/>
      <c r="O683" s="3"/>
      <c r="P683" s="3"/>
      <c r="Q683" s="3"/>
      <c r="R683" s="3"/>
      <c r="S683" s="3"/>
      <c r="T683" s="3"/>
      <c r="U683" s="3"/>
      <c r="V683" s="3"/>
      <c r="W683" s="3"/>
    </row>
    <row r="684" spans="1:23">
      <c r="A684" s="3"/>
      <c r="B684" s="3"/>
      <c r="C684" s="13"/>
      <c r="D684" s="13"/>
      <c r="E684" s="13"/>
      <c r="F684" s="13"/>
      <c r="G684" s="3"/>
      <c r="H684" s="3"/>
      <c r="I684" s="3"/>
      <c r="J684" s="3"/>
      <c r="K684" s="3"/>
      <c r="L684" s="3"/>
      <c r="M684" s="3"/>
      <c r="N684" s="3"/>
      <c r="O684" s="3"/>
      <c r="P684" s="3"/>
      <c r="Q684" s="3"/>
      <c r="R684" s="3"/>
      <c r="S684" s="3"/>
      <c r="T684" s="3"/>
      <c r="U684" s="3"/>
      <c r="V684" s="3"/>
      <c r="W684" s="3"/>
    </row>
    <row r="685" spans="1:23">
      <c r="A685" s="3"/>
      <c r="B685" s="3"/>
      <c r="C685" s="13"/>
      <c r="D685" s="13"/>
      <c r="E685" s="13"/>
      <c r="F685" s="13"/>
      <c r="G685" s="3"/>
      <c r="H685" s="3"/>
      <c r="I685" s="3"/>
      <c r="J685" s="3"/>
      <c r="K685" s="3"/>
      <c r="L685" s="3"/>
      <c r="M685" s="3"/>
      <c r="N685" s="3"/>
      <c r="O685" s="3"/>
      <c r="P685" s="3"/>
      <c r="Q685" s="3"/>
      <c r="R685" s="3"/>
      <c r="S685" s="3"/>
      <c r="T685" s="3"/>
      <c r="U685" s="3"/>
      <c r="V685" s="3"/>
      <c r="W685" s="3"/>
    </row>
    <row r="686" spans="1:23">
      <c r="A686" s="3"/>
      <c r="B686" s="3"/>
      <c r="C686" s="13"/>
      <c r="D686" s="13"/>
      <c r="E686" s="13"/>
      <c r="F686" s="13"/>
      <c r="G686" s="3"/>
      <c r="H686" s="3"/>
      <c r="I686" s="3"/>
      <c r="J686" s="3"/>
      <c r="K686" s="3"/>
      <c r="L686" s="3"/>
      <c r="M686" s="3"/>
      <c r="N686" s="3"/>
      <c r="O686" s="3"/>
      <c r="P686" s="3"/>
      <c r="Q686" s="3"/>
      <c r="R686" s="3"/>
      <c r="S686" s="3"/>
      <c r="T686" s="3"/>
      <c r="U686" s="3"/>
      <c r="V686" s="3"/>
      <c r="W686" s="3"/>
    </row>
    <row r="687" spans="1:23">
      <c r="A687" s="3"/>
      <c r="B687" s="3"/>
      <c r="C687" s="13"/>
      <c r="D687" s="13"/>
      <c r="E687" s="13"/>
      <c r="F687" s="13"/>
      <c r="G687" s="3"/>
      <c r="H687" s="3"/>
      <c r="I687" s="3"/>
      <c r="J687" s="3"/>
      <c r="K687" s="3"/>
      <c r="L687" s="3"/>
      <c r="M687" s="3"/>
      <c r="N687" s="3"/>
      <c r="O687" s="3"/>
      <c r="P687" s="3"/>
      <c r="Q687" s="3"/>
      <c r="R687" s="3"/>
      <c r="S687" s="3"/>
      <c r="T687" s="3"/>
      <c r="U687" s="3"/>
      <c r="V687" s="3"/>
      <c r="W687" s="3"/>
    </row>
    <row r="688" spans="1:23">
      <c r="A688" s="3"/>
      <c r="B688" s="3"/>
      <c r="C688" s="13"/>
      <c r="D688" s="13"/>
      <c r="E688" s="13"/>
      <c r="F688" s="13"/>
      <c r="G688" s="3"/>
      <c r="H688" s="3"/>
      <c r="I688" s="3"/>
      <c r="J688" s="3"/>
      <c r="K688" s="3"/>
      <c r="L688" s="3"/>
      <c r="M688" s="3"/>
      <c r="N688" s="3"/>
      <c r="O688" s="3"/>
      <c r="P688" s="3"/>
      <c r="Q688" s="3"/>
      <c r="R688" s="3"/>
      <c r="S688" s="3"/>
      <c r="T688" s="3"/>
      <c r="U688" s="3"/>
      <c r="V688" s="3"/>
      <c r="W688" s="3"/>
    </row>
    <row r="689" spans="1:23">
      <c r="A689" s="3"/>
      <c r="B689" s="3"/>
      <c r="C689" s="13"/>
      <c r="D689" s="13"/>
      <c r="E689" s="13"/>
      <c r="F689" s="13"/>
      <c r="G689" s="3"/>
      <c r="H689" s="3"/>
      <c r="I689" s="3"/>
      <c r="J689" s="3"/>
      <c r="K689" s="3"/>
      <c r="L689" s="3"/>
      <c r="M689" s="3"/>
      <c r="N689" s="3"/>
      <c r="O689" s="3"/>
      <c r="P689" s="3"/>
      <c r="Q689" s="3"/>
      <c r="R689" s="3"/>
      <c r="S689" s="3"/>
      <c r="T689" s="3"/>
      <c r="U689" s="3"/>
      <c r="V689" s="3"/>
      <c r="W689" s="3"/>
    </row>
    <row r="690" spans="1:23">
      <c r="A690" s="3"/>
      <c r="B690" s="3"/>
      <c r="C690" s="13"/>
      <c r="D690" s="13"/>
      <c r="E690" s="13"/>
      <c r="F690" s="13"/>
      <c r="G690" s="3"/>
      <c r="H690" s="3"/>
      <c r="I690" s="3"/>
      <c r="J690" s="3"/>
      <c r="K690" s="3"/>
      <c r="L690" s="3"/>
      <c r="M690" s="3"/>
      <c r="N690" s="3"/>
      <c r="O690" s="3"/>
      <c r="P690" s="3"/>
      <c r="Q690" s="3"/>
      <c r="R690" s="3"/>
      <c r="S690" s="3"/>
      <c r="T690" s="3"/>
      <c r="U690" s="3"/>
      <c r="V690" s="3"/>
      <c r="W690" s="3"/>
    </row>
    <row r="691" spans="1:23">
      <c r="A691" s="3"/>
      <c r="B691" s="3"/>
      <c r="C691" s="13"/>
      <c r="D691" s="13"/>
      <c r="E691" s="13"/>
      <c r="F691" s="13"/>
      <c r="G691" s="3"/>
      <c r="H691" s="3"/>
      <c r="I691" s="3"/>
      <c r="J691" s="3"/>
      <c r="K691" s="3"/>
      <c r="L691" s="3"/>
      <c r="M691" s="3"/>
      <c r="N691" s="3"/>
      <c r="O691" s="3"/>
      <c r="P691" s="3"/>
      <c r="Q691" s="3"/>
      <c r="R691" s="3"/>
      <c r="S691" s="3"/>
      <c r="T691" s="3"/>
      <c r="U691" s="3"/>
      <c r="V691" s="3"/>
      <c r="W691" s="3"/>
    </row>
    <row r="692" spans="1:23">
      <c r="A692" s="3"/>
      <c r="B692" s="3"/>
      <c r="C692" s="13"/>
      <c r="D692" s="13"/>
      <c r="E692" s="13"/>
      <c r="F692" s="13"/>
      <c r="G692" s="3"/>
      <c r="H692" s="3"/>
      <c r="I692" s="3"/>
      <c r="J692" s="3"/>
      <c r="K692" s="3"/>
      <c r="L692" s="3"/>
      <c r="M692" s="3"/>
      <c r="N692" s="3"/>
      <c r="O692" s="3"/>
      <c r="P692" s="3"/>
      <c r="Q692" s="3"/>
      <c r="R692" s="3"/>
      <c r="S692" s="3"/>
      <c r="T692" s="3"/>
      <c r="U692" s="3"/>
      <c r="V692" s="3"/>
      <c r="W692" s="3"/>
    </row>
    <row r="693" spans="1:23">
      <c r="A693" s="3"/>
      <c r="B693" s="3"/>
      <c r="C693" s="13"/>
      <c r="D693" s="13"/>
      <c r="E693" s="13"/>
      <c r="F693" s="13"/>
      <c r="G693" s="3"/>
      <c r="H693" s="3"/>
      <c r="I693" s="3"/>
      <c r="J693" s="3"/>
      <c r="K693" s="3"/>
      <c r="L693" s="3"/>
      <c r="M693" s="3"/>
      <c r="N693" s="3"/>
      <c r="O693" s="3"/>
      <c r="P693" s="3"/>
      <c r="Q693" s="3"/>
      <c r="R693" s="3"/>
      <c r="S693" s="3"/>
      <c r="T693" s="3"/>
      <c r="U693" s="3"/>
      <c r="V693" s="3"/>
      <c r="W693" s="3"/>
    </row>
    <row r="694" spans="1:23">
      <c r="A694" s="3"/>
      <c r="B694" s="3"/>
      <c r="C694" s="13"/>
      <c r="D694" s="13"/>
      <c r="E694" s="13"/>
      <c r="F694" s="13"/>
      <c r="G694" s="3"/>
      <c r="H694" s="3"/>
      <c r="I694" s="3"/>
      <c r="J694" s="3"/>
      <c r="K694" s="3"/>
      <c r="L694" s="3"/>
      <c r="M694" s="3"/>
      <c r="N694" s="3"/>
      <c r="O694" s="3"/>
      <c r="P694" s="3"/>
      <c r="Q694" s="3"/>
      <c r="R694" s="3"/>
      <c r="S694" s="3"/>
      <c r="T694" s="3"/>
      <c r="U694" s="3"/>
      <c r="V694" s="3"/>
      <c r="W694" s="3"/>
    </row>
    <row r="695" spans="1:23">
      <c r="A695" s="3"/>
      <c r="B695" s="3"/>
      <c r="C695" s="13"/>
      <c r="D695" s="13"/>
      <c r="E695" s="13"/>
      <c r="F695" s="13"/>
      <c r="G695" s="3"/>
      <c r="H695" s="3"/>
      <c r="I695" s="3"/>
      <c r="J695" s="3"/>
      <c r="K695" s="3"/>
      <c r="L695" s="3"/>
      <c r="M695" s="3"/>
      <c r="N695" s="3"/>
      <c r="O695" s="3"/>
      <c r="P695" s="3"/>
      <c r="Q695" s="3"/>
      <c r="R695" s="3"/>
      <c r="S695" s="3"/>
      <c r="T695" s="3"/>
      <c r="U695" s="3"/>
      <c r="V695" s="3"/>
      <c r="W695" s="3"/>
    </row>
    <row r="696" spans="1:23">
      <c r="A696" s="3"/>
      <c r="B696" s="3"/>
      <c r="C696" s="13"/>
      <c r="D696" s="13"/>
      <c r="E696" s="13"/>
      <c r="F696" s="13"/>
      <c r="G696" s="3"/>
      <c r="H696" s="3"/>
      <c r="I696" s="3"/>
      <c r="J696" s="3"/>
      <c r="K696" s="3"/>
      <c r="L696" s="3"/>
      <c r="M696" s="3"/>
      <c r="N696" s="3"/>
      <c r="O696" s="3"/>
      <c r="P696" s="3"/>
      <c r="Q696" s="3"/>
      <c r="R696" s="3"/>
      <c r="S696" s="3"/>
      <c r="T696" s="3"/>
      <c r="U696" s="3"/>
      <c r="V696" s="3"/>
      <c r="W696" s="3"/>
    </row>
    <row r="697" spans="1:23">
      <c r="A697" s="3"/>
      <c r="B697" s="3"/>
      <c r="C697" s="13"/>
      <c r="D697" s="13"/>
      <c r="E697" s="13"/>
      <c r="F697" s="13"/>
      <c r="G697" s="3"/>
      <c r="H697" s="3"/>
      <c r="I697" s="3"/>
      <c r="J697" s="3"/>
      <c r="K697" s="3"/>
      <c r="L697" s="3"/>
      <c r="M697" s="3"/>
      <c r="N697" s="3"/>
      <c r="O697" s="3"/>
      <c r="P697" s="3"/>
      <c r="Q697" s="3"/>
      <c r="R697" s="3"/>
      <c r="S697" s="3"/>
      <c r="T697" s="3"/>
      <c r="U697" s="3"/>
      <c r="V697" s="3"/>
      <c r="W697" s="3"/>
    </row>
    <row r="698" spans="1:23">
      <c r="A698" s="3"/>
      <c r="B698" s="3"/>
      <c r="C698" s="13"/>
      <c r="D698" s="13"/>
      <c r="E698" s="13"/>
      <c r="F698" s="13"/>
      <c r="G698" s="3"/>
      <c r="H698" s="3"/>
      <c r="I698" s="3"/>
      <c r="J698" s="3"/>
      <c r="K698" s="3"/>
      <c r="L698" s="3"/>
      <c r="M698" s="3"/>
      <c r="N698" s="3"/>
      <c r="O698" s="3"/>
      <c r="P698" s="3"/>
      <c r="Q698" s="3"/>
      <c r="R698" s="3"/>
      <c r="S698" s="3"/>
      <c r="T698" s="3"/>
      <c r="U698" s="3"/>
      <c r="V698" s="3"/>
      <c r="W698" s="3"/>
    </row>
    <row r="699" spans="1:23">
      <c r="A699" s="3"/>
      <c r="B699" s="3"/>
      <c r="C699" s="13"/>
      <c r="D699" s="13"/>
      <c r="E699" s="13"/>
      <c r="F699" s="13"/>
      <c r="G699" s="3"/>
      <c r="H699" s="3"/>
      <c r="I699" s="3"/>
      <c r="J699" s="3"/>
      <c r="K699" s="3"/>
      <c r="L699" s="3"/>
      <c r="M699" s="3"/>
      <c r="N699" s="3"/>
      <c r="O699" s="3"/>
      <c r="P699" s="3"/>
      <c r="Q699" s="3"/>
      <c r="R699" s="3"/>
      <c r="S699" s="3"/>
      <c r="T699" s="3"/>
      <c r="U699" s="3"/>
      <c r="V699" s="3"/>
      <c r="W699" s="3"/>
    </row>
    <row r="700" spans="1:23">
      <c r="A700" s="3"/>
      <c r="B700" s="3"/>
      <c r="C700" s="13"/>
      <c r="D700" s="13"/>
      <c r="E700" s="13"/>
      <c r="F700" s="13"/>
      <c r="G700" s="3"/>
      <c r="H700" s="3"/>
      <c r="I700" s="3"/>
      <c r="J700" s="3"/>
      <c r="K700" s="3"/>
      <c r="L700" s="3"/>
      <c r="M700" s="3"/>
      <c r="N700" s="3"/>
      <c r="O700" s="3"/>
      <c r="P700" s="3"/>
      <c r="Q700" s="3"/>
      <c r="R700" s="3"/>
      <c r="S700" s="3"/>
      <c r="T700" s="3"/>
      <c r="U700" s="3"/>
      <c r="V700" s="3"/>
      <c r="W700" s="3"/>
    </row>
    <row r="701" spans="1:23">
      <c r="A701" s="3"/>
      <c r="B701" s="3"/>
      <c r="C701" s="13"/>
      <c r="D701" s="13"/>
      <c r="E701" s="13"/>
      <c r="F701" s="13"/>
      <c r="G701" s="3"/>
      <c r="H701" s="3"/>
      <c r="I701" s="3"/>
      <c r="J701" s="3"/>
      <c r="K701" s="3"/>
      <c r="L701" s="3"/>
      <c r="M701" s="3"/>
      <c r="N701" s="3"/>
      <c r="O701" s="3"/>
      <c r="P701" s="3"/>
      <c r="Q701" s="3"/>
      <c r="R701" s="3"/>
      <c r="S701" s="3"/>
      <c r="T701" s="3"/>
      <c r="U701" s="3"/>
      <c r="V701" s="3"/>
      <c r="W701" s="3"/>
    </row>
    <row r="702" spans="1:23">
      <c r="A702" s="3"/>
      <c r="B702" s="3"/>
      <c r="C702" s="13"/>
      <c r="D702" s="13"/>
      <c r="E702" s="13"/>
      <c r="F702" s="13"/>
      <c r="G702" s="3"/>
      <c r="H702" s="3"/>
      <c r="I702" s="3"/>
      <c r="J702" s="3"/>
      <c r="K702" s="3"/>
      <c r="L702" s="3"/>
      <c r="M702" s="3"/>
      <c r="N702" s="3"/>
      <c r="O702" s="3"/>
      <c r="P702" s="3"/>
      <c r="Q702" s="3"/>
      <c r="R702" s="3"/>
      <c r="S702" s="3"/>
      <c r="T702" s="3"/>
      <c r="U702" s="3"/>
      <c r="V702" s="3"/>
      <c r="W702" s="3"/>
    </row>
    <row r="703" spans="1:23">
      <c r="A703" s="3"/>
      <c r="B703" s="3"/>
      <c r="C703" s="13"/>
      <c r="D703" s="13"/>
      <c r="E703" s="13"/>
      <c r="F703" s="13"/>
      <c r="G703" s="3"/>
      <c r="H703" s="3"/>
      <c r="I703" s="3"/>
      <c r="J703" s="3"/>
      <c r="K703" s="3"/>
      <c r="L703" s="3"/>
      <c r="M703" s="3"/>
      <c r="N703" s="3"/>
      <c r="O703" s="3"/>
      <c r="P703" s="3"/>
      <c r="Q703" s="3"/>
      <c r="R703" s="3"/>
      <c r="S703" s="3"/>
      <c r="T703" s="3"/>
      <c r="U703" s="3"/>
      <c r="V703" s="3"/>
      <c r="W703" s="3"/>
    </row>
    <row r="704" spans="1:23">
      <c r="A704" s="3"/>
      <c r="B704" s="3"/>
      <c r="C704" s="13"/>
      <c r="D704" s="13"/>
      <c r="E704" s="13"/>
      <c r="F704" s="13"/>
      <c r="G704" s="3"/>
      <c r="H704" s="3"/>
      <c r="I704" s="3"/>
      <c r="J704" s="3"/>
      <c r="K704" s="3"/>
      <c r="L704" s="3"/>
      <c r="M704" s="3"/>
      <c r="N704" s="3"/>
      <c r="O704" s="3"/>
      <c r="P704" s="3"/>
      <c r="Q704" s="3"/>
      <c r="R704" s="3"/>
      <c r="S704" s="3"/>
      <c r="T704" s="3"/>
      <c r="U704" s="3"/>
      <c r="V704" s="3"/>
      <c r="W704" s="3"/>
    </row>
    <row r="705" spans="1:23">
      <c r="A705" s="3"/>
      <c r="B705" s="3"/>
      <c r="C705" s="13"/>
      <c r="D705" s="13"/>
      <c r="E705" s="13"/>
      <c r="F705" s="13"/>
      <c r="G705" s="3"/>
      <c r="H705" s="3"/>
      <c r="I705" s="3"/>
      <c r="J705" s="3"/>
      <c r="K705" s="3"/>
      <c r="L705" s="3"/>
      <c r="M705" s="3"/>
      <c r="N705" s="3"/>
      <c r="O705" s="3"/>
      <c r="P705" s="3"/>
      <c r="Q705" s="3"/>
      <c r="R705" s="3"/>
      <c r="S705" s="3"/>
      <c r="T705" s="3"/>
      <c r="U705" s="3"/>
      <c r="V705" s="3"/>
      <c r="W705" s="3"/>
    </row>
    <row r="706" spans="1:23">
      <c r="A706" s="3"/>
      <c r="B706" s="3"/>
      <c r="C706" s="13"/>
      <c r="D706" s="13"/>
      <c r="E706" s="13"/>
      <c r="F706" s="13"/>
      <c r="G706" s="3"/>
      <c r="H706" s="3"/>
      <c r="I706" s="3"/>
      <c r="J706" s="3"/>
      <c r="K706" s="3"/>
      <c r="L706" s="3"/>
      <c r="M706" s="3"/>
      <c r="N706" s="3"/>
      <c r="O706" s="3"/>
      <c r="P706" s="3"/>
      <c r="Q706" s="3"/>
      <c r="R706" s="3"/>
      <c r="S706" s="3"/>
      <c r="T706" s="3"/>
      <c r="U706" s="3"/>
      <c r="V706" s="3"/>
      <c r="W706" s="3"/>
    </row>
    <row r="707" spans="1:23">
      <c r="A707" s="3"/>
      <c r="B707" s="3"/>
      <c r="C707" s="13"/>
      <c r="D707" s="13"/>
      <c r="E707" s="13"/>
      <c r="F707" s="13"/>
      <c r="G707" s="3"/>
      <c r="H707" s="3"/>
      <c r="I707" s="3"/>
      <c r="J707" s="3"/>
      <c r="K707" s="3"/>
      <c r="L707" s="3"/>
      <c r="M707" s="3"/>
      <c r="N707" s="3"/>
      <c r="O707" s="3"/>
      <c r="P707" s="3"/>
      <c r="Q707" s="3"/>
      <c r="R707" s="3"/>
      <c r="S707" s="3"/>
      <c r="T707" s="3"/>
      <c r="U707" s="3"/>
      <c r="V707" s="3"/>
      <c r="W707" s="3"/>
    </row>
    <row r="708" spans="1:23">
      <c r="A708" s="3"/>
      <c r="B708" s="3"/>
      <c r="C708" s="13"/>
      <c r="D708" s="13"/>
      <c r="E708" s="13"/>
      <c r="F708" s="13"/>
      <c r="G708" s="3"/>
      <c r="H708" s="3"/>
      <c r="I708" s="3"/>
      <c r="J708" s="3"/>
      <c r="K708" s="3"/>
      <c r="L708" s="3"/>
      <c r="M708" s="3"/>
      <c r="N708" s="3"/>
      <c r="O708" s="3"/>
      <c r="P708" s="3"/>
      <c r="Q708" s="3"/>
      <c r="R708" s="3"/>
      <c r="S708" s="3"/>
      <c r="T708" s="3"/>
      <c r="U708" s="3"/>
      <c r="V708" s="3"/>
      <c r="W708" s="3"/>
    </row>
    <row r="709" spans="1:23">
      <c r="A709" s="3"/>
      <c r="B709" s="3"/>
      <c r="C709" s="13"/>
      <c r="D709" s="13"/>
      <c r="E709" s="13"/>
      <c r="F709" s="13"/>
      <c r="G709" s="3"/>
      <c r="H709" s="3"/>
      <c r="I709" s="3"/>
      <c r="J709" s="3"/>
      <c r="K709" s="3"/>
      <c r="L709" s="3"/>
      <c r="M709" s="3"/>
      <c r="N709" s="3"/>
      <c r="O709" s="3"/>
      <c r="P709" s="3"/>
      <c r="Q709" s="3"/>
      <c r="R709" s="3"/>
      <c r="S709" s="3"/>
      <c r="T709" s="3"/>
      <c r="U709" s="3"/>
      <c r="V709" s="3"/>
      <c r="W709" s="3"/>
    </row>
    <row r="710" spans="1:23">
      <c r="A710" s="3"/>
      <c r="B710" s="3"/>
      <c r="C710" s="13"/>
      <c r="D710" s="13"/>
      <c r="E710" s="13"/>
      <c r="F710" s="13"/>
      <c r="G710" s="3"/>
      <c r="H710" s="3"/>
      <c r="I710" s="3"/>
      <c r="J710" s="3"/>
      <c r="K710" s="3"/>
      <c r="L710" s="3"/>
      <c r="M710" s="3"/>
      <c r="N710" s="3"/>
      <c r="O710" s="3"/>
      <c r="P710" s="3"/>
      <c r="Q710" s="3"/>
      <c r="R710" s="3"/>
      <c r="S710" s="3"/>
      <c r="T710" s="3"/>
      <c r="U710" s="3"/>
      <c r="V710" s="3"/>
      <c r="W710" s="3"/>
    </row>
    <row r="711" spans="1:23">
      <c r="A711" s="3"/>
      <c r="B711" s="3"/>
      <c r="C711" s="13"/>
      <c r="D711" s="13"/>
      <c r="E711" s="13"/>
      <c r="F711" s="13"/>
      <c r="G711" s="3"/>
      <c r="H711" s="3"/>
      <c r="I711" s="3"/>
      <c r="J711" s="3"/>
      <c r="K711" s="3"/>
      <c r="L711" s="3"/>
      <c r="M711" s="3"/>
      <c r="N711" s="3"/>
      <c r="O711" s="3"/>
      <c r="P711" s="3"/>
      <c r="Q711" s="3"/>
      <c r="R711" s="3"/>
      <c r="S711" s="3"/>
      <c r="T711" s="3"/>
      <c r="U711" s="3"/>
      <c r="V711" s="3"/>
      <c r="W711" s="3"/>
    </row>
    <row r="712" spans="1:23">
      <c r="A712" s="3"/>
      <c r="B712" s="3"/>
      <c r="C712" s="13"/>
      <c r="D712" s="13"/>
      <c r="E712" s="13"/>
      <c r="F712" s="13"/>
      <c r="G712" s="3"/>
      <c r="H712" s="3"/>
      <c r="I712" s="3"/>
      <c r="J712" s="3"/>
      <c r="K712" s="3"/>
      <c r="L712" s="3"/>
      <c r="M712" s="3"/>
      <c r="N712" s="3"/>
      <c r="O712" s="3"/>
      <c r="P712" s="3"/>
      <c r="Q712" s="3"/>
      <c r="R712" s="3"/>
      <c r="S712" s="3"/>
      <c r="T712" s="3"/>
      <c r="U712" s="3"/>
      <c r="V712" s="3"/>
      <c r="W712" s="3"/>
    </row>
    <row r="713" spans="1:23">
      <c r="A713" s="3"/>
      <c r="B713" s="3"/>
      <c r="C713" s="13"/>
      <c r="D713" s="13"/>
      <c r="E713" s="13"/>
      <c r="F713" s="13"/>
      <c r="G713" s="3"/>
      <c r="H713" s="3"/>
      <c r="I713" s="3"/>
      <c r="J713" s="3"/>
      <c r="K713" s="3"/>
      <c r="L713" s="3"/>
      <c r="M713" s="3"/>
      <c r="N713" s="3"/>
      <c r="O713" s="3"/>
      <c r="P713" s="3"/>
      <c r="Q713" s="3"/>
      <c r="R713" s="3"/>
      <c r="S713" s="3"/>
      <c r="T713" s="3"/>
      <c r="U713" s="3"/>
      <c r="V713" s="3"/>
      <c r="W713" s="3"/>
    </row>
    <row r="714" spans="1:23">
      <c r="A714" s="3"/>
      <c r="B714" s="3"/>
      <c r="C714" s="13"/>
      <c r="D714" s="13"/>
      <c r="E714" s="13"/>
      <c r="F714" s="13"/>
      <c r="G714" s="3"/>
      <c r="H714" s="3"/>
      <c r="I714" s="3"/>
      <c r="J714" s="3"/>
      <c r="K714" s="3"/>
      <c r="L714" s="3"/>
      <c r="M714" s="3"/>
      <c r="N714" s="3"/>
      <c r="O714" s="3"/>
      <c r="P714" s="3"/>
      <c r="Q714" s="3"/>
      <c r="R714" s="3"/>
      <c r="S714" s="3"/>
      <c r="T714" s="3"/>
      <c r="U714" s="3"/>
      <c r="V714" s="3"/>
      <c r="W714" s="3"/>
    </row>
    <row r="715" spans="1:23">
      <c r="A715" s="3"/>
      <c r="B715" s="3"/>
      <c r="C715" s="13"/>
      <c r="D715" s="13"/>
      <c r="E715" s="13"/>
      <c r="F715" s="13"/>
      <c r="G715" s="3"/>
      <c r="H715" s="3"/>
      <c r="I715" s="3"/>
      <c r="J715" s="3"/>
      <c r="K715" s="3"/>
      <c r="L715" s="3"/>
      <c r="M715" s="3"/>
      <c r="N715" s="3"/>
      <c r="O715" s="3"/>
      <c r="P715" s="3"/>
      <c r="Q715" s="3"/>
      <c r="R715" s="3"/>
      <c r="S715" s="3"/>
      <c r="T715" s="3"/>
      <c r="U715" s="3"/>
      <c r="V715" s="3"/>
      <c r="W715" s="3"/>
    </row>
    <row r="716" spans="1:23">
      <c r="A716" s="3"/>
      <c r="B716" s="3"/>
      <c r="C716" s="13"/>
      <c r="D716" s="13"/>
      <c r="E716" s="13"/>
      <c r="F716" s="13"/>
      <c r="G716" s="3"/>
      <c r="H716" s="3"/>
      <c r="I716" s="3"/>
      <c r="J716" s="3"/>
      <c r="K716" s="3"/>
      <c r="L716" s="3"/>
      <c r="M716" s="3"/>
      <c r="N716" s="3"/>
      <c r="O716" s="3"/>
      <c r="P716" s="3"/>
      <c r="Q716" s="3"/>
      <c r="R716" s="3"/>
      <c r="S716" s="3"/>
      <c r="T716" s="3"/>
      <c r="U716" s="3"/>
      <c r="V716" s="3"/>
      <c r="W716" s="3"/>
    </row>
    <row r="717" spans="1:23">
      <c r="A717" s="3"/>
      <c r="B717" s="3"/>
      <c r="C717" s="13"/>
      <c r="D717" s="13"/>
      <c r="E717" s="13"/>
      <c r="F717" s="13"/>
      <c r="G717" s="3"/>
      <c r="H717" s="3"/>
      <c r="I717" s="3"/>
      <c r="J717" s="3"/>
      <c r="K717" s="3"/>
      <c r="L717" s="3"/>
      <c r="M717" s="3"/>
      <c r="N717" s="3"/>
      <c r="O717" s="3"/>
      <c r="P717" s="3"/>
      <c r="Q717" s="3"/>
      <c r="R717" s="3"/>
      <c r="S717" s="3"/>
      <c r="T717" s="3"/>
      <c r="U717" s="3"/>
      <c r="V717" s="3"/>
      <c r="W717" s="3"/>
    </row>
    <row r="718" spans="1:23">
      <c r="A718" s="3"/>
      <c r="B718" s="3"/>
      <c r="C718" s="13"/>
      <c r="D718" s="13"/>
      <c r="E718" s="13"/>
      <c r="F718" s="13"/>
      <c r="G718" s="3"/>
      <c r="H718" s="3"/>
      <c r="I718" s="3"/>
      <c r="J718" s="3"/>
      <c r="K718" s="3"/>
      <c r="L718" s="3"/>
      <c r="M718" s="3"/>
      <c r="N718" s="3"/>
      <c r="O718" s="3"/>
      <c r="P718" s="3"/>
      <c r="Q718" s="3"/>
      <c r="R718" s="3"/>
      <c r="S718" s="3"/>
      <c r="T718" s="3"/>
      <c r="U718" s="3"/>
      <c r="V718" s="3"/>
      <c r="W718" s="3"/>
    </row>
    <row r="719" spans="1:23">
      <c r="A719" s="3"/>
      <c r="B719" s="3"/>
      <c r="C719" s="13"/>
      <c r="D719" s="13"/>
      <c r="E719" s="13"/>
      <c r="F719" s="13"/>
      <c r="G719" s="3"/>
      <c r="H719" s="3"/>
      <c r="I719" s="3"/>
      <c r="J719" s="3"/>
      <c r="K719" s="3"/>
      <c r="L719" s="3"/>
      <c r="M719" s="3"/>
      <c r="N719" s="3"/>
      <c r="O719" s="3"/>
      <c r="P719" s="3"/>
      <c r="Q719" s="3"/>
      <c r="R719" s="3"/>
      <c r="S719" s="3"/>
      <c r="T719" s="3"/>
      <c r="U719" s="3"/>
      <c r="V719" s="3"/>
      <c r="W719" s="3"/>
    </row>
    <row r="720" spans="1:23">
      <c r="A720" s="3"/>
      <c r="B720" s="3"/>
      <c r="C720" s="13"/>
      <c r="D720" s="13"/>
      <c r="E720" s="13"/>
      <c r="F720" s="13"/>
      <c r="G720" s="3"/>
      <c r="H720" s="3"/>
      <c r="I720" s="3"/>
      <c r="J720" s="3"/>
      <c r="K720" s="3"/>
      <c r="L720" s="3"/>
      <c r="M720" s="3"/>
      <c r="N720" s="3"/>
      <c r="O720" s="3"/>
      <c r="P720" s="3"/>
      <c r="Q720" s="3"/>
      <c r="R720" s="3"/>
      <c r="S720" s="3"/>
      <c r="T720" s="3"/>
      <c r="U720" s="3"/>
      <c r="V720" s="3"/>
      <c r="W720" s="3"/>
    </row>
    <row r="721" spans="1:23">
      <c r="A721" s="3"/>
      <c r="B721" s="3"/>
      <c r="C721" s="13"/>
      <c r="D721" s="13"/>
      <c r="E721" s="13"/>
      <c r="F721" s="13"/>
      <c r="G721" s="3"/>
      <c r="H721" s="3"/>
      <c r="I721" s="3"/>
      <c r="J721" s="3"/>
      <c r="K721" s="3"/>
      <c r="L721" s="3"/>
      <c r="M721" s="3"/>
      <c r="N721" s="3"/>
      <c r="O721" s="3"/>
      <c r="P721" s="3"/>
      <c r="Q721" s="3"/>
      <c r="R721" s="3"/>
      <c r="S721" s="3"/>
      <c r="T721" s="3"/>
      <c r="U721" s="3"/>
      <c r="V721" s="3"/>
      <c r="W721" s="3"/>
    </row>
    <row r="722" spans="1:23">
      <c r="A722" s="3"/>
      <c r="B722" s="3"/>
      <c r="C722" s="13"/>
      <c r="D722" s="13"/>
      <c r="E722" s="13"/>
      <c r="F722" s="13"/>
      <c r="G722" s="3"/>
      <c r="H722" s="3"/>
      <c r="I722" s="3"/>
      <c r="J722" s="3"/>
      <c r="K722" s="3"/>
      <c r="L722" s="3"/>
      <c r="M722" s="3"/>
      <c r="N722" s="3"/>
      <c r="O722" s="3"/>
      <c r="P722" s="3"/>
      <c r="Q722" s="3"/>
      <c r="R722" s="3"/>
      <c r="S722" s="3"/>
      <c r="T722" s="3"/>
      <c r="U722" s="3"/>
      <c r="V722" s="3"/>
      <c r="W722" s="3"/>
    </row>
    <row r="723" spans="1:23">
      <c r="A723" s="3"/>
      <c r="B723" s="3"/>
      <c r="C723" s="13"/>
      <c r="D723" s="13"/>
      <c r="E723" s="13"/>
      <c r="F723" s="13"/>
      <c r="G723" s="3"/>
      <c r="H723" s="3"/>
      <c r="I723" s="3"/>
      <c r="J723" s="3"/>
      <c r="K723" s="3"/>
      <c r="L723" s="3"/>
      <c r="M723" s="3"/>
      <c r="N723" s="3"/>
      <c r="O723" s="3"/>
      <c r="P723" s="3"/>
      <c r="Q723" s="3"/>
      <c r="R723" s="3"/>
      <c r="S723" s="3"/>
      <c r="T723" s="3"/>
      <c r="U723" s="3"/>
      <c r="V723" s="3"/>
      <c r="W723" s="3"/>
    </row>
    <row r="724" spans="1:23">
      <c r="A724" s="3"/>
      <c r="B724" s="3"/>
      <c r="C724" s="13"/>
      <c r="D724" s="13"/>
      <c r="E724" s="13"/>
      <c r="F724" s="13"/>
      <c r="G724" s="3"/>
      <c r="H724" s="3"/>
      <c r="I724" s="3"/>
      <c r="J724" s="3"/>
      <c r="K724" s="3"/>
      <c r="L724" s="3"/>
      <c r="M724" s="3"/>
      <c r="N724" s="3"/>
      <c r="O724" s="3"/>
      <c r="P724" s="3"/>
      <c r="Q724" s="3"/>
      <c r="R724" s="3"/>
      <c r="S724" s="3"/>
      <c r="T724" s="3"/>
      <c r="U724" s="3"/>
      <c r="V724" s="3"/>
      <c r="W724" s="3"/>
    </row>
    <row r="725" spans="1:23">
      <c r="A725" s="3"/>
      <c r="B725" s="3"/>
      <c r="C725" s="13"/>
      <c r="D725" s="13"/>
      <c r="E725" s="13"/>
      <c r="F725" s="13"/>
      <c r="G725" s="3"/>
      <c r="H725" s="3"/>
      <c r="I725" s="3"/>
      <c r="J725" s="3"/>
      <c r="K725" s="3"/>
      <c r="L725" s="3"/>
      <c r="M725" s="3"/>
      <c r="N725" s="3"/>
      <c r="O725" s="3"/>
      <c r="P725" s="3"/>
      <c r="Q725" s="3"/>
      <c r="R725" s="3"/>
      <c r="S725" s="3"/>
      <c r="T725" s="3"/>
      <c r="U725" s="3"/>
      <c r="V725" s="3"/>
      <c r="W725" s="3"/>
    </row>
    <row r="726" spans="1:23">
      <c r="A726" s="3"/>
      <c r="B726" s="3"/>
      <c r="C726" s="13"/>
      <c r="D726" s="13"/>
      <c r="E726" s="13"/>
      <c r="F726" s="13"/>
      <c r="G726" s="3"/>
      <c r="H726" s="3"/>
      <c r="I726" s="3"/>
      <c r="J726" s="3"/>
      <c r="K726" s="3"/>
      <c r="L726" s="3"/>
      <c r="M726" s="3"/>
      <c r="N726" s="3"/>
      <c r="O726" s="3"/>
      <c r="P726" s="3"/>
      <c r="Q726" s="3"/>
      <c r="R726" s="3"/>
      <c r="S726" s="3"/>
      <c r="T726" s="3"/>
      <c r="U726" s="3"/>
      <c r="V726" s="3"/>
      <c r="W726" s="3"/>
    </row>
    <row r="727" spans="1:23">
      <c r="A727" s="3"/>
      <c r="B727" s="3"/>
      <c r="C727" s="13"/>
      <c r="D727" s="13"/>
      <c r="E727" s="13"/>
      <c r="F727" s="13"/>
      <c r="G727" s="3"/>
      <c r="H727" s="3"/>
      <c r="I727" s="3"/>
      <c r="J727" s="3"/>
      <c r="K727" s="3"/>
      <c r="L727" s="3"/>
      <c r="M727" s="3"/>
      <c r="N727" s="3"/>
      <c r="O727" s="3"/>
      <c r="P727" s="3"/>
      <c r="Q727" s="3"/>
      <c r="R727" s="3"/>
      <c r="S727" s="3"/>
      <c r="T727" s="3"/>
      <c r="U727" s="3"/>
      <c r="V727" s="3"/>
      <c r="W727" s="3"/>
    </row>
    <row r="728" spans="1:23">
      <c r="A728" s="3"/>
      <c r="B728" s="3"/>
      <c r="C728" s="13"/>
      <c r="D728" s="13"/>
      <c r="E728" s="13"/>
      <c r="F728" s="13"/>
      <c r="G728" s="3"/>
      <c r="H728" s="3"/>
      <c r="I728" s="3"/>
      <c r="J728" s="3"/>
      <c r="K728" s="3"/>
      <c r="L728" s="3"/>
      <c r="M728" s="3"/>
      <c r="N728" s="3"/>
      <c r="O728" s="3"/>
      <c r="P728" s="3"/>
      <c r="Q728" s="3"/>
      <c r="R728" s="3"/>
      <c r="S728" s="3"/>
      <c r="T728" s="3"/>
      <c r="U728" s="3"/>
      <c r="V728" s="3"/>
      <c r="W728" s="3"/>
    </row>
    <row r="729" spans="1:23">
      <c r="A729" s="3"/>
      <c r="B729" s="3"/>
      <c r="C729" s="13"/>
      <c r="D729" s="13"/>
      <c r="E729" s="13"/>
      <c r="F729" s="13"/>
      <c r="G729" s="3"/>
      <c r="H729" s="3"/>
      <c r="I729" s="3"/>
      <c r="J729" s="3"/>
      <c r="K729" s="3"/>
      <c r="L729" s="3"/>
      <c r="M729" s="3"/>
      <c r="N729" s="3"/>
      <c r="O729" s="3"/>
      <c r="P729" s="3"/>
      <c r="Q729" s="3"/>
      <c r="R729" s="3"/>
      <c r="S729" s="3"/>
      <c r="T729" s="3"/>
      <c r="U729" s="3"/>
      <c r="V729" s="3"/>
      <c r="W729" s="3"/>
    </row>
    <row r="730" spans="1:23">
      <c r="A730" s="3"/>
      <c r="B730" s="3"/>
      <c r="C730" s="13"/>
      <c r="D730" s="13"/>
      <c r="E730" s="13"/>
      <c r="F730" s="13"/>
      <c r="G730" s="3"/>
      <c r="H730" s="3"/>
      <c r="I730" s="3"/>
      <c r="J730" s="3"/>
      <c r="K730" s="3"/>
      <c r="L730" s="3"/>
      <c r="M730" s="3"/>
      <c r="N730" s="3"/>
      <c r="O730" s="3"/>
      <c r="P730" s="3"/>
      <c r="Q730" s="3"/>
      <c r="R730" s="3"/>
      <c r="S730" s="3"/>
      <c r="T730" s="3"/>
      <c r="U730" s="3"/>
      <c r="V730" s="3"/>
      <c r="W730" s="3"/>
    </row>
    <row r="731" spans="1:23">
      <c r="A731" s="3"/>
      <c r="B731" s="3"/>
      <c r="C731" s="13"/>
      <c r="D731" s="13"/>
      <c r="E731" s="13"/>
      <c r="F731" s="13"/>
      <c r="G731" s="3"/>
      <c r="H731" s="3"/>
      <c r="I731" s="3"/>
      <c r="J731" s="3"/>
      <c r="K731" s="3"/>
      <c r="L731" s="3"/>
      <c r="M731" s="3"/>
      <c r="N731" s="3"/>
      <c r="O731" s="3"/>
      <c r="P731" s="3"/>
      <c r="Q731" s="3"/>
      <c r="R731" s="3"/>
      <c r="S731" s="3"/>
      <c r="T731" s="3"/>
      <c r="U731" s="3"/>
      <c r="V731" s="3"/>
      <c r="W731" s="3"/>
    </row>
    <row r="732" spans="1:23">
      <c r="A732" s="3"/>
      <c r="B732" s="3"/>
      <c r="C732" s="13"/>
      <c r="D732" s="13"/>
      <c r="E732" s="13"/>
      <c r="F732" s="13"/>
      <c r="G732" s="3"/>
      <c r="H732" s="3"/>
      <c r="I732" s="3"/>
      <c r="J732" s="3"/>
      <c r="K732" s="3"/>
      <c r="L732" s="3"/>
      <c r="M732" s="3"/>
      <c r="N732" s="3"/>
      <c r="O732" s="3"/>
      <c r="P732" s="3"/>
      <c r="Q732" s="3"/>
      <c r="R732" s="3"/>
      <c r="S732" s="3"/>
      <c r="T732" s="3"/>
      <c r="U732" s="3"/>
      <c r="V732" s="3"/>
      <c r="W732" s="3"/>
    </row>
    <row r="733" spans="1:23">
      <c r="A733" s="3"/>
      <c r="B733" s="3"/>
      <c r="C733" s="13"/>
      <c r="D733" s="13"/>
      <c r="E733" s="13"/>
      <c r="F733" s="13"/>
      <c r="G733" s="3"/>
      <c r="H733" s="3"/>
      <c r="I733" s="3"/>
      <c r="J733" s="3"/>
      <c r="K733" s="3"/>
      <c r="L733" s="3"/>
      <c r="M733" s="3"/>
      <c r="N733" s="3"/>
      <c r="O733" s="3"/>
      <c r="P733" s="3"/>
      <c r="Q733" s="3"/>
      <c r="R733" s="3"/>
      <c r="S733" s="3"/>
      <c r="T733" s="3"/>
      <c r="U733" s="3"/>
      <c r="V733" s="3"/>
      <c r="W733" s="3"/>
    </row>
    <row r="734" spans="1:23">
      <c r="A734" s="3"/>
      <c r="B734" s="3"/>
      <c r="C734" s="13"/>
      <c r="D734" s="13"/>
      <c r="E734" s="13"/>
      <c r="F734" s="13"/>
      <c r="G734" s="3"/>
      <c r="H734" s="3"/>
      <c r="I734" s="3"/>
      <c r="J734" s="3"/>
      <c r="K734" s="3"/>
      <c r="L734" s="3"/>
      <c r="M734" s="3"/>
      <c r="N734" s="3"/>
      <c r="O734" s="3"/>
      <c r="P734" s="3"/>
      <c r="Q734" s="3"/>
      <c r="R734" s="3"/>
      <c r="S734" s="3"/>
      <c r="T734" s="3"/>
      <c r="U734" s="3"/>
      <c r="V734" s="3"/>
      <c r="W734" s="3"/>
    </row>
    <row r="735" spans="1:23">
      <c r="A735" s="3"/>
      <c r="B735" s="3"/>
      <c r="C735" s="13"/>
      <c r="D735" s="13"/>
      <c r="E735" s="13"/>
      <c r="F735" s="13"/>
      <c r="G735" s="3"/>
      <c r="H735" s="3"/>
      <c r="I735" s="3"/>
      <c r="J735" s="3"/>
      <c r="K735" s="3"/>
      <c r="L735" s="3"/>
      <c r="M735" s="3"/>
      <c r="N735" s="3"/>
      <c r="O735" s="3"/>
      <c r="P735" s="3"/>
      <c r="Q735" s="3"/>
      <c r="R735" s="3"/>
      <c r="S735" s="3"/>
      <c r="T735" s="3"/>
      <c r="U735" s="3"/>
      <c r="V735" s="3"/>
      <c r="W735" s="3"/>
    </row>
    <row r="736" spans="1:23">
      <c r="A736" s="3"/>
      <c r="B736" s="3"/>
      <c r="C736" s="13"/>
      <c r="D736" s="13"/>
      <c r="E736" s="13"/>
      <c r="F736" s="13"/>
      <c r="G736" s="3"/>
      <c r="H736" s="3"/>
      <c r="I736" s="3"/>
      <c r="J736" s="3"/>
      <c r="K736" s="3"/>
      <c r="L736" s="3"/>
      <c r="M736" s="3"/>
      <c r="N736" s="3"/>
      <c r="O736" s="3"/>
      <c r="P736" s="3"/>
      <c r="Q736" s="3"/>
      <c r="R736" s="3"/>
      <c r="S736" s="3"/>
      <c r="T736" s="3"/>
      <c r="U736" s="3"/>
      <c r="V736" s="3"/>
      <c r="W736" s="3"/>
    </row>
    <row r="737" spans="1:23">
      <c r="A737" s="3"/>
      <c r="B737" s="3"/>
      <c r="C737" s="13"/>
      <c r="D737" s="13"/>
      <c r="E737" s="13"/>
      <c r="F737" s="13"/>
      <c r="G737" s="3"/>
      <c r="H737" s="3"/>
      <c r="I737" s="3"/>
      <c r="J737" s="3"/>
      <c r="K737" s="3"/>
      <c r="L737" s="3"/>
      <c r="M737" s="3"/>
      <c r="N737" s="3"/>
      <c r="O737" s="3"/>
      <c r="P737" s="3"/>
      <c r="Q737" s="3"/>
      <c r="R737" s="3"/>
      <c r="S737" s="3"/>
      <c r="T737" s="3"/>
      <c r="U737" s="3"/>
      <c r="V737" s="3"/>
      <c r="W737" s="3"/>
    </row>
    <row r="738" spans="1:23">
      <c r="A738" s="3"/>
      <c r="B738" s="3"/>
      <c r="C738" s="13"/>
      <c r="D738" s="13"/>
      <c r="E738" s="13"/>
      <c r="F738" s="13"/>
      <c r="G738" s="3"/>
      <c r="H738" s="3"/>
      <c r="I738" s="3"/>
      <c r="J738" s="3"/>
      <c r="K738" s="3"/>
      <c r="L738" s="3"/>
      <c r="M738" s="3"/>
      <c r="N738" s="3"/>
      <c r="O738" s="3"/>
      <c r="P738" s="3"/>
      <c r="Q738" s="3"/>
      <c r="R738" s="3"/>
      <c r="S738" s="3"/>
      <c r="T738" s="3"/>
      <c r="U738" s="3"/>
      <c r="V738" s="3"/>
      <c r="W738" s="3"/>
    </row>
    <row r="739" spans="1:23">
      <c r="A739" s="3"/>
      <c r="B739" s="3"/>
      <c r="C739" s="13"/>
      <c r="D739" s="13"/>
      <c r="E739" s="13"/>
      <c r="F739" s="13"/>
      <c r="G739" s="3"/>
      <c r="H739" s="3"/>
      <c r="I739" s="3"/>
      <c r="J739" s="3"/>
      <c r="K739" s="3"/>
      <c r="L739" s="3"/>
      <c r="M739" s="3"/>
      <c r="N739" s="3"/>
      <c r="O739" s="3"/>
      <c r="P739" s="3"/>
      <c r="Q739" s="3"/>
      <c r="R739" s="3"/>
      <c r="S739" s="3"/>
      <c r="T739" s="3"/>
      <c r="U739" s="3"/>
      <c r="V739" s="3"/>
      <c r="W739" s="3"/>
    </row>
    <row r="740" spans="1:23">
      <c r="A740" s="3"/>
      <c r="B740" s="3"/>
      <c r="C740" s="13"/>
      <c r="D740" s="13"/>
      <c r="E740" s="13"/>
      <c r="F740" s="13"/>
      <c r="G740" s="3"/>
      <c r="H740" s="3"/>
      <c r="I740" s="3"/>
      <c r="J740" s="3"/>
      <c r="K740" s="3"/>
      <c r="L740" s="3"/>
      <c r="M740" s="3"/>
      <c r="N740" s="3"/>
      <c r="O740" s="3"/>
      <c r="P740" s="3"/>
      <c r="Q740" s="3"/>
      <c r="R740" s="3"/>
      <c r="S740" s="3"/>
      <c r="T740" s="3"/>
      <c r="U740" s="3"/>
      <c r="V740" s="3"/>
      <c r="W740" s="3"/>
    </row>
    <row r="741" spans="1:23">
      <c r="A741" s="3"/>
      <c r="B741" s="3"/>
      <c r="C741" s="13"/>
      <c r="D741" s="13"/>
      <c r="E741" s="13"/>
      <c r="F741" s="13"/>
      <c r="G741" s="3"/>
      <c r="H741" s="3"/>
      <c r="I741" s="3"/>
      <c r="J741" s="3"/>
      <c r="K741" s="3"/>
      <c r="L741" s="3"/>
      <c r="M741" s="3"/>
      <c r="N741" s="3"/>
      <c r="O741" s="3"/>
      <c r="P741" s="3"/>
      <c r="Q741" s="3"/>
      <c r="R741" s="3"/>
      <c r="S741" s="3"/>
      <c r="T741" s="3"/>
      <c r="U741" s="3"/>
      <c r="V741" s="3"/>
      <c r="W741" s="3"/>
    </row>
    <row r="742" spans="1:23">
      <c r="A742" s="3"/>
      <c r="B742" s="3"/>
      <c r="C742" s="13"/>
      <c r="D742" s="13"/>
      <c r="E742" s="13"/>
      <c r="F742" s="13"/>
      <c r="G742" s="3"/>
      <c r="H742" s="3"/>
      <c r="I742" s="3"/>
      <c r="J742" s="3"/>
      <c r="K742" s="3"/>
      <c r="L742" s="3"/>
      <c r="M742" s="3"/>
      <c r="N742" s="3"/>
      <c r="O742" s="3"/>
      <c r="P742" s="3"/>
      <c r="Q742" s="3"/>
      <c r="R742" s="3"/>
      <c r="S742" s="3"/>
      <c r="T742" s="3"/>
      <c r="U742" s="3"/>
      <c r="V742" s="3"/>
      <c r="W742" s="3"/>
    </row>
    <row r="743" spans="1:23">
      <c r="A743" s="3"/>
      <c r="B743" s="3"/>
      <c r="C743" s="13"/>
      <c r="D743" s="13"/>
      <c r="E743" s="13"/>
      <c r="F743" s="13"/>
      <c r="G743" s="3"/>
      <c r="H743" s="3"/>
      <c r="I743" s="3"/>
      <c r="J743" s="3"/>
      <c r="K743" s="3"/>
      <c r="L743" s="3"/>
      <c r="M743" s="3"/>
      <c r="N743" s="3"/>
      <c r="O743" s="3"/>
      <c r="P743" s="3"/>
      <c r="Q743" s="3"/>
      <c r="R743" s="3"/>
      <c r="S743" s="3"/>
      <c r="T743" s="3"/>
      <c r="U743" s="3"/>
      <c r="V743" s="3"/>
      <c r="W743" s="3"/>
    </row>
    <row r="744" spans="1:23">
      <c r="A744" s="3"/>
      <c r="B744" s="3"/>
      <c r="C744" s="13"/>
      <c r="D744" s="13"/>
      <c r="E744" s="13"/>
      <c r="F744" s="13"/>
      <c r="G744" s="3"/>
      <c r="H744" s="3"/>
      <c r="I744" s="3"/>
      <c r="J744" s="3"/>
      <c r="K744" s="3"/>
      <c r="L744" s="3"/>
      <c r="M744" s="3"/>
      <c r="N744" s="3"/>
      <c r="O744" s="3"/>
      <c r="P744" s="3"/>
      <c r="Q744" s="3"/>
      <c r="R744" s="3"/>
      <c r="S744" s="3"/>
      <c r="T744" s="3"/>
      <c r="U744" s="3"/>
      <c r="V744" s="3"/>
      <c r="W744" s="3"/>
    </row>
    <row r="745" spans="1:23">
      <c r="A745" s="3"/>
      <c r="B745" s="3"/>
      <c r="C745" s="13"/>
      <c r="D745" s="13"/>
      <c r="E745" s="13"/>
      <c r="F745" s="13"/>
      <c r="G745" s="3"/>
      <c r="H745" s="3"/>
      <c r="I745" s="3"/>
      <c r="J745" s="3"/>
      <c r="K745" s="3"/>
      <c r="L745" s="3"/>
      <c r="M745" s="3"/>
      <c r="N745" s="3"/>
      <c r="O745" s="3"/>
      <c r="P745" s="3"/>
      <c r="Q745" s="3"/>
      <c r="R745" s="3"/>
      <c r="S745" s="3"/>
      <c r="T745" s="3"/>
      <c r="U745" s="3"/>
      <c r="V745" s="3"/>
      <c r="W745" s="3"/>
    </row>
    <row r="746" spans="1:23">
      <c r="A746" s="3"/>
      <c r="B746" s="3"/>
      <c r="C746" s="13"/>
      <c r="D746" s="13"/>
      <c r="E746" s="13"/>
      <c r="F746" s="13"/>
      <c r="G746" s="3"/>
      <c r="H746" s="3"/>
      <c r="I746" s="3"/>
      <c r="J746" s="3"/>
      <c r="K746" s="3"/>
      <c r="L746" s="3"/>
      <c r="M746" s="3"/>
      <c r="N746" s="3"/>
      <c r="O746" s="3"/>
      <c r="P746" s="3"/>
      <c r="Q746" s="3"/>
      <c r="R746" s="3"/>
      <c r="S746" s="3"/>
      <c r="T746" s="3"/>
      <c r="U746" s="3"/>
      <c r="V746" s="3"/>
      <c r="W746" s="3"/>
    </row>
    <row r="747" spans="1:23">
      <c r="A747" s="3"/>
      <c r="B747" s="3"/>
      <c r="C747" s="13"/>
      <c r="D747" s="13"/>
      <c r="E747" s="13"/>
      <c r="F747" s="13"/>
      <c r="G747" s="3"/>
      <c r="H747" s="3"/>
      <c r="I747" s="3"/>
      <c r="J747" s="3"/>
      <c r="K747" s="3"/>
      <c r="L747" s="3"/>
      <c r="M747" s="3"/>
      <c r="N747" s="3"/>
      <c r="O747" s="3"/>
      <c r="P747" s="3"/>
      <c r="Q747" s="3"/>
      <c r="R747" s="3"/>
      <c r="S747" s="3"/>
      <c r="T747" s="3"/>
      <c r="U747" s="3"/>
      <c r="V747" s="3"/>
      <c r="W747" s="3"/>
    </row>
    <row r="748" spans="1:23">
      <c r="A748" s="3"/>
      <c r="B748" s="3"/>
      <c r="C748" s="13"/>
      <c r="D748" s="13"/>
      <c r="E748" s="13"/>
      <c r="F748" s="13"/>
      <c r="G748" s="3"/>
      <c r="H748" s="3"/>
      <c r="I748" s="3"/>
      <c r="J748" s="3"/>
      <c r="K748" s="3"/>
      <c r="L748" s="3"/>
      <c r="M748" s="3"/>
      <c r="N748" s="3"/>
      <c r="O748" s="3"/>
      <c r="P748" s="3"/>
      <c r="Q748" s="3"/>
      <c r="R748" s="3"/>
      <c r="S748" s="3"/>
      <c r="T748" s="3"/>
      <c r="U748" s="3"/>
      <c r="V748" s="3"/>
      <c r="W748" s="3"/>
    </row>
    <row r="749" spans="1:23">
      <c r="A749" s="3"/>
      <c r="B749" s="3"/>
      <c r="C749" s="13"/>
      <c r="D749" s="13"/>
      <c r="E749" s="13"/>
      <c r="F749" s="13"/>
      <c r="G749" s="3"/>
      <c r="H749" s="3"/>
      <c r="I749" s="3"/>
      <c r="J749" s="3"/>
      <c r="K749" s="3"/>
      <c r="L749" s="3"/>
      <c r="M749" s="3"/>
      <c r="N749" s="3"/>
      <c r="O749" s="3"/>
      <c r="P749" s="3"/>
      <c r="Q749" s="3"/>
      <c r="R749" s="3"/>
      <c r="S749" s="3"/>
      <c r="T749" s="3"/>
      <c r="U749" s="3"/>
      <c r="V749" s="3"/>
      <c r="W749" s="3"/>
    </row>
    <row r="750" spans="1:23">
      <c r="A750" s="3"/>
      <c r="B750" s="3"/>
      <c r="C750" s="13"/>
      <c r="D750" s="13"/>
      <c r="E750" s="13"/>
      <c r="F750" s="13"/>
      <c r="G750" s="3"/>
      <c r="H750" s="3"/>
      <c r="I750" s="3"/>
      <c r="J750" s="3"/>
      <c r="K750" s="3"/>
      <c r="L750" s="3"/>
      <c r="M750" s="3"/>
      <c r="N750" s="3"/>
      <c r="O750" s="3"/>
      <c r="P750" s="3"/>
      <c r="Q750" s="3"/>
      <c r="R750" s="3"/>
      <c r="S750" s="3"/>
      <c r="T750" s="3"/>
      <c r="U750" s="3"/>
      <c r="V750" s="3"/>
      <c r="W750" s="3"/>
    </row>
    <row r="751" spans="1:23">
      <c r="A751" s="3"/>
      <c r="B751" s="3"/>
      <c r="C751" s="13"/>
      <c r="D751" s="13"/>
      <c r="E751" s="13"/>
      <c r="F751" s="13"/>
      <c r="G751" s="3"/>
      <c r="H751" s="3"/>
      <c r="I751" s="3"/>
      <c r="J751" s="3"/>
      <c r="K751" s="3"/>
      <c r="L751" s="3"/>
      <c r="M751" s="3"/>
      <c r="N751" s="3"/>
      <c r="O751" s="3"/>
      <c r="P751" s="3"/>
      <c r="Q751" s="3"/>
      <c r="R751" s="3"/>
      <c r="S751" s="3"/>
      <c r="T751" s="3"/>
      <c r="U751" s="3"/>
      <c r="V751" s="3"/>
      <c r="W751" s="3"/>
    </row>
    <row r="752" spans="1:23">
      <c r="A752" s="3"/>
      <c r="B752" s="3"/>
      <c r="C752" s="13"/>
      <c r="D752" s="13"/>
      <c r="E752" s="13"/>
      <c r="F752" s="13"/>
      <c r="G752" s="3"/>
      <c r="H752" s="3"/>
      <c r="I752" s="3"/>
      <c r="J752" s="3"/>
      <c r="K752" s="3"/>
      <c r="L752" s="3"/>
      <c r="M752" s="3"/>
      <c r="N752" s="3"/>
      <c r="O752" s="3"/>
      <c r="P752" s="3"/>
      <c r="Q752" s="3"/>
      <c r="R752" s="3"/>
      <c r="S752" s="3"/>
      <c r="T752" s="3"/>
      <c r="U752" s="3"/>
      <c r="V752" s="3"/>
      <c r="W752" s="3"/>
    </row>
    <row r="753" spans="1:23">
      <c r="A753" s="3"/>
      <c r="B753" s="3"/>
      <c r="C753" s="13"/>
      <c r="D753" s="13"/>
      <c r="E753" s="13"/>
      <c r="F753" s="13"/>
      <c r="G753" s="3"/>
      <c r="H753" s="3"/>
      <c r="I753" s="3"/>
      <c r="J753" s="3"/>
      <c r="K753" s="3"/>
      <c r="L753" s="3"/>
      <c r="M753" s="3"/>
      <c r="N753" s="3"/>
      <c r="O753" s="3"/>
      <c r="P753" s="3"/>
      <c r="Q753" s="3"/>
      <c r="R753" s="3"/>
      <c r="S753" s="3"/>
      <c r="T753" s="3"/>
      <c r="U753" s="3"/>
      <c r="V753" s="3"/>
      <c r="W753" s="3"/>
    </row>
    <row r="754" spans="1:23">
      <c r="A754" s="3"/>
      <c r="B754" s="3"/>
      <c r="C754" s="13"/>
      <c r="D754" s="13"/>
      <c r="E754" s="13"/>
      <c r="F754" s="13"/>
      <c r="G754" s="3"/>
      <c r="H754" s="3"/>
      <c r="I754" s="3"/>
      <c r="J754" s="3"/>
      <c r="K754" s="3"/>
      <c r="L754" s="3"/>
      <c r="M754" s="3"/>
      <c r="N754" s="3"/>
      <c r="O754" s="3"/>
      <c r="P754" s="3"/>
      <c r="Q754" s="3"/>
      <c r="R754" s="3"/>
      <c r="S754" s="3"/>
      <c r="T754" s="3"/>
      <c r="U754" s="3"/>
      <c r="V754" s="3"/>
      <c r="W754" s="3"/>
    </row>
    <row r="755" spans="1:23">
      <c r="A755" s="3"/>
      <c r="B755" s="3"/>
      <c r="C755" s="13"/>
      <c r="D755" s="13"/>
      <c r="E755" s="13"/>
      <c r="F755" s="13"/>
      <c r="G755" s="3"/>
      <c r="H755" s="3"/>
      <c r="I755" s="3"/>
      <c r="J755" s="3"/>
      <c r="K755" s="3"/>
      <c r="L755" s="3"/>
      <c r="M755" s="3"/>
      <c r="N755" s="3"/>
      <c r="O755" s="3"/>
      <c r="P755" s="3"/>
      <c r="Q755" s="3"/>
      <c r="R755" s="3"/>
      <c r="S755" s="3"/>
      <c r="T755" s="3"/>
      <c r="U755" s="3"/>
      <c r="V755" s="3"/>
      <c r="W755" s="3"/>
    </row>
    <row r="756" spans="1:23">
      <c r="A756" s="3"/>
      <c r="B756" s="3"/>
      <c r="C756" s="13"/>
      <c r="D756" s="13"/>
      <c r="E756" s="13"/>
      <c r="F756" s="13"/>
      <c r="G756" s="3"/>
      <c r="H756" s="3"/>
      <c r="I756" s="3"/>
      <c r="J756" s="3"/>
      <c r="K756" s="3"/>
      <c r="L756" s="3"/>
      <c r="M756" s="3"/>
      <c r="N756" s="3"/>
      <c r="O756" s="3"/>
      <c r="P756" s="3"/>
      <c r="Q756" s="3"/>
      <c r="R756" s="3"/>
      <c r="S756" s="3"/>
      <c r="T756" s="3"/>
      <c r="U756" s="3"/>
      <c r="V756" s="3"/>
      <c r="W756" s="3"/>
    </row>
    <row r="757" spans="1:23">
      <c r="A757" s="3"/>
      <c r="B757" s="3"/>
      <c r="C757" s="13"/>
      <c r="D757" s="13"/>
      <c r="E757" s="13"/>
      <c r="F757" s="13"/>
      <c r="G757" s="3"/>
      <c r="H757" s="3"/>
      <c r="I757" s="3"/>
      <c r="J757" s="3"/>
      <c r="K757" s="3"/>
      <c r="L757" s="3"/>
      <c r="M757" s="3"/>
      <c r="N757" s="3"/>
      <c r="O757" s="3"/>
      <c r="P757" s="3"/>
      <c r="Q757" s="3"/>
      <c r="R757" s="3"/>
      <c r="S757" s="3"/>
      <c r="T757" s="3"/>
      <c r="U757" s="3"/>
      <c r="V757" s="3"/>
      <c r="W757" s="3"/>
    </row>
    <row r="758" spans="1:23">
      <c r="A758" s="3"/>
      <c r="B758" s="3"/>
      <c r="C758" s="13"/>
      <c r="D758" s="13"/>
      <c r="E758" s="13"/>
      <c r="F758" s="13"/>
      <c r="G758" s="3"/>
      <c r="H758" s="3"/>
      <c r="I758" s="3"/>
      <c r="J758" s="3"/>
      <c r="K758" s="3"/>
      <c r="L758" s="3"/>
      <c r="M758" s="3"/>
      <c r="N758" s="3"/>
      <c r="O758" s="3"/>
      <c r="P758" s="3"/>
      <c r="Q758" s="3"/>
      <c r="R758" s="3"/>
      <c r="S758" s="3"/>
      <c r="T758" s="3"/>
      <c r="U758" s="3"/>
      <c r="V758" s="3"/>
      <c r="W758" s="3"/>
    </row>
    <row r="759" spans="1:23">
      <c r="A759" s="3"/>
      <c r="B759" s="3"/>
      <c r="C759" s="13"/>
      <c r="D759" s="13"/>
      <c r="E759" s="13"/>
      <c r="F759" s="13"/>
      <c r="G759" s="3"/>
      <c r="H759" s="3"/>
      <c r="I759" s="3"/>
      <c r="J759" s="3"/>
      <c r="K759" s="3"/>
      <c r="L759" s="3"/>
      <c r="M759" s="3"/>
      <c r="N759" s="3"/>
      <c r="O759" s="3"/>
      <c r="P759" s="3"/>
      <c r="Q759" s="3"/>
      <c r="R759" s="3"/>
      <c r="S759" s="3"/>
      <c r="T759" s="3"/>
      <c r="U759" s="3"/>
      <c r="V759" s="3"/>
      <c r="W759" s="3"/>
    </row>
    <row r="760" spans="1:23">
      <c r="A760" s="3"/>
      <c r="B760" s="3"/>
      <c r="C760" s="13"/>
      <c r="D760" s="13"/>
      <c r="E760" s="13"/>
      <c r="F760" s="13"/>
      <c r="G760" s="3"/>
      <c r="H760" s="3"/>
      <c r="I760" s="3"/>
      <c r="J760" s="3"/>
      <c r="K760" s="3"/>
      <c r="L760" s="3"/>
      <c r="M760" s="3"/>
      <c r="N760" s="3"/>
      <c r="O760" s="3"/>
      <c r="P760" s="3"/>
      <c r="Q760" s="3"/>
      <c r="R760" s="3"/>
      <c r="S760" s="3"/>
      <c r="T760" s="3"/>
      <c r="U760" s="3"/>
      <c r="V760" s="3"/>
      <c r="W760" s="3"/>
    </row>
    <row r="761" spans="1:23">
      <c r="A761" s="3"/>
      <c r="B761" s="3"/>
      <c r="C761" s="13"/>
      <c r="D761" s="13"/>
      <c r="E761" s="13"/>
      <c r="F761" s="13"/>
      <c r="G761" s="3"/>
      <c r="H761" s="3"/>
      <c r="I761" s="3"/>
      <c r="J761" s="3"/>
      <c r="K761" s="3"/>
      <c r="L761" s="3"/>
      <c r="M761" s="3"/>
      <c r="N761" s="3"/>
      <c r="O761" s="3"/>
      <c r="P761" s="3"/>
      <c r="Q761" s="3"/>
      <c r="R761" s="3"/>
      <c r="S761" s="3"/>
      <c r="T761" s="3"/>
      <c r="U761" s="3"/>
      <c r="V761" s="3"/>
      <c r="W761" s="3"/>
    </row>
    <row r="762" spans="1:23">
      <c r="A762" s="3"/>
      <c r="B762" s="3"/>
      <c r="C762" s="13"/>
      <c r="D762" s="13"/>
      <c r="E762" s="13"/>
      <c r="F762" s="13"/>
      <c r="G762" s="3"/>
      <c r="H762" s="3"/>
      <c r="I762" s="3"/>
      <c r="J762" s="3"/>
      <c r="K762" s="3"/>
      <c r="L762" s="3"/>
      <c r="M762" s="3"/>
      <c r="N762" s="3"/>
      <c r="O762" s="3"/>
      <c r="P762" s="3"/>
      <c r="Q762" s="3"/>
      <c r="R762" s="3"/>
      <c r="S762" s="3"/>
      <c r="T762" s="3"/>
      <c r="U762" s="3"/>
      <c r="V762" s="3"/>
      <c r="W762" s="3"/>
    </row>
    <row r="763" spans="1:23">
      <c r="A763" s="3"/>
      <c r="B763" s="3"/>
      <c r="C763" s="13"/>
      <c r="D763" s="13"/>
      <c r="E763" s="13"/>
      <c r="F763" s="13"/>
      <c r="G763" s="3"/>
      <c r="H763" s="3"/>
      <c r="I763" s="3"/>
      <c r="J763" s="3"/>
      <c r="K763" s="3"/>
      <c r="L763" s="3"/>
      <c r="M763" s="3"/>
      <c r="N763" s="3"/>
      <c r="O763" s="3"/>
      <c r="P763" s="3"/>
      <c r="Q763" s="3"/>
      <c r="R763" s="3"/>
      <c r="S763" s="3"/>
      <c r="T763" s="3"/>
      <c r="U763" s="3"/>
      <c r="V763" s="3"/>
      <c r="W763" s="3"/>
    </row>
    <row r="764" spans="1:23">
      <c r="A764" s="3"/>
      <c r="B764" s="3"/>
      <c r="C764" s="13"/>
      <c r="D764" s="13"/>
      <c r="E764" s="13"/>
      <c r="F764" s="13"/>
      <c r="G764" s="3"/>
      <c r="H764" s="3"/>
      <c r="I764" s="3"/>
      <c r="J764" s="3"/>
      <c r="K764" s="3"/>
      <c r="L764" s="3"/>
      <c r="M764" s="3"/>
      <c r="N764" s="3"/>
      <c r="O764" s="3"/>
      <c r="P764" s="3"/>
      <c r="Q764" s="3"/>
      <c r="R764" s="3"/>
      <c r="S764" s="3"/>
      <c r="T764" s="3"/>
      <c r="U764" s="3"/>
      <c r="V764" s="3"/>
      <c r="W764" s="3"/>
    </row>
    <row r="765" spans="1:23">
      <c r="A765" s="3"/>
      <c r="B765" s="3"/>
      <c r="C765" s="13"/>
      <c r="D765" s="13"/>
      <c r="E765" s="13"/>
      <c r="F765" s="13"/>
      <c r="G765" s="3"/>
      <c r="H765" s="3"/>
      <c r="I765" s="3"/>
      <c r="J765" s="3"/>
      <c r="K765" s="3"/>
      <c r="L765" s="3"/>
      <c r="M765" s="3"/>
      <c r="N765" s="3"/>
      <c r="O765" s="3"/>
      <c r="P765" s="3"/>
      <c r="Q765" s="3"/>
      <c r="R765" s="3"/>
      <c r="S765" s="3"/>
      <c r="T765" s="3"/>
      <c r="U765" s="3"/>
      <c r="V765" s="3"/>
      <c r="W765" s="3"/>
    </row>
    <row r="766" spans="1:23">
      <c r="A766" s="3"/>
      <c r="B766" s="3"/>
      <c r="C766" s="13"/>
      <c r="D766" s="13"/>
      <c r="E766" s="13"/>
      <c r="F766" s="13"/>
      <c r="G766" s="3"/>
      <c r="H766" s="3"/>
      <c r="I766" s="3"/>
      <c r="J766" s="3"/>
      <c r="K766" s="3"/>
      <c r="L766" s="3"/>
      <c r="M766" s="3"/>
      <c r="N766" s="3"/>
      <c r="O766" s="3"/>
      <c r="P766" s="3"/>
      <c r="Q766" s="3"/>
      <c r="R766" s="3"/>
      <c r="S766" s="3"/>
      <c r="T766" s="3"/>
      <c r="U766" s="3"/>
      <c r="V766" s="3"/>
      <c r="W766" s="3"/>
    </row>
    <row r="767" spans="1:23">
      <c r="A767" s="3"/>
      <c r="B767" s="3"/>
      <c r="C767" s="13"/>
      <c r="D767" s="13"/>
      <c r="E767" s="13"/>
      <c r="F767" s="13"/>
      <c r="G767" s="3"/>
      <c r="H767" s="3"/>
      <c r="I767" s="3"/>
      <c r="J767" s="3"/>
      <c r="K767" s="3"/>
      <c r="L767" s="3"/>
      <c r="M767" s="3"/>
      <c r="N767" s="3"/>
      <c r="O767" s="3"/>
      <c r="P767" s="3"/>
      <c r="Q767" s="3"/>
      <c r="R767" s="3"/>
      <c r="S767" s="3"/>
      <c r="T767" s="3"/>
      <c r="U767" s="3"/>
      <c r="V767" s="3"/>
      <c r="W767" s="3"/>
    </row>
    <row r="768" spans="1:23">
      <c r="A768" s="3"/>
      <c r="B768" s="3"/>
      <c r="C768" s="13"/>
      <c r="D768" s="13"/>
      <c r="E768" s="13"/>
      <c r="F768" s="13"/>
      <c r="G768" s="3"/>
      <c r="H768" s="3"/>
      <c r="I768" s="3"/>
      <c r="J768" s="3"/>
      <c r="K768" s="3"/>
      <c r="L768" s="3"/>
      <c r="M768" s="3"/>
      <c r="N768" s="3"/>
      <c r="O768" s="3"/>
      <c r="P768" s="3"/>
      <c r="Q768" s="3"/>
      <c r="R768" s="3"/>
      <c r="S768" s="3"/>
      <c r="T768" s="3"/>
      <c r="U768" s="3"/>
      <c r="V768" s="3"/>
      <c r="W768" s="3"/>
    </row>
    <row r="769" spans="1:23">
      <c r="A769" s="3"/>
      <c r="B769" s="3"/>
      <c r="C769" s="13"/>
      <c r="D769" s="13"/>
      <c r="E769" s="13"/>
      <c r="F769" s="13"/>
      <c r="G769" s="3"/>
      <c r="H769" s="3"/>
      <c r="I769" s="3"/>
      <c r="J769" s="3"/>
      <c r="K769" s="3"/>
      <c r="L769" s="3"/>
      <c r="M769" s="3"/>
      <c r="N769" s="3"/>
      <c r="O769" s="3"/>
      <c r="P769" s="3"/>
      <c r="Q769" s="3"/>
      <c r="R769" s="3"/>
      <c r="S769" s="3"/>
      <c r="T769" s="3"/>
      <c r="U769" s="3"/>
      <c r="V769" s="3"/>
      <c r="W769" s="3"/>
    </row>
    <row r="770" spans="1:23">
      <c r="A770" s="3"/>
      <c r="B770" s="3"/>
      <c r="C770" s="13"/>
      <c r="D770" s="13"/>
      <c r="E770" s="13"/>
      <c r="F770" s="13"/>
      <c r="G770" s="3"/>
      <c r="H770" s="3"/>
      <c r="I770" s="3"/>
      <c r="J770" s="3"/>
      <c r="K770" s="3"/>
      <c r="L770" s="3"/>
      <c r="M770" s="3"/>
      <c r="N770" s="3"/>
      <c r="O770" s="3"/>
      <c r="P770" s="3"/>
      <c r="Q770" s="3"/>
      <c r="R770" s="3"/>
      <c r="S770" s="3"/>
      <c r="T770" s="3"/>
      <c r="U770" s="3"/>
      <c r="V770" s="3"/>
      <c r="W770" s="3"/>
    </row>
    <row r="771" spans="1:23">
      <c r="A771" s="3"/>
      <c r="B771" s="3"/>
      <c r="C771" s="13"/>
      <c r="D771" s="13"/>
      <c r="E771" s="13"/>
      <c r="F771" s="13"/>
      <c r="G771" s="3"/>
      <c r="H771" s="3"/>
      <c r="I771" s="3"/>
      <c r="J771" s="3"/>
      <c r="K771" s="3"/>
      <c r="L771" s="3"/>
      <c r="M771" s="3"/>
      <c r="N771" s="3"/>
      <c r="O771" s="3"/>
      <c r="P771" s="3"/>
      <c r="Q771" s="3"/>
      <c r="R771" s="3"/>
      <c r="S771" s="3"/>
      <c r="T771" s="3"/>
      <c r="U771" s="3"/>
      <c r="V771" s="3"/>
      <c r="W771" s="3"/>
    </row>
    <row r="772" spans="1:23">
      <c r="A772" s="3"/>
      <c r="B772" s="3"/>
      <c r="C772" s="13"/>
      <c r="D772" s="13"/>
      <c r="E772" s="13"/>
      <c r="F772" s="13"/>
      <c r="G772" s="3"/>
      <c r="H772" s="3"/>
      <c r="I772" s="3"/>
      <c r="J772" s="3"/>
      <c r="K772" s="3"/>
      <c r="L772" s="3"/>
      <c r="M772" s="3"/>
      <c r="N772" s="3"/>
      <c r="O772" s="3"/>
      <c r="P772" s="3"/>
      <c r="Q772" s="3"/>
      <c r="R772" s="3"/>
      <c r="S772" s="3"/>
      <c r="T772" s="3"/>
      <c r="U772" s="3"/>
      <c r="V772" s="3"/>
      <c r="W772" s="3"/>
    </row>
    <row r="773" spans="1:23">
      <c r="A773" s="3"/>
      <c r="B773" s="3"/>
      <c r="C773" s="13"/>
      <c r="D773" s="13"/>
      <c r="E773" s="13"/>
      <c r="F773" s="13"/>
      <c r="G773" s="3"/>
      <c r="H773" s="3"/>
      <c r="I773" s="3"/>
      <c r="J773" s="3"/>
      <c r="K773" s="3"/>
      <c r="L773" s="3"/>
      <c r="M773" s="3"/>
      <c r="N773" s="3"/>
      <c r="O773" s="3"/>
      <c r="P773" s="3"/>
      <c r="Q773" s="3"/>
      <c r="R773" s="3"/>
      <c r="S773" s="3"/>
      <c r="T773" s="3"/>
      <c r="U773" s="3"/>
      <c r="V773" s="3"/>
      <c r="W773" s="3"/>
    </row>
    <row r="774" spans="1:23">
      <c r="A774" s="3"/>
      <c r="B774" s="3"/>
      <c r="C774" s="13"/>
      <c r="D774" s="13"/>
      <c r="E774" s="13"/>
      <c r="F774" s="13"/>
      <c r="G774" s="3"/>
      <c r="H774" s="3"/>
      <c r="I774" s="3"/>
      <c r="J774" s="3"/>
      <c r="K774" s="3"/>
      <c r="L774" s="3"/>
      <c r="M774" s="3"/>
      <c r="N774" s="3"/>
      <c r="O774" s="3"/>
      <c r="P774" s="3"/>
      <c r="Q774" s="3"/>
      <c r="R774" s="3"/>
      <c r="S774" s="3"/>
      <c r="T774" s="3"/>
      <c r="U774" s="3"/>
      <c r="V774" s="3"/>
      <c r="W774" s="3"/>
    </row>
    <row r="775" spans="1:23">
      <c r="A775" s="3"/>
      <c r="B775" s="3"/>
      <c r="C775" s="13"/>
      <c r="D775" s="13"/>
      <c r="E775" s="13"/>
      <c r="F775" s="13"/>
      <c r="G775" s="3"/>
      <c r="H775" s="3"/>
      <c r="I775" s="3"/>
      <c r="J775" s="3"/>
      <c r="K775" s="3"/>
      <c r="L775" s="3"/>
      <c r="M775" s="3"/>
      <c r="N775" s="3"/>
      <c r="O775" s="3"/>
      <c r="P775" s="3"/>
      <c r="Q775" s="3"/>
      <c r="R775" s="3"/>
      <c r="S775" s="3"/>
      <c r="T775" s="3"/>
      <c r="U775" s="3"/>
      <c r="V775" s="3"/>
      <c r="W775" s="3"/>
    </row>
    <row r="776" spans="1:23">
      <c r="A776" s="3"/>
      <c r="B776" s="3"/>
      <c r="C776" s="13"/>
      <c r="D776" s="13"/>
      <c r="E776" s="13"/>
      <c r="F776" s="13"/>
      <c r="G776" s="3"/>
      <c r="H776" s="3"/>
      <c r="I776" s="3"/>
      <c r="J776" s="3"/>
      <c r="K776" s="3"/>
      <c r="L776" s="3"/>
      <c r="M776" s="3"/>
      <c r="N776" s="3"/>
      <c r="O776" s="3"/>
      <c r="P776" s="3"/>
      <c r="Q776" s="3"/>
      <c r="R776" s="3"/>
      <c r="S776" s="3"/>
      <c r="T776" s="3"/>
      <c r="U776" s="3"/>
      <c r="V776" s="3"/>
      <c r="W776" s="3"/>
    </row>
    <row r="777" spans="1:23">
      <c r="A777" s="3"/>
      <c r="B777" s="3"/>
      <c r="C777" s="13"/>
      <c r="D777" s="13"/>
      <c r="E777" s="13"/>
      <c r="F777" s="13"/>
      <c r="G777" s="3"/>
      <c r="H777" s="3"/>
      <c r="I777" s="3"/>
      <c r="J777" s="3"/>
      <c r="K777" s="3"/>
      <c r="L777" s="3"/>
      <c r="M777" s="3"/>
      <c r="N777" s="3"/>
      <c r="O777" s="3"/>
      <c r="P777" s="3"/>
      <c r="Q777" s="3"/>
      <c r="R777" s="3"/>
      <c r="S777" s="3"/>
      <c r="T777" s="3"/>
      <c r="U777" s="3"/>
      <c r="V777" s="3"/>
      <c r="W777" s="3"/>
    </row>
    <row r="778" spans="1:23">
      <c r="A778" s="3"/>
      <c r="B778" s="3"/>
      <c r="C778" s="13"/>
      <c r="D778" s="13"/>
      <c r="E778" s="13"/>
      <c r="F778" s="13"/>
      <c r="G778" s="3"/>
      <c r="H778" s="3"/>
      <c r="I778" s="3"/>
      <c r="J778" s="3"/>
      <c r="K778" s="3"/>
      <c r="L778" s="3"/>
      <c r="M778" s="3"/>
      <c r="N778" s="3"/>
      <c r="O778" s="3"/>
      <c r="P778" s="3"/>
      <c r="Q778" s="3"/>
      <c r="R778" s="3"/>
      <c r="S778" s="3"/>
      <c r="T778" s="3"/>
      <c r="U778" s="3"/>
      <c r="V778" s="3"/>
      <c r="W778" s="3"/>
    </row>
    <row r="779" spans="1:23">
      <c r="A779" s="3"/>
      <c r="B779" s="3"/>
      <c r="C779" s="13"/>
      <c r="D779" s="13"/>
      <c r="E779" s="13"/>
      <c r="F779" s="13"/>
      <c r="G779" s="3"/>
      <c r="H779" s="3"/>
      <c r="I779" s="3"/>
      <c r="J779" s="3"/>
      <c r="K779" s="3"/>
      <c r="L779" s="3"/>
      <c r="M779" s="3"/>
      <c r="N779" s="3"/>
      <c r="O779" s="3"/>
      <c r="P779" s="3"/>
      <c r="Q779" s="3"/>
      <c r="R779" s="3"/>
      <c r="S779" s="3"/>
      <c r="T779" s="3"/>
      <c r="U779" s="3"/>
      <c r="V779" s="3"/>
      <c r="W779" s="3"/>
    </row>
    <row r="780" spans="1:23">
      <c r="A780" s="3"/>
      <c r="B780" s="3"/>
      <c r="C780" s="13"/>
      <c r="D780" s="13"/>
      <c r="E780" s="13"/>
      <c r="F780" s="13"/>
      <c r="G780" s="3"/>
      <c r="H780" s="3"/>
      <c r="I780" s="3"/>
      <c r="J780" s="3"/>
      <c r="K780" s="3"/>
      <c r="L780" s="3"/>
      <c r="M780" s="3"/>
      <c r="N780" s="3"/>
      <c r="O780" s="3"/>
      <c r="P780" s="3"/>
      <c r="Q780" s="3"/>
      <c r="R780" s="3"/>
      <c r="S780" s="3"/>
      <c r="T780" s="3"/>
      <c r="U780" s="3"/>
      <c r="V780" s="3"/>
      <c r="W780" s="3"/>
    </row>
    <row r="781" spans="1:23">
      <c r="A781" s="3"/>
      <c r="B781" s="3"/>
      <c r="C781" s="13"/>
      <c r="D781" s="13"/>
      <c r="E781" s="13"/>
      <c r="F781" s="13"/>
      <c r="G781" s="3"/>
      <c r="H781" s="3"/>
      <c r="I781" s="3"/>
      <c r="J781" s="3"/>
      <c r="K781" s="3"/>
      <c r="L781" s="3"/>
      <c r="M781" s="3"/>
      <c r="N781" s="3"/>
      <c r="O781" s="3"/>
      <c r="P781" s="3"/>
      <c r="Q781" s="3"/>
      <c r="R781" s="3"/>
      <c r="S781" s="3"/>
      <c r="T781" s="3"/>
      <c r="U781" s="3"/>
      <c r="V781" s="3"/>
      <c r="W781" s="3"/>
    </row>
    <row r="782" spans="1:23">
      <c r="A782" s="3"/>
      <c r="B782" s="3"/>
      <c r="C782" s="13"/>
      <c r="D782" s="13"/>
      <c r="E782" s="13"/>
      <c r="F782" s="13"/>
      <c r="G782" s="3"/>
      <c r="H782" s="3"/>
      <c r="I782" s="3"/>
      <c r="J782" s="3"/>
      <c r="K782" s="3"/>
      <c r="L782" s="3"/>
      <c r="M782" s="3"/>
      <c r="N782" s="3"/>
      <c r="O782" s="3"/>
      <c r="P782" s="3"/>
      <c r="Q782" s="3"/>
      <c r="R782" s="3"/>
      <c r="S782" s="3"/>
      <c r="T782" s="3"/>
      <c r="U782" s="3"/>
      <c r="V782" s="3"/>
      <c r="W782" s="3"/>
    </row>
    <row r="783" spans="1:23">
      <c r="A783" s="3"/>
      <c r="B783" s="3"/>
      <c r="C783" s="13"/>
      <c r="D783" s="13"/>
      <c r="E783" s="13"/>
      <c r="F783" s="13"/>
      <c r="G783" s="3"/>
      <c r="H783" s="3"/>
      <c r="I783" s="3"/>
      <c r="J783" s="3"/>
      <c r="K783" s="3"/>
      <c r="L783" s="3"/>
      <c r="M783" s="3"/>
      <c r="N783" s="3"/>
      <c r="O783" s="3"/>
      <c r="P783" s="3"/>
      <c r="Q783" s="3"/>
      <c r="R783" s="3"/>
      <c r="S783" s="3"/>
      <c r="T783" s="3"/>
      <c r="U783" s="3"/>
      <c r="V783" s="3"/>
      <c r="W783" s="3"/>
    </row>
    <row r="784" spans="1:23">
      <c r="A784" s="3"/>
      <c r="B784" s="3"/>
      <c r="C784" s="13"/>
      <c r="D784" s="13"/>
      <c r="E784" s="13"/>
      <c r="F784" s="13"/>
      <c r="G784" s="3"/>
      <c r="H784" s="3"/>
      <c r="I784" s="3"/>
      <c r="J784" s="3"/>
      <c r="K784" s="3"/>
      <c r="L784" s="3"/>
      <c r="M784" s="3"/>
      <c r="N784" s="3"/>
      <c r="O784" s="3"/>
      <c r="P784" s="3"/>
      <c r="Q784" s="3"/>
      <c r="R784" s="3"/>
      <c r="S784" s="3"/>
      <c r="T784" s="3"/>
      <c r="U784" s="3"/>
      <c r="V784" s="3"/>
      <c r="W784" s="3"/>
    </row>
    <row r="785" spans="1:23">
      <c r="A785" s="3"/>
      <c r="B785" s="3"/>
      <c r="C785" s="13"/>
      <c r="D785" s="13"/>
      <c r="E785" s="13"/>
      <c r="F785" s="13"/>
      <c r="G785" s="3"/>
      <c r="H785" s="3"/>
      <c r="I785" s="3"/>
      <c r="J785" s="3"/>
      <c r="K785" s="3"/>
      <c r="L785" s="3"/>
      <c r="M785" s="3"/>
      <c r="N785" s="3"/>
      <c r="O785" s="3"/>
      <c r="P785" s="3"/>
      <c r="Q785" s="3"/>
      <c r="R785" s="3"/>
      <c r="S785" s="3"/>
      <c r="T785" s="3"/>
      <c r="U785" s="3"/>
      <c r="V785" s="3"/>
      <c r="W785" s="3"/>
    </row>
    <row r="786" spans="1:23">
      <c r="A786" s="3"/>
      <c r="B786" s="3"/>
      <c r="C786" s="13"/>
      <c r="D786" s="13"/>
      <c r="E786" s="13"/>
      <c r="F786" s="13"/>
      <c r="G786" s="3"/>
      <c r="H786" s="3"/>
      <c r="I786" s="3"/>
      <c r="J786" s="3"/>
      <c r="K786" s="3"/>
      <c r="L786" s="3"/>
      <c r="M786" s="3"/>
      <c r="N786" s="3"/>
      <c r="O786" s="3"/>
      <c r="P786" s="3"/>
      <c r="Q786" s="3"/>
      <c r="R786" s="3"/>
      <c r="S786" s="3"/>
      <c r="T786" s="3"/>
      <c r="U786" s="3"/>
      <c r="V786" s="3"/>
      <c r="W786" s="3"/>
    </row>
    <row r="787" spans="1:23">
      <c r="A787" s="3"/>
      <c r="B787" s="3"/>
      <c r="C787" s="13"/>
      <c r="D787" s="13"/>
      <c r="E787" s="13"/>
      <c r="F787" s="13"/>
      <c r="G787" s="3"/>
      <c r="H787" s="3"/>
      <c r="I787" s="3"/>
      <c r="J787" s="3"/>
      <c r="K787" s="3"/>
      <c r="L787" s="3"/>
      <c r="M787" s="3"/>
      <c r="N787" s="3"/>
      <c r="O787" s="3"/>
      <c r="P787" s="3"/>
      <c r="Q787" s="3"/>
      <c r="R787" s="3"/>
      <c r="S787" s="3"/>
      <c r="T787" s="3"/>
      <c r="U787" s="3"/>
      <c r="V787" s="3"/>
      <c r="W787" s="3"/>
    </row>
    <row r="788" spans="1:23">
      <c r="A788" s="3"/>
      <c r="B788" s="3"/>
      <c r="C788" s="13"/>
      <c r="D788" s="13"/>
      <c r="E788" s="13"/>
      <c r="F788" s="13"/>
      <c r="G788" s="3"/>
      <c r="H788" s="3"/>
      <c r="I788" s="3"/>
      <c r="J788" s="3"/>
      <c r="K788" s="3"/>
      <c r="L788" s="3"/>
      <c r="M788" s="3"/>
      <c r="N788" s="3"/>
      <c r="O788" s="3"/>
      <c r="P788" s="3"/>
      <c r="Q788" s="3"/>
      <c r="R788" s="3"/>
      <c r="S788" s="3"/>
      <c r="T788" s="3"/>
      <c r="U788" s="3"/>
      <c r="V788" s="3"/>
      <c r="W788" s="3"/>
    </row>
    <row r="789" spans="1:23">
      <c r="A789" s="3"/>
      <c r="B789" s="3"/>
      <c r="C789" s="13"/>
      <c r="D789" s="13"/>
      <c r="E789" s="13"/>
      <c r="F789" s="13"/>
      <c r="G789" s="3"/>
      <c r="H789" s="3"/>
      <c r="I789" s="3"/>
      <c r="J789" s="3"/>
      <c r="K789" s="3"/>
      <c r="L789" s="3"/>
      <c r="M789" s="3"/>
      <c r="N789" s="3"/>
      <c r="O789" s="3"/>
      <c r="P789" s="3"/>
      <c r="Q789" s="3"/>
      <c r="R789" s="3"/>
      <c r="S789" s="3"/>
      <c r="T789" s="3"/>
      <c r="U789" s="3"/>
      <c r="V789" s="3"/>
      <c r="W789" s="3"/>
    </row>
    <row r="790" spans="1:23">
      <c r="A790" s="3"/>
      <c r="B790" s="3"/>
      <c r="C790" s="13"/>
      <c r="D790" s="13"/>
      <c r="E790" s="13"/>
      <c r="F790" s="13"/>
      <c r="G790" s="3"/>
      <c r="H790" s="3"/>
      <c r="I790" s="3"/>
      <c r="J790" s="3"/>
      <c r="K790" s="3"/>
      <c r="L790" s="3"/>
      <c r="M790" s="3"/>
      <c r="N790" s="3"/>
      <c r="O790" s="3"/>
      <c r="P790" s="3"/>
      <c r="Q790" s="3"/>
      <c r="R790" s="3"/>
      <c r="S790" s="3"/>
      <c r="T790" s="3"/>
      <c r="U790" s="3"/>
      <c r="V790" s="3"/>
      <c r="W790" s="3"/>
    </row>
    <row r="791" spans="1:23">
      <c r="A791" s="3"/>
      <c r="B791" s="3"/>
      <c r="C791" s="13"/>
      <c r="D791" s="13"/>
      <c r="E791" s="13"/>
      <c r="F791" s="13"/>
      <c r="G791" s="3"/>
      <c r="H791" s="3"/>
      <c r="I791" s="3"/>
      <c r="J791" s="3"/>
      <c r="K791" s="3"/>
      <c r="L791" s="3"/>
      <c r="M791" s="3"/>
      <c r="N791" s="3"/>
      <c r="O791" s="3"/>
      <c r="P791" s="3"/>
      <c r="Q791" s="3"/>
      <c r="R791" s="3"/>
      <c r="S791" s="3"/>
      <c r="T791" s="3"/>
      <c r="U791" s="3"/>
      <c r="V791" s="3"/>
      <c r="W791" s="3"/>
    </row>
    <row r="792" spans="1:23">
      <c r="A792" s="3"/>
      <c r="B792" s="3"/>
      <c r="C792" s="13"/>
      <c r="D792" s="13"/>
      <c r="E792" s="13"/>
      <c r="F792" s="13"/>
      <c r="G792" s="3"/>
      <c r="H792" s="3"/>
      <c r="I792" s="3"/>
      <c r="J792" s="3"/>
      <c r="K792" s="3"/>
      <c r="L792" s="3"/>
      <c r="M792" s="3"/>
      <c r="N792" s="3"/>
      <c r="O792" s="3"/>
      <c r="P792" s="3"/>
      <c r="Q792" s="3"/>
      <c r="R792" s="3"/>
      <c r="S792" s="3"/>
      <c r="T792" s="3"/>
      <c r="U792" s="3"/>
      <c r="V792" s="3"/>
      <c r="W792" s="3"/>
    </row>
    <row r="793" spans="1:23">
      <c r="A793" s="3"/>
      <c r="B793" s="3"/>
      <c r="C793" s="13"/>
      <c r="D793" s="13"/>
      <c r="E793" s="13"/>
      <c r="F793" s="13"/>
      <c r="G793" s="3"/>
      <c r="H793" s="3"/>
      <c r="I793" s="3"/>
      <c r="J793" s="3"/>
      <c r="K793" s="3"/>
      <c r="L793" s="3"/>
      <c r="M793" s="3"/>
      <c r="N793" s="3"/>
      <c r="O793" s="3"/>
      <c r="P793" s="3"/>
      <c r="Q793" s="3"/>
      <c r="R793" s="3"/>
      <c r="S793" s="3"/>
      <c r="T793" s="3"/>
      <c r="U793" s="3"/>
      <c r="V793" s="3"/>
      <c r="W793" s="3"/>
    </row>
    <row r="794" spans="1:23">
      <c r="A794" s="3"/>
      <c r="B794" s="3"/>
      <c r="C794" s="13"/>
      <c r="D794" s="13"/>
      <c r="E794" s="13"/>
      <c r="F794" s="13"/>
      <c r="G794" s="3"/>
      <c r="H794" s="3"/>
      <c r="I794" s="3"/>
      <c r="J794" s="3"/>
      <c r="K794" s="3"/>
      <c r="L794" s="3"/>
      <c r="M794" s="3"/>
      <c r="N794" s="3"/>
      <c r="O794" s="3"/>
      <c r="P794" s="3"/>
      <c r="Q794" s="3"/>
      <c r="R794" s="3"/>
      <c r="S794" s="3"/>
      <c r="T794" s="3"/>
      <c r="U794" s="3"/>
      <c r="V794" s="3"/>
      <c r="W794" s="3"/>
    </row>
    <row r="795" spans="1:23">
      <c r="A795" s="3"/>
      <c r="B795" s="3"/>
      <c r="C795" s="13"/>
      <c r="D795" s="13"/>
      <c r="E795" s="13"/>
      <c r="F795" s="13"/>
      <c r="G795" s="3"/>
      <c r="H795" s="3"/>
      <c r="I795" s="3"/>
      <c r="J795" s="3"/>
      <c r="K795" s="3"/>
      <c r="L795" s="3"/>
      <c r="M795" s="3"/>
      <c r="N795" s="3"/>
      <c r="O795" s="3"/>
      <c r="P795" s="3"/>
      <c r="Q795" s="3"/>
      <c r="R795" s="3"/>
      <c r="S795" s="3"/>
      <c r="T795" s="3"/>
      <c r="U795" s="3"/>
      <c r="V795" s="3"/>
      <c r="W795" s="3"/>
    </row>
    <row r="796" spans="1:23">
      <c r="A796" s="3"/>
      <c r="B796" s="3"/>
      <c r="C796" s="13"/>
      <c r="D796" s="13"/>
      <c r="E796" s="13"/>
      <c r="F796" s="13"/>
      <c r="G796" s="3"/>
      <c r="H796" s="3"/>
      <c r="I796" s="3"/>
      <c r="J796" s="3"/>
      <c r="K796" s="3"/>
      <c r="L796" s="3"/>
      <c r="M796" s="3"/>
      <c r="N796" s="3"/>
      <c r="O796" s="3"/>
      <c r="P796" s="3"/>
      <c r="Q796" s="3"/>
      <c r="R796" s="3"/>
      <c r="S796" s="3"/>
      <c r="T796" s="3"/>
      <c r="U796" s="3"/>
      <c r="V796" s="3"/>
      <c r="W796" s="3"/>
    </row>
    <row r="797" spans="1:23">
      <c r="A797" s="3"/>
      <c r="B797" s="3"/>
      <c r="C797" s="13"/>
      <c r="D797" s="13"/>
      <c r="E797" s="13"/>
      <c r="F797" s="13"/>
      <c r="G797" s="3"/>
      <c r="H797" s="3"/>
      <c r="I797" s="3"/>
      <c r="J797" s="3"/>
      <c r="K797" s="3"/>
      <c r="L797" s="3"/>
      <c r="M797" s="3"/>
      <c r="N797" s="3"/>
      <c r="O797" s="3"/>
      <c r="P797" s="3"/>
      <c r="Q797" s="3"/>
      <c r="R797" s="3"/>
      <c r="S797" s="3"/>
      <c r="T797" s="3"/>
      <c r="U797" s="3"/>
      <c r="V797" s="3"/>
      <c r="W797" s="3"/>
    </row>
    <row r="798" spans="1:23">
      <c r="A798" s="3"/>
      <c r="B798" s="3"/>
      <c r="C798" s="13"/>
      <c r="D798" s="13"/>
      <c r="E798" s="13"/>
      <c r="F798" s="13"/>
      <c r="G798" s="3"/>
      <c r="H798" s="3"/>
      <c r="I798" s="3"/>
      <c r="J798" s="3"/>
      <c r="K798" s="3"/>
      <c r="L798" s="3"/>
      <c r="M798" s="3"/>
      <c r="N798" s="3"/>
      <c r="O798" s="3"/>
      <c r="P798" s="3"/>
      <c r="Q798" s="3"/>
      <c r="R798" s="3"/>
      <c r="S798" s="3"/>
      <c r="T798" s="3"/>
      <c r="U798" s="3"/>
      <c r="V798" s="3"/>
      <c r="W798" s="3"/>
    </row>
    <row r="799" spans="1:23">
      <c r="A799" s="3"/>
      <c r="B799" s="3"/>
      <c r="C799" s="13"/>
      <c r="D799" s="13"/>
      <c r="E799" s="13"/>
      <c r="F799" s="13"/>
      <c r="G799" s="3"/>
      <c r="H799" s="3"/>
      <c r="I799" s="3"/>
      <c r="J799" s="3"/>
      <c r="K799" s="3"/>
      <c r="L799" s="3"/>
      <c r="M799" s="3"/>
      <c r="N799" s="3"/>
      <c r="O799" s="3"/>
      <c r="P799" s="3"/>
      <c r="Q799" s="3"/>
      <c r="R799" s="3"/>
      <c r="S799" s="3"/>
      <c r="T799" s="3"/>
      <c r="U799" s="3"/>
      <c r="V799" s="3"/>
      <c r="W799" s="3"/>
    </row>
    <row r="800" spans="1:23">
      <c r="A800" s="3"/>
      <c r="B800" s="3"/>
      <c r="C800" s="13"/>
      <c r="D800" s="13"/>
      <c r="E800" s="13"/>
      <c r="F800" s="13"/>
      <c r="G800" s="3"/>
      <c r="H800" s="3"/>
      <c r="I800" s="3"/>
      <c r="J800" s="3"/>
      <c r="K800" s="3"/>
      <c r="L800" s="3"/>
      <c r="M800" s="3"/>
      <c r="N800" s="3"/>
      <c r="O800" s="3"/>
      <c r="P800" s="3"/>
      <c r="Q800" s="3"/>
      <c r="R800" s="3"/>
      <c r="S800" s="3"/>
      <c r="T800" s="3"/>
      <c r="U800" s="3"/>
      <c r="V800" s="3"/>
      <c r="W800" s="3"/>
    </row>
    <row r="801" spans="1:23">
      <c r="A801" s="3"/>
      <c r="B801" s="3"/>
      <c r="C801" s="13"/>
      <c r="D801" s="13"/>
      <c r="E801" s="13"/>
      <c r="F801" s="13"/>
      <c r="G801" s="3"/>
      <c r="H801" s="3"/>
      <c r="I801" s="3"/>
      <c r="J801" s="3"/>
      <c r="K801" s="3"/>
      <c r="L801" s="3"/>
      <c r="M801" s="3"/>
      <c r="N801" s="3"/>
      <c r="O801" s="3"/>
      <c r="P801" s="3"/>
      <c r="Q801" s="3"/>
      <c r="R801" s="3"/>
      <c r="S801" s="3"/>
      <c r="T801" s="3"/>
      <c r="U801" s="3"/>
      <c r="V801" s="3"/>
      <c r="W801" s="3"/>
    </row>
    <row r="802" spans="1:23">
      <c r="A802" s="3"/>
      <c r="B802" s="3"/>
      <c r="C802" s="13"/>
      <c r="D802" s="13"/>
      <c r="E802" s="13"/>
      <c r="F802" s="13"/>
      <c r="G802" s="3"/>
      <c r="H802" s="3"/>
      <c r="I802" s="3"/>
      <c r="J802" s="3"/>
      <c r="K802" s="3"/>
      <c r="L802" s="3"/>
      <c r="M802" s="3"/>
      <c r="N802" s="3"/>
      <c r="O802" s="3"/>
      <c r="P802" s="3"/>
      <c r="Q802" s="3"/>
      <c r="R802" s="3"/>
      <c r="S802" s="3"/>
      <c r="T802" s="3"/>
      <c r="U802" s="3"/>
      <c r="V802" s="3"/>
      <c r="W802" s="3"/>
    </row>
    <row r="803" spans="1:23">
      <c r="A803" s="3"/>
      <c r="B803" s="3"/>
      <c r="C803" s="13"/>
      <c r="D803" s="13"/>
      <c r="E803" s="13"/>
      <c r="F803" s="13"/>
      <c r="G803" s="3"/>
      <c r="H803" s="3"/>
      <c r="I803" s="3"/>
      <c r="J803" s="3"/>
      <c r="K803" s="3"/>
      <c r="L803" s="3"/>
      <c r="M803" s="3"/>
      <c r="N803" s="3"/>
      <c r="O803" s="3"/>
      <c r="P803" s="3"/>
      <c r="Q803" s="3"/>
      <c r="R803" s="3"/>
      <c r="S803" s="3"/>
      <c r="T803" s="3"/>
      <c r="U803" s="3"/>
      <c r="V803" s="3"/>
      <c r="W803" s="3"/>
    </row>
    <row r="804" spans="1:23">
      <c r="A804" s="3"/>
      <c r="B804" s="3"/>
      <c r="C804" s="13"/>
      <c r="D804" s="13"/>
      <c r="E804" s="13"/>
      <c r="F804" s="13"/>
      <c r="G804" s="3"/>
      <c r="H804" s="3"/>
      <c r="I804" s="3"/>
      <c r="J804" s="3"/>
      <c r="K804" s="3"/>
      <c r="L804" s="3"/>
      <c r="M804" s="3"/>
      <c r="N804" s="3"/>
      <c r="O804" s="3"/>
      <c r="P804" s="3"/>
      <c r="Q804" s="3"/>
      <c r="R804" s="3"/>
      <c r="S804" s="3"/>
      <c r="T804" s="3"/>
      <c r="U804" s="3"/>
      <c r="V804" s="3"/>
      <c r="W804" s="3"/>
    </row>
    <row r="805" spans="1:23">
      <c r="A805" s="3"/>
      <c r="B805" s="3"/>
      <c r="C805" s="13"/>
      <c r="D805" s="13"/>
      <c r="E805" s="13"/>
      <c r="F805" s="13"/>
      <c r="G805" s="3"/>
      <c r="H805" s="3"/>
      <c r="I805" s="3"/>
      <c r="J805" s="3"/>
      <c r="K805" s="3"/>
      <c r="L805" s="3"/>
      <c r="M805" s="3"/>
      <c r="N805" s="3"/>
      <c r="O805" s="3"/>
      <c r="P805" s="3"/>
      <c r="Q805" s="3"/>
      <c r="R805" s="3"/>
      <c r="S805" s="3"/>
      <c r="T805" s="3"/>
      <c r="U805" s="3"/>
      <c r="V805" s="3"/>
      <c r="W805" s="3"/>
    </row>
    <row r="806" spans="1:23">
      <c r="A806" s="3"/>
      <c r="B806" s="3"/>
      <c r="C806" s="13"/>
      <c r="D806" s="13"/>
      <c r="E806" s="13"/>
      <c r="F806" s="13"/>
      <c r="G806" s="3"/>
      <c r="H806" s="3"/>
      <c r="I806" s="3"/>
      <c r="J806" s="3"/>
      <c r="K806" s="3"/>
      <c r="L806" s="3"/>
      <c r="M806" s="3"/>
      <c r="N806" s="3"/>
      <c r="O806" s="3"/>
      <c r="P806" s="3"/>
      <c r="Q806" s="3"/>
      <c r="R806" s="3"/>
      <c r="S806" s="3"/>
      <c r="T806" s="3"/>
      <c r="U806" s="3"/>
      <c r="V806" s="3"/>
      <c r="W806" s="3"/>
    </row>
    <row r="807" spans="1:23">
      <c r="A807" s="3"/>
      <c r="B807" s="3"/>
      <c r="C807" s="13"/>
      <c r="D807" s="13"/>
      <c r="E807" s="13"/>
      <c r="F807" s="13"/>
      <c r="G807" s="3"/>
      <c r="H807" s="3"/>
      <c r="I807" s="3"/>
      <c r="J807" s="3"/>
      <c r="K807" s="3"/>
      <c r="L807" s="3"/>
      <c r="M807" s="3"/>
      <c r="N807" s="3"/>
      <c r="O807" s="3"/>
      <c r="P807" s="3"/>
      <c r="Q807" s="3"/>
      <c r="R807" s="3"/>
      <c r="S807" s="3"/>
      <c r="T807" s="3"/>
      <c r="U807" s="3"/>
      <c r="V807" s="3"/>
      <c r="W807" s="3"/>
    </row>
    <row r="808" spans="1:23">
      <c r="A808" s="3"/>
      <c r="B808" s="3"/>
      <c r="C808" s="13"/>
      <c r="D808" s="13"/>
      <c r="E808" s="13"/>
      <c r="F808" s="13"/>
      <c r="G808" s="3"/>
      <c r="H808" s="3"/>
      <c r="I808" s="3"/>
      <c r="J808" s="3"/>
      <c r="K808" s="3"/>
      <c r="L808" s="3"/>
      <c r="M808" s="3"/>
      <c r="N808" s="3"/>
      <c r="O808" s="3"/>
      <c r="P808" s="3"/>
      <c r="Q808" s="3"/>
      <c r="R808" s="3"/>
      <c r="S808" s="3"/>
      <c r="T808" s="3"/>
      <c r="U808" s="3"/>
      <c r="V808" s="3"/>
      <c r="W808" s="3"/>
    </row>
    <row r="809" spans="1:23">
      <c r="A809" s="3"/>
      <c r="B809" s="3"/>
      <c r="C809" s="13"/>
      <c r="D809" s="13"/>
      <c r="E809" s="13"/>
      <c r="F809" s="13"/>
      <c r="G809" s="3"/>
      <c r="H809" s="3"/>
      <c r="I809" s="3"/>
      <c r="J809" s="3"/>
      <c r="K809" s="3"/>
      <c r="L809" s="3"/>
      <c r="M809" s="3"/>
      <c r="N809" s="3"/>
      <c r="O809" s="3"/>
      <c r="P809" s="3"/>
      <c r="Q809" s="3"/>
      <c r="R809" s="3"/>
      <c r="S809" s="3"/>
      <c r="T809" s="3"/>
      <c r="U809" s="3"/>
      <c r="V809" s="3"/>
      <c r="W809" s="3"/>
    </row>
    <row r="810" spans="1:23">
      <c r="A810" s="3"/>
      <c r="B810" s="3"/>
      <c r="C810" s="13"/>
      <c r="D810" s="13"/>
      <c r="E810" s="13"/>
      <c r="F810" s="13"/>
      <c r="G810" s="3"/>
      <c r="H810" s="3"/>
      <c r="I810" s="3"/>
      <c r="J810" s="3"/>
      <c r="K810" s="3"/>
      <c r="L810" s="3"/>
      <c r="M810" s="3"/>
      <c r="N810" s="3"/>
      <c r="O810" s="3"/>
      <c r="P810" s="3"/>
      <c r="Q810" s="3"/>
      <c r="R810" s="3"/>
      <c r="S810" s="3"/>
      <c r="T810" s="3"/>
      <c r="U810" s="3"/>
      <c r="V810" s="3"/>
      <c r="W810" s="3"/>
    </row>
    <row r="811" spans="1:23">
      <c r="A811" s="3"/>
      <c r="B811" s="3"/>
      <c r="C811" s="13"/>
      <c r="D811" s="13"/>
      <c r="E811" s="13"/>
      <c r="F811" s="13"/>
      <c r="G811" s="3"/>
      <c r="H811" s="3"/>
      <c r="I811" s="3"/>
      <c r="J811" s="3"/>
      <c r="K811" s="3"/>
      <c r="L811" s="3"/>
      <c r="M811" s="3"/>
      <c r="N811" s="3"/>
      <c r="O811" s="3"/>
      <c r="P811" s="3"/>
      <c r="Q811" s="3"/>
      <c r="R811" s="3"/>
      <c r="S811" s="3"/>
      <c r="T811" s="3"/>
      <c r="U811" s="3"/>
      <c r="V811" s="3"/>
      <c r="W811" s="3"/>
    </row>
    <row r="812" spans="1:23">
      <c r="A812" s="3"/>
      <c r="B812" s="3"/>
      <c r="C812" s="13"/>
      <c r="D812" s="13"/>
      <c r="E812" s="13"/>
      <c r="F812" s="13"/>
      <c r="G812" s="3"/>
      <c r="H812" s="3"/>
      <c r="I812" s="3"/>
      <c r="J812" s="3"/>
      <c r="K812" s="3"/>
      <c r="L812" s="3"/>
      <c r="M812" s="3"/>
      <c r="N812" s="3"/>
      <c r="O812" s="3"/>
      <c r="P812" s="3"/>
      <c r="Q812" s="3"/>
      <c r="R812" s="3"/>
      <c r="S812" s="3"/>
      <c r="T812" s="3"/>
      <c r="U812" s="3"/>
      <c r="V812" s="3"/>
      <c r="W812" s="3"/>
    </row>
    <row r="813" spans="1:23">
      <c r="A813" s="3"/>
      <c r="B813" s="3"/>
      <c r="C813" s="13"/>
      <c r="D813" s="13"/>
      <c r="E813" s="13"/>
      <c r="F813" s="13"/>
      <c r="G813" s="3"/>
      <c r="H813" s="3"/>
      <c r="I813" s="3"/>
      <c r="J813" s="3"/>
      <c r="K813" s="3"/>
      <c r="L813" s="3"/>
      <c r="M813" s="3"/>
      <c r="N813" s="3"/>
      <c r="O813" s="3"/>
      <c r="P813" s="3"/>
      <c r="Q813" s="3"/>
      <c r="R813" s="3"/>
      <c r="S813" s="3"/>
      <c r="T813" s="3"/>
      <c r="U813" s="3"/>
      <c r="V813" s="3"/>
      <c r="W813" s="3"/>
    </row>
    <row r="814" spans="1:23">
      <c r="A814" s="3"/>
      <c r="B814" s="3"/>
      <c r="C814" s="13"/>
      <c r="D814" s="13"/>
      <c r="E814" s="13"/>
      <c r="F814" s="13"/>
      <c r="G814" s="3"/>
      <c r="H814" s="3"/>
      <c r="I814" s="3"/>
      <c r="J814" s="3"/>
      <c r="K814" s="3"/>
      <c r="L814" s="3"/>
      <c r="M814" s="3"/>
      <c r="N814" s="3"/>
      <c r="O814" s="3"/>
      <c r="P814" s="3"/>
      <c r="Q814" s="3"/>
      <c r="R814" s="3"/>
      <c r="S814" s="3"/>
      <c r="T814" s="3"/>
      <c r="U814" s="3"/>
      <c r="V814" s="3"/>
      <c r="W814" s="3"/>
    </row>
    <row r="815" spans="1:23">
      <c r="A815" s="3"/>
      <c r="B815" s="3"/>
      <c r="C815" s="13"/>
      <c r="D815" s="13"/>
      <c r="E815" s="13"/>
      <c r="F815" s="13"/>
      <c r="G815" s="3"/>
      <c r="H815" s="3"/>
      <c r="I815" s="3"/>
      <c r="J815" s="3"/>
      <c r="K815" s="3"/>
      <c r="L815" s="3"/>
      <c r="M815" s="3"/>
      <c r="N815" s="3"/>
      <c r="O815" s="3"/>
      <c r="P815" s="3"/>
      <c r="Q815" s="3"/>
      <c r="R815" s="3"/>
      <c r="S815" s="3"/>
      <c r="T815" s="3"/>
      <c r="U815" s="3"/>
      <c r="V815" s="3"/>
      <c r="W815" s="3"/>
    </row>
    <row r="816" spans="1:23">
      <c r="A816" s="3"/>
      <c r="B816" s="3"/>
      <c r="C816" s="13"/>
      <c r="D816" s="13"/>
      <c r="E816" s="13"/>
      <c r="F816" s="13"/>
      <c r="G816" s="3"/>
      <c r="H816" s="3"/>
      <c r="I816" s="3"/>
      <c r="J816" s="3"/>
      <c r="K816" s="3"/>
      <c r="L816" s="3"/>
      <c r="M816" s="3"/>
      <c r="N816" s="3"/>
      <c r="O816" s="3"/>
      <c r="P816" s="3"/>
      <c r="Q816" s="3"/>
      <c r="R816" s="3"/>
      <c r="S816" s="3"/>
      <c r="T816" s="3"/>
      <c r="U816" s="3"/>
      <c r="V816" s="3"/>
      <c r="W816" s="3"/>
    </row>
    <row r="817" spans="1:23">
      <c r="A817" s="3"/>
      <c r="B817" s="3"/>
      <c r="C817" s="13"/>
      <c r="D817" s="13"/>
      <c r="E817" s="13"/>
      <c r="F817" s="13"/>
      <c r="G817" s="3"/>
      <c r="H817" s="3"/>
      <c r="I817" s="3"/>
      <c r="J817" s="3"/>
      <c r="K817" s="3"/>
      <c r="L817" s="3"/>
      <c r="M817" s="3"/>
      <c r="N817" s="3"/>
      <c r="O817" s="3"/>
      <c r="P817" s="3"/>
      <c r="Q817" s="3"/>
      <c r="R817" s="3"/>
      <c r="S817" s="3"/>
      <c r="T817" s="3"/>
      <c r="U817" s="3"/>
      <c r="V817" s="3"/>
      <c r="W817" s="3"/>
    </row>
    <row r="818" spans="1:23">
      <c r="A818" s="3"/>
      <c r="B818" s="3"/>
      <c r="C818" s="13"/>
      <c r="D818" s="13"/>
      <c r="E818" s="13"/>
      <c r="F818" s="13"/>
      <c r="G818" s="3"/>
      <c r="H818" s="3"/>
      <c r="I818" s="3"/>
      <c r="J818" s="3"/>
      <c r="K818" s="3"/>
      <c r="L818" s="3"/>
      <c r="M818" s="3"/>
      <c r="N818" s="3"/>
      <c r="O818" s="3"/>
      <c r="P818" s="3"/>
      <c r="Q818" s="3"/>
      <c r="R818" s="3"/>
      <c r="S818" s="3"/>
      <c r="T818" s="3"/>
      <c r="U818" s="3"/>
      <c r="V818" s="3"/>
      <c r="W818" s="3"/>
    </row>
    <row r="819" spans="1:23">
      <c r="A819" s="3"/>
      <c r="B819" s="3"/>
      <c r="C819" s="13"/>
      <c r="D819" s="13"/>
      <c r="E819" s="13"/>
      <c r="F819" s="13"/>
      <c r="G819" s="3"/>
      <c r="H819" s="3"/>
      <c r="I819" s="3"/>
      <c r="J819" s="3"/>
      <c r="K819" s="3"/>
      <c r="L819" s="3"/>
      <c r="M819" s="3"/>
      <c r="N819" s="3"/>
      <c r="O819" s="3"/>
      <c r="P819" s="3"/>
      <c r="Q819" s="3"/>
      <c r="R819" s="3"/>
      <c r="S819" s="3"/>
      <c r="T819" s="3"/>
      <c r="U819" s="3"/>
      <c r="V819" s="3"/>
      <c r="W819" s="3"/>
    </row>
    <row r="820" spans="1:23">
      <c r="A820" s="3"/>
      <c r="B820" s="3"/>
      <c r="C820" s="13"/>
      <c r="D820" s="13"/>
      <c r="E820" s="13"/>
      <c r="F820" s="13"/>
      <c r="G820" s="3"/>
      <c r="H820" s="3"/>
      <c r="I820" s="3"/>
      <c r="J820" s="3"/>
      <c r="K820" s="3"/>
      <c r="L820" s="3"/>
      <c r="M820" s="3"/>
      <c r="N820" s="3"/>
      <c r="O820" s="3"/>
      <c r="P820" s="3"/>
      <c r="Q820" s="3"/>
      <c r="R820" s="3"/>
      <c r="S820" s="3"/>
      <c r="T820" s="3"/>
      <c r="U820" s="3"/>
      <c r="V820" s="3"/>
      <c r="W820" s="3"/>
    </row>
    <row r="821" spans="1:23">
      <c r="A821" s="3"/>
      <c r="B821" s="3"/>
      <c r="C821" s="13"/>
      <c r="D821" s="13"/>
      <c r="E821" s="13"/>
      <c r="F821" s="13"/>
      <c r="G821" s="3"/>
      <c r="H821" s="3"/>
      <c r="I821" s="3"/>
      <c r="J821" s="3"/>
      <c r="K821" s="3"/>
      <c r="L821" s="3"/>
      <c r="M821" s="3"/>
      <c r="N821" s="3"/>
      <c r="O821" s="3"/>
      <c r="P821" s="3"/>
      <c r="Q821" s="3"/>
      <c r="R821" s="3"/>
      <c r="S821" s="3"/>
      <c r="T821" s="3"/>
      <c r="U821" s="3"/>
      <c r="V821" s="3"/>
      <c r="W821" s="3"/>
    </row>
    <row r="822" spans="1:23">
      <c r="A822" s="3"/>
      <c r="B822" s="3"/>
      <c r="C822" s="13"/>
      <c r="D822" s="13"/>
      <c r="E822" s="13"/>
      <c r="F822" s="13"/>
      <c r="G822" s="3"/>
      <c r="H822" s="3"/>
      <c r="I822" s="3"/>
      <c r="J822" s="3"/>
      <c r="K822" s="3"/>
      <c r="L822" s="3"/>
      <c r="M822" s="3"/>
      <c r="N822" s="3"/>
      <c r="O822" s="3"/>
      <c r="P822" s="3"/>
      <c r="Q822" s="3"/>
      <c r="R822" s="3"/>
      <c r="S822" s="3"/>
      <c r="T822" s="3"/>
      <c r="U822" s="3"/>
      <c r="V822" s="3"/>
      <c r="W822" s="3"/>
    </row>
    <row r="823" spans="1:23">
      <c r="A823" s="3"/>
      <c r="B823" s="3"/>
      <c r="C823" s="13"/>
      <c r="D823" s="13"/>
      <c r="E823" s="13"/>
      <c r="F823" s="13"/>
      <c r="G823" s="3"/>
      <c r="H823" s="3"/>
      <c r="I823" s="3"/>
      <c r="J823" s="3"/>
      <c r="K823" s="3"/>
      <c r="L823" s="3"/>
      <c r="M823" s="3"/>
      <c r="N823" s="3"/>
      <c r="O823" s="3"/>
      <c r="P823" s="3"/>
      <c r="Q823" s="3"/>
      <c r="R823" s="3"/>
      <c r="S823" s="3"/>
      <c r="T823" s="3"/>
      <c r="U823" s="3"/>
      <c r="V823" s="3"/>
      <c r="W823" s="3"/>
    </row>
    <row r="824" spans="1:23">
      <c r="A824" s="3"/>
      <c r="B824" s="3"/>
      <c r="C824" s="13"/>
      <c r="D824" s="13"/>
      <c r="E824" s="13"/>
      <c r="F824" s="13"/>
      <c r="G824" s="3"/>
      <c r="H824" s="3"/>
      <c r="I824" s="3"/>
      <c r="J824" s="3"/>
      <c r="K824" s="3"/>
      <c r="L824" s="3"/>
      <c r="M824" s="3"/>
      <c r="N824" s="3"/>
      <c r="O824" s="3"/>
      <c r="P824" s="3"/>
      <c r="Q824" s="3"/>
      <c r="R824" s="3"/>
      <c r="S824" s="3"/>
      <c r="T824" s="3"/>
      <c r="U824" s="3"/>
      <c r="V824" s="3"/>
      <c r="W824" s="3"/>
    </row>
    <row r="825" spans="1:23">
      <c r="A825" s="3"/>
      <c r="B825" s="3"/>
      <c r="C825" s="13"/>
      <c r="D825" s="13"/>
      <c r="E825" s="13"/>
      <c r="F825" s="13"/>
      <c r="G825" s="3"/>
      <c r="H825" s="3"/>
      <c r="I825" s="3"/>
      <c r="J825" s="3"/>
      <c r="K825" s="3"/>
      <c r="L825" s="3"/>
      <c r="M825" s="3"/>
      <c r="N825" s="3"/>
      <c r="O825" s="3"/>
      <c r="P825" s="3"/>
      <c r="Q825" s="3"/>
      <c r="R825" s="3"/>
      <c r="S825" s="3"/>
      <c r="T825" s="3"/>
      <c r="U825" s="3"/>
      <c r="V825" s="3"/>
      <c r="W825" s="3"/>
    </row>
    <row r="826" spans="1:23">
      <c r="A826" s="3"/>
      <c r="B826" s="3"/>
      <c r="C826" s="13"/>
      <c r="D826" s="13"/>
      <c r="E826" s="13"/>
      <c r="F826" s="13"/>
      <c r="G826" s="3"/>
      <c r="H826" s="3"/>
      <c r="I826" s="3"/>
      <c r="J826" s="3"/>
      <c r="K826" s="3"/>
      <c r="L826" s="3"/>
      <c r="M826" s="3"/>
      <c r="N826" s="3"/>
      <c r="O826" s="3"/>
      <c r="P826" s="3"/>
      <c r="Q826" s="3"/>
      <c r="R826" s="3"/>
      <c r="S826" s="3"/>
      <c r="T826" s="3"/>
      <c r="U826" s="3"/>
      <c r="V826" s="3"/>
      <c r="W826" s="3"/>
    </row>
    <row r="827" spans="1:23">
      <c r="A827" s="3"/>
      <c r="B827" s="3"/>
      <c r="C827" s="13"/>
      <c r="D827" s="13"/>
      <c r="E827" s="13"/>
      <c r="F827" s="13"/>
      <c r="G827" s="3"/>
      <c r="H827" s="3"/>
      <c r="I827" s="3"/>
      <c r="J827" s="3"/>
      <c r="K827" s="3"/>
      <c r="L827" s="3"/>
      <c r="M827" s="3"/>
      <c r="N827" s="3"/>
      <c r="O827" s="3"/>
      <c r="P827" s="3"/>
      <c r="Q827" s="3"/>
      <c r="R827" s="3"/>
      <c r="S827" s="3"/>
      <c r="T827" s="3"/>
      <c r="U827" s="3"/>
      <c r="V827" s="3"/>
      <c r="W827" s="3"/>
    </row>
    <row r="828" spans="1:23">
      <c r="A828" s="3"/>
      <c r="B828" s="3"/>
      <c r="C828" s="13"/>
      <c r="D828" s="13"/>
      <c r="E828" s="13"/>
      <c r="F828" s="13"/>
      <c r="G828" s="3"/>
      <c r="H828" s="3"/>
      <c r="I828" s="3"/>
      <c r="J828" s="3"/>
      <c r="K828" s="3"/>
      <c r="L828" s="3"/>
      <c r="M828" s="3"/>
      <c r="N828" s="3"/>
      <c r="O828" s="3"/>
      <c r="P828" s="3"/>
      <c r="Q828" s="3"/>
      <c r="R828" s="3"/>
      <c r="S828" s="3"/>
      <c r="T828" s="3"/>
      <c r="U828" s="3"/>
      <c r="V828" s="3"/>
      <c r="W828" s="3"/>
    </row>
    <row r="829" spans="1:23">
      <c r="A829" s="3"/>
      <c r="B829" s="3"/>
      <c r="C829" s="13"/>
      <c r="D829" s="13"/>
      <c r="E829" s="13"/>
      <c r="F829" s="13"/>
      <c r="G829" s="3"/>
      <c r="H829" s="3"/>
      <c r="I829" s="3"/>
      <c r="J829" s="3"/>
      <c r="K829" s="3"/>
      <c r="L829" s="3"/>
      <c r="M829" s="3"/>
      <c r="N829" s="3"/>
      <c r="O829" s="3"/>
      <c r="P829" s="3"/>
      <c r="Q829" s="3"/>
      <c r="R829" s="3"/>
      <c r="S829" s="3"/>
      <c r="T829" s="3"/>
      <c r="U829" s="3"/>
      <c r="V829" s="3"/>
      <c r="W829" s="3"/>
    </row>
    <row r="830" spans="1:23">
      <c r="A830" s="3"/>
      <c r="B830" s="3"/>
      <c r="C830" s="13"/>
      <c r="D830" s="13"/>
      <c r="E830" s="13"/>
      <c r="F830" s="13"/>
      <c r="G830" s="3"/>
      <c r="H830" s="3"/>
      <c r="I830" s="3"/>
      <c r="J830" s="3"/>
      <c r="K830" s="3"/>
      <c r="L830" s="3"/>
      <c r="M830" s="3"/>
      <c r="N830" s="3"/>
      <c r="O830" s="3"/>
      <c r="P830" s="3"/>
      <c r="Q830" s="3"/>
      <c r="R830" s="3"/>
      <c r="S830" s="3"/>
      <c r="T830" s="3"/>
      <c r="U830" s="3"/>
      <c r="V830" s="3"/>
      <c r="W830" s="3"/>
    </row>
    <row r="831" spans="1:23">
      <c r="A831" s="3"/>
      <c r="B831" s="3"/>
      <c r="C831" s="13"/>
      <c r="D831" s="13"/>
      <c r="E831" s="13"/>
      <c r="F831" s="13"/>
      <c r="G831" s="3"/>
      <c r="H831" s="3"/>
      <c r="I831" s="3"/>
      <c r="J831" s="3"/>
      <c r="K831" s="3"/>
      <c r="L831" s="3"/>
      <c r="M831" s="3"/>
      <c r="N831" s="3"/>
      <c r="O831" s="3"/>
      <c r="P831" s="3"/>
      <c r="Q831" s="3"/>
      <c r="R831" s="3"/>
      <c r="S831" s="3"/>
      <c r="T831" s="3"/>
      <c r="U831" s="3"/>
      <c r="V831" s="3"/>
      <c r="W831" s="3"/>
    </row>
    <row r="832" spans="1:23">
      <c r="A832" s="3"/>
      <c r="B832" s="3"/>
      <c r="C832" s="13"/>
      <c r="D832" s="13"/>
      <c r="E832" s="13"/>
      <c r="F832" s="13"/>
      <c r="G832" s="3"/>
      <c r="H832" s="3"/>
      <c r="I832" s="3"/>
      <c r="J832" s="3"/>
      <c r="K832" s="3"/>
      <c r="L832" s="3"/>
      <c r="M832" s="3"/>
      <c r="N832" s="3"/>
      <c r="O832" s="3"/>
      <c r="P832" s="3"/>
      <c r="Q832" s="3"/>
      <c r="R832" s="3"/>
      <c r="S832" s="3"/>
      <c r="T832" s="3"/>
      <c r="U832" s="3"/>
      <c r="V832" s="3"/>
      <c r="W832" s="3"/>
    </row>
    <row r="833" spans="1:23">
      <c r="A833" s="3"/>
      <c r="B833" s="3"/>
      <c r="C833" s="13"/>
      <c r="D833" s="13"/>
      <c r="E833" s="13"/>
      <c r="F833" s="13"/>
      <c r="G833" s="3"/>
      <c r="H833" s="3"/>
      <c r="I833" s="3"/>
      <c r="J833" s="3"/>
      <c r="K833" s="3"/>
      <c r="L833" s="3"/>
      <c r="M833" s="3"/>
      <c r="N833" s="3"/>
      <c r="O833" s="3"/>
      <c r="P833" s="3"/>
      <c r="Q833" s="3"/>
      <c r="R833" s="3"/>
      <c r="S833" s="3"/>
      <c r="T833" s="3"/>
      <c r="U833" s="3"/>
      <c r="V833" s="3"/>
      <c r="W833" s="3"/>
    </row>
    <row r="834" spans="1:23">
      <c r="A834" s="3"/>
      <c r="B834" s="3"/>
      <c r="C834" s="13"/>
      <c r="D834" s="13"/>
      <c r="E834" s="13"/>
      <c r="F834" s="13"/>
      <c r="G834" s="3"/>
      <c r="H834" s="3"/>
      <c r="I834" s="3"/>
      <c r="J834" s="3"/>
      <c r="K834" s="3"/>
      <c r="L834" s="3"/>
      <c r="M834" s="3"/>
      <c r="N834" s="3"/>
      <c r="O834" s="3"/>
      <c r="P834" s="3"/>
      <c r="Q834" s="3"/>
      <c r="R834" s="3"/>
      <c r="S834" s="3"/>
      <c r="T834" s="3"/>
      <c r="U834" s="3"/>
      <c r="V834" s="3"/>
      <c r="W834" s="3"/>
    </row>
    <row r="835" spans="1:23">
      <c r="A835" s="3"/>
      <c r="B835" s="3"/>
      <c r="C835" s="13"/>
      <c r="D835" s="13"/>
      <c r="E835" s="13"/>
      <c r="F835" s="13"/>
      <c r="G835" s="3"/>
      <c r="H835" s="3"/>
      <c r="I835" s="3"/>
      <c r="J835" s="3"/>
      <c r="K835" s="3"/>
      <c r="L835" s="3"/>
      <c r="M835" s="3"/>
      <c r="N835" s="3"/>
      <c r="O835" s="3"/>
      <c r="P835" s="3"/>
      <c r="Q835" s="3"/>
      <c r="R835" s="3"/>
      <c r="S835" s="3"/>
      <c r="T835" s="3"/>
      <c r="U835" s="3"/>
      <c r="V835" s="3"/>
      <c r="W835" s="3"/>
    </row>
    <row r="836" spans="1:23">
      <c r="A836" s="3"/>
      <c r="B836" s="3"/>
      <c r="C836" s="13"/>
      <c r="D836" s="13"/>
      <c r="E836" s="13"/>
      <c r="F836" s="13"/>
      <c r="G836" s="3"/>
      <c r="H836" s="3"/>
      <c r="I836" s="3"/>
      <c r="J836" s="3"/>
      <c r="K836" s="3"/>
      <c r="L836" s="3"/>
      <c r="M836" s="3"/>
      <c r="N836" s="3"/>
      <c r="O836" s="3"/>
      <c r="P836" s="3"/>
      <c r="Q836" s="3"/>
      <c r="R836" s="3"/>
      <c r="S836" s="3"/>
      <c r="T836" s="3"/>
      <c r="U836" s="3"/>
      <c r="V836" s="3"/>
      <c r="W836" s="3"/>
    </row>
    <row r="837" spans="1:23">
      <c r="A837" s="3"/>
      <c r="B837" s="3"/>
      <c r="C837" s="13"/>
      <c r="D837" s="13"/>
      <c r="E837" s="13"/>
      <c r="F837" s="13"/>
      <c r="G837" s="3"/>
      <c r="H837" s="3"/>
      <c r="I837" s="3"/>
      <c r="J837" s="3"/>
      <c r="K837" s="3"/>
      <c r="L837" s="3"/>
      <c r="M837" s="3"/>
      <c r="N837" s="3"/>
      <c r="O837" s="3"/>
      <c r="P837" s="3"/>
      <c r="Q837" s="3"/>
      <c r="R837" s="3"/>
      <c r="S837" s="3"/>
      <c r="T837" s="3"/>
      <c r="U837" s="3"/>
      <c r="V837" s="3"/>
      <c r="W837" s="3"/>
    </row>
    <row r="838" spans="1:23">
      <c r="A838" s="3"/>
      <c r="B838" s="3"/>
      <c r="C838" s="13"/>
      <c r="D838" s="13"/>
      <c r="E838" s="13"/>
      <c r="F838" s="13"/>
      <c r="G838" s="3"/>
      <c r="H838" s="3"/>
      <c r="I838" s="3"/>
      <c r="J838" s="3"/>
      <c r="K838" s="3"/>
      <c r="L838" s="3"/>
      <c r="M838" s="3"/>
      <c r="N838" s="3"/>
      <c r="O838" s="3"/>
      <c r="P838" s="3"/>
      <c r="Q838" s="3"/>
      <c r="R838" s="3"/>
      <c r="S838" s="3"/>
      <c r="T838" s="3"/>
      <c r="U838" s="3"/>
      <c r="V838" s="3"/>
      <c r="W838" s="3"/>
    </row>
    <row r="839" spans="1:23">
      <c r="A839" s="3"/>
      <c r="B839" s="3"/>
      <c r="C839" s="13"/>
      <c r="D839" s="13"/>
      <c r="E839" s="13"/>
      <c r="F839" s="13"/>
      <c r="G839" s="3"/>
      <c r="H839" s="3"/>
      <c r="I839" s="3"/>
      <c r="J839" s="3"/>
      <c r="K839" s="3"/>
      <c r="L839" s="3"/>
      <c r="M839" s="3"/>
      <c r="N839" s="3"/>
      <c r="O839" s="3"/>
      <c r="P839" s="3"/>
      <c r="Q839" s="3"/>
      <c r="R839" s="3"/>
      <c r="S839" s="3"/>
      <c r="T839" s="3"/>
      <c r="U839" s="3"/>
      <c r="V839" s="3"/>
      <c r="W839" s="3"/>
    </row>
    <row r="840" spans="1:23">
      <c r="A840" s="3"/>
      <c r="B840" s="3"/>
      <c r="C840" s="13"/>
      <c r="D840" s="13"/>
      <c r="E840" s="13"/>
      <c r="F840" s="13"/>
      <c r="G840" s="3"/>
      <c r="H840" s="3"/>
      <c r="I840" s="3"/>
      <c r="J840" s="3"/>
      <c r="K840" s="3"/>
      <c r="L840" s="3"/>
      <c r="M840" s="3"/>
      <c r="N840" s="3"/>
      <c r="O840" s="3"/>
      <c r="P840" s="3"/>
      <c r="Q840" s="3"/>
      <c r="R840" s="3"/>
      <c r="S840" s="3"/>
      <c r="T840" s="3"/>
      <c r="U840" s="3"/>
      <c r="V840" s="3"/>
      <c r="W840" s="3"/>
    </row>
    <row r="841" spans="1:23">
      <c r="A841" s="3"/>
      <c r="B841" s="3"/>
      <c r="C841" s="13"/>
      <c r="D841" s="13"/>
      <c r="E841" s="13"/>
      <c r="F841" s="13"/>
      <c r="G841" s="3"/>
      <c r="H841" s="3"/>
      <c r="I841" s="3"/>
      <c r="J841" s="3"/>
      <c r="K841" s="3"/>
      <c r="L841" s="3"/>
      <c r="M841" s="3"/>
      <c r="N841" s="3"/>
      <c r="O841" s="3"/>
      <c r="P841" s="3"/>
      <c r="Q841" s="3"/>
      <c r="R841" s="3"/>
      <c r="S841" s="3"/>
      <c r="T841" s="3"/>
      <c r="U841" s="3"/>
      <c r="V841" s="3"/>
      <c r="W841" s="3"/>
    </row>
    <row r="842" spans="1:23">
      <c r="A842" s="3"/>
      <c r="B842" s="3"/>
      <c r="C842" s="13"/>
      <c r="D842" s="13"/>
      <c r="E842" s="13"/>
      <c r="F842" s="13"/>
      <c r="G842" s="3"/>
      <c r="H842" s="3"/>
      <c r="I842" s="3"/>
      <c r="J842" s="3"/>
      <c r="K842" s="3"/>
      <c r="L842" s="3"/>
      <c r="M842" s="3"/>
      <c r="N842" s="3"/>
      <c r="O842" s="3"/>
      <c r="P842" s="3"/>
      <c r="Q842" s="3"/>
      <c r="R842" s="3"/>
      <c r="S842" s="3"/>
      <c r="T842" s="3"/>
      <c r="U842" s="3"/>
      <c r="V842" s="3"/>
      <c r="W842" s="3"/>
    </row>
    <row r="843" spans="1:23">
      <c r="A843" s="3"/>
      <c r="B843" s="3"/>
      <c r="C843" s="13"/>
      <c r="D843" s="13"/>
      <c r="E843" s="13"/>
      <c r="F843" s="13"/>
      <c r="G843" s="3"/>
      <c r="H843" s="3"/>
      <c r="I843" s="3"/>
      <c r="J843" s="3"/>
      <c r="K843" s="3"/>
      <c r="L843" s="3"/>
      <c r="M843" s="3"/>
      <c r="N843" s="3"/>
      <c r="O843" s="3"/>
      <c r="P843" s="3"/>
      <c r="Q843" s="3"/>
      <c r="R843" s="3"/>
      <c r="S843" s="3"/>
      <c r="T843" s="3"/>
      <c r="U843" s="3"/>
      <c r="V843" s="3"/>
      <c r="W843" s="3"/>
    </row>
    <row r="844" spans="1:23">
      <c r="A844" s="3"/>
      <c r="B844" s="3"/>
      <c r="C844" s="13"/>
      <c r="D844" s="13"/>
      <c r="E844" s="13"/>
      <c r="F844" s="13"/>
      <c r="G844" s="3"/>
      <c r="H844" s="3"/>
      <c r="I844" s="3"/>
      <c r="J844" s="3"/>
      <c r="K844" s="3"/>
      <c r="L844" s="3"/>
      <c r="M844" s="3"/>
      <c r="N844" s="3"/>
      <c r="O844" s="3"/>
      <c r="P844" s="3"/>
      <c r="Q844" s="3"/>
      <c r="R844" s="3"/>
      <c r="S844" s="3"/>
      <c r="T844" s="3"/>
      <c r="U844" s="3"/>
      <c r="V844" s="3"/>
      <c r="W844" s="3"/>
    </row>
    <row r="845" spans="1:23">
      <c r="A845" s="3"/>
      <c r="B845" s="3"/>
      <c r="C845" s="13"/>
      <c r="D845" s="13"/>
      <c r="E845" s="13"/>
      <c r="F845" s="13"/>
      <c r="G845" s="3"/>
      <c r="H845" s="3"/>
      <c r="I845" s="3"/>
      <c r="J845" s="3"/>
      <c r="K845" s="3"/>
      <c r="L845" s="3"/>
      <c r="M845" s="3"/>
      <c r="N845" s="3"/>
      <c r="O845" s="3"/>
      <c r="P845" s="3"/>
      <c r="Q845" s="3"/>
      <c r="R845" s="3"/>
      <c r="S845" s="3"/>
      <c r="T845" s="3"/>
      <c r="U845" s="3"/>
      <c r="V845" s="3"/>
      <c r="W845" s="3"/>
    </row>
    <row r="846" spans="1:23">
      <c r="A846" s="3"/>
      <c r="B846" s="3"/>
      <c r="C846" s="13"/>
      <c r="D846" s="13"/>
      <c r="E846" s="13"/>
      <c r="F846" s="13"/>
      <c r="G846" s="3"/>
      <c r="H846" s="3"/>
      <c r="I846" s="3"/>
      <c r="J846" s="3"/>
      <c r="K846" s="3"/>
      <c r="L846" s="3"/>
      <c r="M846" s="3"/>
      <c r="N846" s="3"/>
      <c r="O846" s="3"/>
      <c r="P846" s="3"/>
      <c r="Q846" s="3"/>
      <c r="R846" s="3"/>
      <c r="S846" s="3"/>
      <c r="T846" s="3"/>
      <c r="U846" s="3"/>
      <c r="V846" s="3"/>
      <c r="W846" s="3"/>
    </row>
    <row r="847" spans="1:23">
      <c r="A847" s="3"/>
      <c r="B847" s="3"/>
      <c r="C847" s="13"/>
      <c r="D847" s="13"/>
      <c r="E847" s="13"/>
      <c r="F847" s="13"/>
      <c r="G847" s="3"/>
      <c r="H847" s="3"/>
      <c r="I847" s="3"/>
      <c r="J847" s="3"/>
      <c r="K847" s="3"/>
      <c r="L847" s="3"/>
      <c r="M847" s="3"/>
      <c r="N847" s="3"/>
      <c r="O847" s="3"/>
      <c r="P847" s="3"/>
      <c r="Q847" s="3"/>
      <c r="R847" s="3"/>
      <c r="S847" s="3"/>
      <c r="T847" s="3"/>
      <c r="U847" s="3"/>
      <c r="V847" s="3"/>
      <c r="W847" s="3"/>
    </row>
    <row r="848" spans="1:23">
      <c r="A848" s="3"/>
      <c r="B848" s="3"/>
      <c r="C848" s="13"/>
      <c r="D848" s="13"/>
      <c r="E848" s="13"/>
      <c r="F848" s="13"/>
      <c r="G848" s="3"/>
      <c r="H848" s="3"/>
      <c r="I848" s="3"/>
      <c r="J848" s="3"/>
      <c r="K848" s="3"/>
      <c r="L848" s="3"/>
      <c r="M848" s="3"/>
      <c r="N848" s="3"/>
      <c r="O848" s="3"/>
      <c r="P848" s="3"/>
      <c r="Q848" s="3"/>
      <c r="R848" s="3"/>
      <c r="S848" s="3"/>
      <c r="T848" s="3"/>
      <c r="U848" s="3"/>
      <c r="V848" s="3"/>
      <c r="W848" s="3"/>
    </row>
    <row r="849" spans="1:23">
      <c r="A849" s="3"/>
      <c r="B849" s="3"/>
      <c r="C849" s="13"/>
      <c r="D849" s="13"/>
      <c r="E849" s="13"/>
      <c r="F849" s="13"/>
      <c r="G849" s="3"/>
      <c r="H849" s="3"/>
      <c r="I849" s="3"/>
      <c r="J849" s="3"/>
      <c r="K849" s="3"/>
      <c r="L849" s="3"/>
      <c r="M849" s="3"/>
      <c r="N849" s="3"/>
      <c r="O849" s="3"/>
      <c r="P849" s="3"/>
      <c r="Q849" s="3"/>
      <c r="R849" s="3"/>
      <c r="S849" s="3"/>
      <c r="T849" s="3"/>
      <c r="U849" s="3"/>
      <c r="V849" s="3"/>
      <c r="W849" s="3"/>
    </row>
    <row r="850" spans="1:23">
      <c r="A850" s="3"/>
      <c r="B850" s="3"/>
      <c r="C850" s="13"/>
      <c r="D850" s="13"/>
      <c r="E850" s="13"/>
      <c r="F850" s="13"/>
      <c r="G850" s="3"/>
      <c r="H850" s="3"/>
      <c r="I850" s="3"/>
      <c r="J850" s="3"/>
      <c r="K850" s="3"/>
      <c r="L850" s="3"/>
      <c r="M850" s="3"/>
      <c r="N850" s="3"/>
      <c r="O850" s="3"/>
      <c r="P850" s="3"/>
      <c r="Q850" s="3"/>
      <c r="R850" s="3"/>
      <c r="S850" s="3"/>
      <c r="T850" s="3"/>
      <c r="U850" s="3"/>
      <c r="V850" s="3"/>
      <c r="W850" s="3"/>
    </row>
    <row r="851" spans="1:23">
      <c r="A851" s="3"/>
      <c r="B851" s="3"/>
      <c r="C851" s="13"/>
      <c r="D851" s="13"/>
      <c r="E851" s="13"/>
      <c r="F851" s="13"/>
      <c r="G851" s="3"/>
      <c r="H851" s="3"/>
      <c r="I851" s="3"/>
      <c r="J851" s="3"/>
      <c r="K851" s="3"/>
      <c r="L851" s="3"/>
      <c r="M851" s="3"/>
      <c r="N851" s="3"/>
      <c r="O851" s="3"/>
      <c r="P851" s="3"/>
      <c r="Q851" s="3"/>
      <c r="R851" s="3"/>
      <c r="S851" s="3"/>
      <c r="T851" s="3"/>
      <c r="U851" s="3"/>
      <c r="V851" s="3"/>
      <c r="W851" s="3"/>
    </row>
    <row r="852" spans="1:23">
      <c r="A852" s="3"/>
      <c r="B852" s="3"/>
      <c r="C852" s="13"/>
      <c r="D852" s="13"/>
      <c r="E852" s="13"/>
      <c r="F852" s="13"/>
      <c r="G852" s="3"/>
      <c r="H852" s="3"/>
      <c r="I852" s="3"/>
      <c r="J852" s="3"/>
      <c r="K852" s="3"/>
      <c r="L852" s="3"/>
      <c r="M852" s="3"/>
      <c r="N852" s="3"/>
      <c r="O852" s="3"/>
      <c r="P852" s="3"/>
      <c r="Q852" s="3"/>
      <c r="R852" s="3"/>
      <c r="S852" s="3"/>
      <c r="T852" s="3"/>
      <c r="U852" s="3"/>
      <c r="V852" s="3"/>
      <c r="W852" s="3"/>
    </row>
    <row r="853" spans="1:23">
      <c r="A853" s="3"/>
      <c r="B853" s="3"/>
      <c r="C853" s="13"/>
      <c r="D853" s="13"/>
      <c r="E853" s="13"/>
      <c r="F853" s="13"/>
      <c r="G853" s="3"/>
      <c r="H853" s="3"/>
      <c r="I853" s="3"/>
      <c r="J853" s="3"/>
      <c r="K853" s="3"/>
      <c r="L853" s="3"/>
      <c r="M853" s="3"/>
      <c r="N853" s="3"/>
      <c r="O853" s="3"/>
      <c r="P853" s="3"/>
      <c r="Q853" s="3"/>
      <c r="R853" s="3"/>
      <c r="S853" s="3"/>
      <c r="T853" s="3"/>
      <c r="U853" s="3"/>
      <c r="V853" s="3"/>
      <c r="W853" s="3"/>
    </row>
    <row r="854" spans="1:23">
      <c r="A854" s="3"/>
      <c r="B854" s="3"/>
      <c r="C854" s="13"/>
      <c r="D854" s="13"/>
      <c r="E854" s="13"/>
      <c r="F854" s="13"/>
      <c r="G854" s="3"/>
      <c r="H854" s="3"/>
      <c r="I854" s="3"/>
      <c r="J854" s="3"/>
      <c r="K854" s="3"/>
      <c r="L854" s="3"/>
      <c r="M854" s="3"/>
      <c r="N854" s="3"/>
      <c r="O854" s="3"/>
      <c r="P854" s="3"/>
      <c r="Q854" s="3"/>
      <c r="R854" s="3"/>
      <c r="S854" s="3"/>
      <c r="T854" s="3"/>
      <c r="U854" s="3"/>
      <c r="V854" s="3"/>
      <c r="W854" s="3"/>
    </row>
    <row r="855" spans="1:23">
      <c r="A855" s="3"/>
      <c r="B855" s="3"/>
      <c r="C855" s="13"/>
      <c r="D855" s="13"/>
      <c r="E855" s="13"/>
      <c r="F855" s="13"/>
      <c r="G855" s="3"/>
      <c r="H855" s="3"/>
      <c r="I855" s="3"/>
      <c r="J855" s="3"/>
      <c r="K855" s="3"/>
      <c r="L855" s="3"/>
      <c r="M855" s="3"/>
      <c r="N855" s="3"/>
      <c r="O855" s="3"/>
      <c r="P855" s="3"/>
      <c r="Q855" s="3"/>
      <c r="R855" s="3"/>
      <c r="S855" s="3"/>
      <c r="T855" s="3"/>
      <c r="U855" s="3"/>
      <c r="V855" s="3"/>
      <c r="W855" s="3"/>
    </row>
    <row r="856" spans="1:23">
      <c r="A856" s="3"/>
      <c r="B856" s="3"/>
      <c r="C856" s="13"/>
      <c r="D856" s="13"/>
      <c r="E856" s="13"/>
      <c r="F856" s="13"/>
      <c r="G856" s="3"/>
      <c r="H856" s="3"/>
      <c r="I856" s="3"/>
      <c r="J856" s="3"/>
      <c r="K856" s="3"/>
      <c r="L856" s="3"/>
      <c r="M856" s="3"/>
      <c r="N856" s="3"/>
      <c r="O856" s="3"/>
      <c r="P856" s="3"/>
      <c r="Q856" s="3"/>
      <c r="R856" s="3"/>
      <c r="S856" s="3"/>
      <c r="T856" s="3"/>
      <c r="U856" s="3"/>
      <c r="V856" s="3"/>
      <c r="W856" s="3"/>
    </row>
    <row r="857" spans="1:23">
      <c r="A857" s="3"/>
      <c r="B857" s="3"/>
      <c r="C857" s="13"/>
      <c r="D857" s="13"/>
      <c r="E857" s="13"/>
      <c r="F857" s="13"/>
      <c r="G857" s="3"/>
      <c r="H857" s="3"/>
      <c r="I857" s="3"/>
      <c r="J857" s="3"/>
      <c r="K857" s="3"/>
      <c r="L857" s="3"/>
      <c r="M857" s="3"/>
      <c r="N857" s="3"/>
      <c r="O857" s="3"/>
      <c r="P857" s="3"/>
      <c r="Q857" s="3"/>
      <c r="R857" s="3"/>
      <c r="S857" s="3"/>
      <c r="T857" s="3"/>
      <c r="U857" s="3"/>
      <c r="V857" s="3"/>
      <c r="W857" s="3"/>
    </row>
    <row r="858" spans="1:23">
      <c r="A858" s="3"/>
      <c r="B858" s="3"/>
      <c r="C858" s="13"/>
      <c r="D858" s="13"/>
      <c r="E858" s="13"/>
      <c r="F858" s="13"/>
      <c r="G858" s="3"/>
      <c r="H858" s="3"/>
      <c r="I858" s="3"/>
      <c r="J858" s="3"/>
      <c r="K858" s="3"/>
      <c r="L858" s="3"/>
      <c r="M858" s="3"/>
      <c r="N858" s="3"/>
      <c r="O858" s="3"/>
      <c r="P858" s="3"/>
      <c r="Q858" s="3"/>
      <c r="R858" s="3"/>
      <c r="S858" s="3"/>
      <c r="T858" s="3"/>
      <c r="U858" s="3"/>
      <c r="V858" s="3"/>
      <c r="W858" s="3"/>
    </row>
    <row r="859" spans="1:23">
      <c r="A859" s="3"/>
      <c r="B859" s="3"/>
      <c r="C859" s="13"/>
      <c r="D859" s="13"/>
      <c r="E859" s="13"/>
      <c r="F859" s="13"/>
      <c r="G859" s="3"/>
      <c r="H859" s="3"/>
      <c r="I859" s="3"/>
      <c r="J859" s="3"/>
      <c r="K859" s="3"/>
      <c r="L859" s="3"/>
      <c r="M859" s="3"/>
      <c r="N859" s="3"/>
      <c r="O859" s="3"/>
      <c r="P859" s="3"/>
      <c r="Q859" s="3"/>
      <c r="R859" s="3"/>
      <c r="S859" s="3"/>
      <c r="T859" s="3"/>
      <c r="U859" s="3"/>
      <c r="V859" s="3"/>
      <c r="W859" s="3"/>
    </row>
    <row r="860" spans="1:23">
      <c r="A860" s="3"/>
      <c r="B860" s="3"/>
      <c r="C860" s="13"/>
      <c r="D860" s="13"/>
      <c r="E860" s="13"/>
      <c r="F860" s="13"/>
      <c r="G860" s="3"/>
      <c r="H860" s="3"/>
      <c r="I860" s="3"/>
      <c r="J860" s="3"/>
      <c r="K860" s="3"/>
      <c r="L860" s="3"/>
      <c r="M860" s="3"/>
      <c r="N860" s="3"/>
      <c r="O860" s="3"/>
      <c r="P860" s="3"/>
      <c r="Q860" s="3"/>
      <c r="R860" s="3"/>
      <c r="S860" s="3"/>
      <c r="T860" s="3"/>
      <c r="U860" s="3"/>
      <c r="V860" s="3"/>
      <c r="W860" s="3"/>
    </row>
    <row r="861" spans="1:23">
      <c r="A861" s="3"/>
      <c r="B861" s="3"/>
      <c r="C861" s="13"/>
      <c r="D861" s="13"/>
      <c r="E861" s="13"/>
      <c r="F861" s="13"/>
      <c r="G861" s="3"/>
      <c r="H861" s="3"/>
      <c r="I861" s="3"/>
      <c r="J861" s="3"/>
      <c r="K861" s="3"/>
      <c r="L861" s="3"/>
      <c r="M861" s="3"/>
      <c r="N861" s="3"/>
      <c r="O861" s="3"/>
      <c r="P861" s="3"/>
      <c r="Q861" s="3"/>
      <c r="R861" s="3"/>
      <c r="S861" s="3"/>
      <c r="T861" s="3"/>
      <c r="U861" s="3"/>
      <c r="V861" s="3"/>
      <c r="W861" s="3"/>
    </row>
    <row r="862" spans="1:23">
      <c r="A862" s="3"/>
      <c r="B862" s="3"/>
      <c r="C862" s="13"/>
      <c r="D862" s="13"/>
      <c r="E862" s="13"/>
      <c r="F862" s="13"/>
      <c r="G862" s="3"/>
      <c r="H862" s="3"/>
      <c r="I862" s="3"/>
      <c r="J862" s="3"/>
      <c r="K862" s="3"/>
      <c r="L862" s="3"/>
      <c r="M862" s="3"/>
      <c r="N862" s="3"/>
      <c r="O862" s="3"/>
      <c r="P862" s="3"/>
      <c r="Q862" s="3"/>
      <c r="R862" s="3"/>
      <c r="S862" s="3"/>
      <c r="T862" s="3"/>
      <c r="U862" s="3"/>
      <c r="V862" s="3"/>
      <c r="W862" s="3"/>
    </row>
    <row r="863" spans="1:23">
      <c r="A863" s="3"/>
      <c r="B863" s="3"/>
      <c r="C863" s="13"/>
      <c r="D863" s="13"/>
      <c r="E863" s="13"/>
      <c r="F863" s="13"/>
      <c r="G863" s="3"/>
      <c r="H863" s="3"/>
      <c r="I863" s="3"/>
      <c r="J863" s="3"/>
      <c r="K863" s="3"/>
      <c r="L863" s="3"/>
      <c r="M863" s="3"/>
      <c r="N863" s="3"/>
      <c r="O863" s="3"/>
      <c r="P863" s="3"/>
      <c r="Q863" s="3"/>
      <c r="R863" s="3"/>
      <c r="S863" s="3"/>
      <c r="T863" s="3"/>
      <c r="U863" s="3"/>
      <c r="V863" s="3"/>
      <c r="W863" s="3"/>
    </row>
    <row r="864" spans="1:23">
      <c r="A864" s="3"/>
      <c r="B864" s="3"/>
      <c r="C864" s="13"/>
      <c r="D864" s="13"/>
      <c r="E864" s="13"/>
      <c r="F864" s="13"/>
      <c r="G864" s="3"/>
      <c r="H864" s="3"/>
      <c r="I864" s="3"/>
      <c r="J864" s="3"/>
      <c r="K864" s="3"/>
      <c r="L864" s="3"/>
      <c r="M864" s="3"/>
      <c r="N864" s="3"/>
      <c r="O864" s="3"/>
      <c r="P864" s="3"/>
      <c r="Q864" s="3"/>
      <c r="R864" s="3"/>
      <c r="S864" s="3"/>
      <c r="T864" s="3"/>
      <c r="U864" s="3"/>
      <c r="V864" s="3"/>
      <c r="W864" s="3"/>
    </row>
    <row r="865" spans="1:23">
      <c r="A865" s="3"/>
      <c r="B865" s="3"/>
      <c r="C865" s="13"/>
      <c r="D865" s="13"/>
      <c r="E865" s="13"/>
      <c r="F865" s="13"/>
      <c r="G865" s="3"/>
      <c r="H865" s="3"/>
      <c r="I865" s="3"/>
      <c r="J865" s="3"/>
      <c r="K865" s="3"/>
      <c r="L865" s="3"/>
      <c r="M865" s="3"/>
      <c r="N865" s="3"/>
      <c r="O865" s="3"/>
      <c r="P865" s="3"/>
      <c r="Q865" s="3"/>
      <c r="R865" s="3"/>
      <c r="S865" s="3"/>
      <c r="T865" s="3"/>
      <c r="U865" s="3"/>
      <c r="V865" s="3"/>
      <c r="W865" s="3"/>
    </row>
    <row r="866" spans="1:23">
      <c r="A866" s="3"/>
      <c r="B866" s="3"/>
      <c r="C866" s="13"/>
      <c r="D866" s="13"/>
      <c r="E866" s="13"/>
      <c r="F866" s="13"/>
      <c r="G866" s="3"/>
      <c r="H866" s="3"/>
      <c r="I866" s="3"/>
      <c r="J866" s="3"/>
      <c r="K866" s="3"/>
      <c r="L866" s="3"/>
      <c r="M866" s="3"/>
      <c r="N866" s="3"/>
      <c r="O866" s="3"/>
      <c r="P866" s="3"/>
      <c r="Q866" s="3"/>
      <c r="R866" s="3"/>
      <c r="S866" s="3"/>
      <c r="T866" s="3"/>
      <c r="U866" s="3"/>
      <c r="V866" s="3"/>
      <c r="W866" s="3"/>
    </row>
    <row r="867" spans="1:23">
      <c r="A867" s="3"/>
      <c r="B867" s="3"/>
      <c r="C867" s="13"/>
      <c r="D867" s="13"/>
      <c r="E867" s="13"/>
      <c r="F867" s="13"/>
      <c r="G867" s="3"/>
      <c r="H867" s="3"/>
      <c r="I867" s="3"/>
      <c r="J867" s="3"/>
      <c r="K867" s="3"/>
      <c r="L867" s="3"/>
      <c r="M867" s="3"/>
      <c r="N867" s="3"/>
      <c r="O867" s="3"/>
      <c r="P867" s="3"/>
      <c r="Q867" s="3"/>
      <c r="R867" s="3"/>
      <c r="S867" s="3"/>
      <c r="T867" s="3"/>
      <c r="U867" s="3"/>
      <c r="V867" s="3"/>
      <c r="W867" s="3"/>
    </row>
    <row r="868" spans="1:23">
      <c r="A868" s="3"/>
      <c r="B868" s="3"/>
      <c r="C868" s="13"/>
      <c r="D868" s="13"/>
      <c r="E868" s="13"/>
      <c r="F868" s="13"/>
      <c r="G868" s="3"/>
      <c r="H868" s="3"/>
      <c r="I868" s="3"/>
      <c r="J868" s="3"/>
      <c r="K868" s="3"/>
      <c r="L868" s="3"/>
      <c r="M868" s="3"/>
      <c r="N868" s="3"/>
      <c r="O868" s="3"/>
      <c r="P868" s="3"/>
      <c r="Q868" s="3"/>
      <c r="R868" s="3"/>
      <c r="S868" s="3"/>
      <c r="T868" s="3"/>
      <c r="U868" s="3"/>
      <c r="V868" s="3"/>
      <c r="W868" s="3"/>
    </row>
    <row r="869" spans="1:23">
      <c r="A869" s="3"/>
      <c r="B869" s="3"/>
      <c r="C869" s="13"/>
      <c r="D869" s="13"/>
      <c r="E869" s="13"/>
      <c r="F869" s="13"/>
      <c r="G869" s="3"/>
      <c r="H869" s="3"/>
      <c r="I869" s="3"/>
      <c r="J869" s="3"/>
      <c r="K869" s="3"/>
      <c r="L869" s="3"/>
      <c r="M869" s="3"/>
      <c r="N869" s="3"/>
      <c r="O869" s="3"/>
      <c r="P869" s="3"/>
      <c r="Q869" s="3"/>
      <c r="R869" s="3"/>
      <c r="S869" s="3"/>
      <c r="T869" s="3"/>
      <c r="U869" s="3"/>
      <c r="V869" s="3"/>
      <c r="W869" s="3"/>
    </row>
    <row r="870" spans="1:23">
      <c r="A870" s="3"/>
      <c r="B870" s="3"/>
      <c r="C870" s="13"/>
      <c r="D870" s="13"/>
      <c r="E870" s="13"/>
      <c r="F870" s="13"/>
      <c r="G870" s="3"/>
      <c r="H870" s="3"/>
      <c r="I870" s="3"/>
      <c r="J870" s="3"/>
      <c r="K870" s="3"/>
      <c r="L870" s="3"/>
      <c r="M870" s="3"/>
      <c r="N870" s="3"/>
      <c r="O870" s="3"/>
      <c r="P870" s="3"/>
      <c r="Q870" s="3"/>
      <c r="R870" s="3"/>
      <c r="S870" s="3"/>
      <c r="T870" s="3"/>
      <c r="U870" s="3"/>
      <c r="V870" s="3"/>
      <c r="W870" s="3"/>
    </row>
    <row r="871" spans="1:23">
      <c r="A871" s="3"/>
      <c r="B871" s="3"/>
      <c r="C871" s="13"/>
      <c r="D871" s="13"/>
      <c r="E871" s="13"/>
      <c r="F871" s="13"/>
      <c r="G871" s="3"/>
      <c r="H871" s="3"/>
      <c r="I871" s="3"/>
      <c r="J871" s="3"/>
      <c r="K871" s="3"/>
      <c r="L871" s="3"/>
      <c r="M871" s="3"/>
      <c r="N871" s="3"/>
      <c r="O871" s="3"/>
      <c r="P871" s="3"/>
      <c r="Q871" s="3"/>
      <c r="R871" s="3"/>
      <c r="S871" s="3"/>
      <c r="T871" s="3"/>
      <c r="U871" s="3"/>
      <c r="V871" s="3"/>
      <c r="W871" s="3"/>
    </row>
    <row r="872" spans="1:23">
      <c r="A872" s="3"/>
      <c r="B872" s="3"/>
      <c r="C872" s="13"/>
      <c r="D872" s="13"/>
      <c r="E872" s="13"/>
      <c r="F872" s="13"/>
      <c r="G872" s="3"/>
      <c r="H872" s="3"/>
      <c r="I872" s="3"/>
      <c r="J872" s="3"/>
      <c r="K872" s="3"/>
      <c r="L872" s="3"/>
      <c r="M872" s="3"/>
      <c r="N872" s="3"/>
      <c r="O872" s="3"/>
      <c r="P872" s="3"/>
      <c r="Q872" s="3"/>
      <c r="R872" s="3"/>
      <c r="S872" s="3"/>
      <c r="T872" s="3"/>
      <c r="U872" s="3"/>
      <c r="V872" s="3"/>
      <c r="W872" s="3"/>
    </row>
    <row r="873" spans="1:23">
      <c r="A873" s="3"/>
      <c r="B873" s="3"/>
      <c r="C873" s="13"/>
      <c r="D873" s="13"/>
      <c r="E873" s="13"/>
      <c r="F873" s="13"/>
      <c r="G873" s="3"/>
      <c r="H873" s="3"/>
      <c r="I873" s="3"/>
      <c r="J873" s="3"/>
      <c r="K873" s="3"/>
      <c r="L873" s="3"/>
      <c r="M873" s="3"/>
      <c r="N873" s="3"/>
      <c r="O873" s="3"/>
      <c r="P873" s="3"/>
      <c r="Q873" s="3"/>
      <c r="R873" s="3"/>
      <c r="S873" s="3"/>
      <c r="T873" s="3"/>
      <c r="U873" s="3"/>
      <c r="V873" s="3"/>
      <c r="W873" s="3"/>
    </row>
    <row r="874" spans="1:23">
      <c r="A874" s="3"/>
      <c r="B874" s="3"/>
      <c r="C874" s="13"/>
      <c r="D874" s="13"/>
      <c r="E874" s="13"/>
      <c r="F874" s="13"/>
      <c r="G874" s="3"/>
      <c r="H874" s="3"/>
      <c r="I874" s="3"/>
      <c r="J874" s="3"/>
      <c r="K874" s="3"/>
      <c r="L874" s="3"/>
      <c r="M874" s="3"/>
      <c r="N874" s="3"/>
      <c r="O874" s="3"/>
      <c r="P874" s="3"/>
      <c r="Q874" s="3"/>
      <c r="R874" s="3"/>
      <c r="S874" s="3"/>
      <c r="T874" s="3"/>
      <c r="U874" s="3"/>
      <c r="V874" s="3"/>
      <c r="W874" s="3"/>
    </row>
    <row r="875" spans="1:23">
      <c r="A875" s="3"/>
      <c r="B875" s="3"/>
      <c r="C875" s="13"/>
      <c r="D875" s="13"/>
      <c r="E875" s="13"/>
      <c r="F875" s="13"/>
      <c r="G875" s="3"/>
      <c r="H875" s="3"/>
      <c r="I875" s="3"/>
      <c r="J875" s="3"/>
      <c r="K875" s="3"/>
      <c r="L875" s="3"/>
      <c r="M875" s="3"/>
      <c r="N875" s="3"/>
      <c r="O875" s="3"/>
      <c r="P875" s="3"/>
      <c r="Q875" s="3"/>
      <c r="R875" s="3"/>
      <c r="S875" s="3"/>
      <c r="T875" s="3"/>
      <c r="U875" s="3"/>
      <c r="V875" s="3"/>
      <c r="W875" s="3"/>
    </row>
    <row r="876" spans="1:23">
      <c r="A876" s="3"/>
      <c r="B876" s="3"/>
      <c r="C876" s="13"/>
      <c r="D876" s="13"/>
      <c r="E876" s="13"/>
      <c r="F876" s="13"/>
      <c r="G876" s="3"/>
      <c r="H876" s="3"/>
      <c r="I876" s="3"/>
      <c r="J876" s="3"/>
      <c r="K876" s="3"/>
      <c r="L876" s="3"/>
      <c r="M876" s="3"/>
      <c r="N876" s="3"/>
      <c r="O876" s="3"/>
      <c r="P876" s="3"/>
      <c r="Q876" s="3"/>
      <c r="R876" s="3"/>
      <c r="S876" s="3"/>
      <c r="T876" s="3"/>
      <c r="U876" s="3"/>
      <c r="V876" s="3"/>
      <c r="W876" s="3"/>
    </row>
    <row r="877" spans="1:23">
      <c r="A877" s="3"/>
      <c r="B877" s="3"/>
      <c r="C877" s="13"/>
      <c r="D877" s="13"/>
      <c r="E877" s="13"/>
      <c r="F877" s="13"/>
      <c r="G877" s="3"/>
      <c r="H877" s="3"/>
      <c r="I877" s="3"/>
      <c r="J877" s="3"/>
      <c r="K877" s="3"/>
      <c r="L877" s="3"/>
      <c r="M877" s="3"/>
      <c r="N877" s="3"/>
      <c r="O877" s="3"/>
      <c r="P877" s="3"/>
      <c r="Q877" s="3"/>
      <c r="R877" s="3"/>
      <c r="S877" s="3"/>
      <c r="T877" s="3"/>
      <c r="U877" s="3"/>
      <c r="V877" s="3"/>
      <c r="W877" s="3"/>
    </row>
    <row r="878" spans="1:23">
      <c r="A878" s="3"/>
      <c r="B878" s="3"/>
      <c r="C878" s="13"/>
      <c r="D878" s="13"/>
      <c r="E878" s="13"/>
      <c r="F878" s="13"/>
      <c r="G878" s="3"/>
      <c r="H878" s="3"/>
      <c r="I878" s="3"/>
      <c r="J878" s="3"/>
      <c r="K878" s="3"/>
      <c r="L878" s="3"/>
      <c r="M878" s="3"/>
      <c r="N878" s="3"/>
      <c r="O878" s="3"/>
      <c r="P878" s="3"/>
      <c r="Q878" s="3"/>
      <c r="R878" s="3"/>
      <c r="S878" s="3"/>
      <c r="T878" s="3"/>
      <c r="U878" s="3"/>
      <c r="V878" s="3"/>
      <c r="W878" s="3"/>
    </row>
    <row r="879" spans="1:23">
      <c r="A879" s="3"/>
      <c r="B879" s="3"/>
      <c r="C879" s="13"/>
      <c r="D879" s="13"/>
      <c r="E879" s="13"/>
      <c r="F879" s="13"/>
      <c r="G879" s="3"/>
      <c r="H879" s="3"/>
      <c r="I879" s="3"/>
      <c r="J879" s="3"/>
      <c r="K879" s="3"/>
      <c r="L879" s="3"/>
      <c r="M879" s="3"/>
      <c r="N879" s="3"/>
      <c r="O879" s="3"/>
      <c r="P879" s="3"/>
      <c r="Q879" s="3"/>
      <c r="R879" s="3"/>
      <c r="S879" s="3"/>
      <c r="T879" s="3"/>
      <c r="U879" s="3"/>
      <c r="V879" s="3"/>
      <c r="W879" s="3"/>
    </row>
    <row r="880" spans="1:23">
      <c r="A880" s="3"/>
      <c r="B880" s="3"/>
      <c r="C880" s="13"/>
      <c r="D880" s="13"/>
      <c r="E880" s="13"/>
      <c r="F880" s="13"/>
      <c r="G880" s="3"/>
      <c r="H880" s="3"/>
      <c r="I880" s="3"/>
      <c r="J880" s="3"/>
      <c r="K880" s="3"/>
      <c r="L880" s="3"/>
      <c r="M880" s="3"/>
      <c r="N880" s="3"/>
      <c r="O880" s="3"/>
      <c r="P880" s="3"/>
      <c r="Q880" s="3"/>
      <c r="R880" s="3"/>
      <c r="S880" s="3"/>
      <c r="T880" s="3"/>
      <c r="U880" s="3"/>
      <c r="V880" s="3"/>
      <c r="W880" s="3"/>
    </row>
    <row r="881" spans="1:23">
      <c r="A881" s="3"/>
      <c r="B881" s="3"/>
      <c r="C881" s="13"/>
      <c r="D881" s="13"/>
      <c r="E881" s="13"/>
      <c r="F881" s="13"/>
      <c r="G881" s="3"/>
      <c r="H881" s="3"/>
      <c r="I881" s="3"/>
      <c r="J881" s="3"/>
      <c r="K881" s="3"/>
      <c r="L881" s="3"/>
      <c r="M881" s="3"/>
      <c r="N881" s="3"/>
      <c r="O881" s="3"/>
      <c r="P881" s="3"/>
      <c r="Q881" s="3"/>
      <c r="R881" s="3"/>
      <c r="S881" s="3"/>
      <c r="T881" s="3"/>
      <c r="U881" s="3"/>
      <c r="V881" s="3"/>
      <c r="W881" s="3"/>
    </row>
    <row r="882" spans="1:23">
      <c r="A882" s="3"/>
      <c r="B882" s="3"/>
      <c r="C882" s="13"/>
      <c r="D882" s="13"/>
      <c r="E882" s="13"/>
      <c r="F882" s="13"/>
      <c r="G882" s="3"/>
      <c r="H882" s="3"/>
      <c r="I882" s="3"/>
      <c r="J882" s="3"/>
      <c r="K882" s="3"/>
      <c r="L882" s="3"/>
      <c r="M882" s="3"/>
      <c r="N882" s="3"/>
      <c r="O882" s="3"/>
      <c r="P882" s="3"/>
      <c r="Q882" s="3"/>
      <c r="R882" s="3"/>
      <c r="S882" s="3"/>
      <c r="T882" s="3"/>
      <c r="U882" s="3"/>
      <c r="V882" s="3"/>
      <c r="W882" s="3"/>
    </row>
    <row r="883" spans="1:23">
      <c r="A883" s="3"/>
      <c r="B883" s="3"/>
      <c r="C883" s="13"/>
      <c r="D883" s="13"/>
      <c r="E883" s="13"/>
      <c r="F883" s="13"/>
      <c r="G883" s="3"/>
      <c r="H883" s="3"/>
      <c r="I883" s="3"/>
      <c r="J883" s="3"/>
      <c r="K883" s="3"/>
      <c r="L883" s="3"/>
      <c r="M883" s="3"/>
      <c r="N883" s="3"/>
      <c r="O883" s="3"/>
      <c r="P883" s="3"/>
      <c r="Q883" s="3"/>
      <c r="R883" s="3"/>
      <c r="S883" s="3"/>
      <c r="T883" s="3"/>
      <c r="U883" s="3"/>
      <c r="V883" s="3"/>
      <c r="W883" s="3"/>
    </row>
    <row r="884" spans="1:23">
      <c r="A884" s="3"/>
      <c r="B884" s="3"/>
      <c r="C884" s="13"/>
      <c r="D884" s="13"/>
      <c r="E884" s="13"/>
      <c r="F884" s="13"/>
      <c r="G884" s="3"/>
      <c r="H884" s="3"/>
      <c r="I884" s="3"/>
      <c r="J884" s="3"/>
      <c r="K884" s="3"/>
      <c r="L884" s="3"/>
      <c r="M884" s="3"/>
      <c r="N884" s="3"/>
      <c r="O884" s="3"/>
      <c r="P884" s="3"/>
      <c r="Q884" s="3"/>
      <c r="R884" s="3"/>
      <c r="S884" s="3"/>
      <c r="T884" s="3"/>
      <c r="U884" s="3"/>
      <c r="V884" s="3"/>
      <c r="W884" s="3"/>
    </row>
    <row r="885" spans="1:23">
      <c r="A885" s="3"/>
      <c r="B885" s="3"/>
      <c r="C885" s="13"/>
      <c r="D885" s="13"/>
      <c r="E885" s="13"/>
      <c r="F885" s="13"/>
      <c r="G885" s="3"/>
      <c r="H885" s="3"/>
      <c r="I885" s="3"/>
      <c r="J885" s="3"/>
      <c r="K885" s="3"/>
      <c r="L885" s="3"/>
      <c r="M885" s="3"/>
      <c r="N885" s="3"/>
      <c r="O885" s="3"/>
      <c r="P885" s="3"/>
      <c r="Q885" s="3"/>
      <c r="R885" s="3"/>
      <c r="S885" s="3"/>
      <c r="T885" s="3"/>
      <c r="U885" s="3"/>
      <c r="V885" s="3"/>
      <c r="W885" s="3"/>
    </row>
    <row r="886" spans="1:23">
      <c r="A886" s="3"/>
      <c r="B886" s="3"/>
      <c r="C886" s="13"/>
      <c r="D886" s="13"/>
      <c r="E886" s="13"/>
      <c r="F886" s="13"/>
      <c r="G886" s="3"/>
      <c r="H886" s="3"/>
      <c r="I886" s="3"/>
      <c r="J886" s="3"/>
      <c r="K886" s="3"/>
      <c r="L886" s="3"/>
      <c r="M886" s="3"/>
      <c r="N886" s="3"/>
      <c r="O886" s="3"/>
      <c r="P886" s="3"/>
      <c r="Q886" s="3"/>
      <c r="R886" s="3"/>
      <c r="S886" s="3"/>
      <c r="T886" s="3"/>
      <c r="U886" s="3"/>
      <c r="V886" s="3"/>
      <c r="W886" s="3"/>
    </row>
    <row r="887" spans="1:23">
      <c r="A887" s="3"/>
      <c r="B887" s="3"/>
      <c r="C887" s="13"/>
      <c r="D887" s="13"/>
      <c r="E887" s="13"/>
      <c r="F887" s="13"/>
      <c r="G887" s="3"/>
      <c r="H887" s="3"/>
      <c r="I887" s="3"/>
      <c r="J887" s="3"/>
      <c r="K887" s="3"/>
      <c r="L887" s="3"/>
      <c r="M887" s="3"/>
      <c r="N887" s="3"/>
      <c r="O887" s="3"/>
      <c r="P887" s="3"/>
      <c r="Q887" s="3"/>
      <c r="R887" s="3"/>
      <c r="S887" s="3"/>
      <c r="T887" s="3"/>
      <c r="U887" s="3"/>
      <c r="V887" s="3"/>
      <c r="W887" s="3"/>
    </row>
    <row r="888" spans="1:23">
      <c r="A888" s="3"/>
      <c r="B888" s="3"/>
      <c r="C888" s="13"/>
      <c r="D888" s="13"/>
      <c r="E888" s="13"/>
      <c r="F888" s="13"/>
      <c r="G888" s="3"/>
      <c r="H888" s="3"/>
      <c r="I888" s="3"/>
      <c r="J888" s="3"/>
      <c r="K888" s="3"/>
      <c r="L888" s="3"/>
      <c r="M888" s="3"/>
      <c r="N888" s="3"/>
      <c r="O888" s="3"/>
      <c r="P888" s="3"/>
      <c r="Q888" s="3"/>
      <c r="R888" s="3"/>
      <c r="S888" s="3"/>
      <c r="T888" s="3"/>
      <c r="U888" s="3"/>
      <c r="V888" s="3"/>
      <c r="W888" s="3"/>
    </row>
    <row r="889" spans="1:23">
      <c r="A889" s="3"/>
      <c r="B889" s="3"/>
      <c r="C889" s="13"/>
      <c r="D889" s="13"/>
      <c r="E889" s="13"/>
      <c r="F889" s="13"/>
      <c r="G889" s="3"/>
      <c r="H889" s="3"/>
      <c r="I889" s="3"/>
      <c r="J889" s="3"/>
      <c r="K889" s="3"/>
      <c r="L889" s="3"/>
      <c r="M889" s="3"/>
      <c r="N889" s="3"/>
      <c r="O889" s="3"/>
      <c r="P889" s="3"/>
      <c r="Q889" s="3"/>
      <c r="R889" s="3"/>
      <c r="S889" s="3"/>
      <c r="T889" s="3"/>
      <c r="U889" s="3"/>
      <c r="V889" s="3"/>
      <c r="W889" s="3"/>
    </row>
    <row r="890" spans="1:23">
      <c r="A890" s="3"/>
      <c r="B890" s="3"/>
      <c r="C890" s="13"/>
      <c r="D890" s="13"/>
      <c r="E890" s="13"/>
      <c r="F890" s="13"/>
      <c r="G890" s="3"/>
      <c r="H890" s="3"/>
      <c r="I890" s="3"/>
      <c r="J890" s="3"/>
      <c r="K890" s="3"/>
      <c r="L890" s="3"/>
      <c r="M890" s="3"/>
      <c r="N890" s="3"/>
      <c r="O890" s="3"/>
      <c r="P890" s="3"/>
      <c r="Q890" s="3"/>
      <c r="R890" s="3"/>
      <c r="S890" s="3"/>
      <c r="T890" s="3"/>
      <c r="U890" s="3"/>
      <c r="V890" s="3"/>
      <c r="W890" s="3"/>
    </row>
    <row r="891" spans="1:23">
      <c r="A891" s="3"/>
      <c r="B891" s="3"/>
      <c r="C891" s="13"/>
      <c r="D891" s="13"/>
      <c r="E891" s="13"/>
      <c r="F891" s="13"/>
      <c r="G891" s="3"/>
      <c r="H891" s="3"/>
      <c r="I891" s="3"/>
      <c r="J891" s="3"/>
      <c r="K891" s="3"/>
      <c r="L891" s="3"/>
      <c r="M891" s="3"/>
      <c r="N891" s="3"/>
      <c r="O891" s="3"/>
      <c r="P891" s="3"/>
      <c r="Q891" s="3"/>
      <c r="R891" s="3"/>
      <c r="S891" s="3"/>
      <c r="T891" s="3"/>
      <c r="U891" s="3"/>
      <c r="V891" s="3"/>
      <c r="W891" s="3"/>
    </row>
    <row r="892" spans="1:23">
      <c r="A892" s="3"/>
      <c r="B892" s="3"/>
      <c r="C892" s="13"/>
      <c r="D892" s="13"/>
      <c r="E892" s="13"/>
      <c r="F892" s="13"/>
      <c r="G892" s="3"/>
      <c r="H892" s="3"/>
      <c r="I892" s="3"/>
      <c r="J892" s="3"/>
      <c r="K892" s="3"/>
      <c r="L892" s="3"/>
      <c r="M892" s="3"/>
      <c r="N892" s="3"/>
      <c r="O892" s="3"/>
      <c r="P892" s="3"/>
      <c r="Q892" s="3"/>
      <c r="R892" s="3"/>
      <c r="S892" s="3"/>
      <c r="T892" s="3"/>
      <c r="U892" s="3"/>
      <c r="V892" s="3"/>
      <c r="W892" s="3"/>
    </row>
    <row r="893" spans="1:23">
      <c r="A893" s="3"/>
      <c r="B893" s="3"/>
      <c r="C893" s="13"/>
      <c r="D893" s="13"/>
      <c r="E893" s="13"/>
      <c r="F893" s="13"/>
      <c r="G893" s="3"/>
      <c r="H893" s="3"/>
      <c r="I893" s="3"/>
      <c r="J893" s="3"/>
      <c r="K893" s="3"/>
      <c r="L893" s="3"/>
      <c r="M893" s="3"/>
      <c r="N893" s="3"/>
      <c r="O893" s="3"/>
      <c r="P893" s="3"/>
      <c r="Q893" s="3"/>
      <c r="R893" s="3"/>
      <c r="S893" s="3"/>
      <c r="T893" s="3"/>
      <c r="U893" s="3"/>
      <c r="V893" s="3"/>
      <c r="W893" s="3"/>
    </row>
    <row r="894" spans="1:23">
      <c r="A894" s="3"/>
      <c r="B894" s="3"/>
      <c r="C894" s="13"/>
      <c r="D894" s="13"/>
      <c r="E894" s="13"/>
      <c r="F894" s="13"/>
      <c r="G894" s="3"/>
      <c r="H894" s="3"/>
      <c r="I894" s="3"/>
      <c r="J894" s="3"/>
      <c r="K894" s="3"/>
      <c r="L894" s="3"/>
      <c r="M894" s="3"/>
      <c r="N894" s="3"/>
      <c r="O894" s="3"/>
      <c r="P894" s="3"/>
      <c r="Q894" s="3"/>
      <c r="R894" s="3"/>
      <c r="S894" s="3"/>
      <c r="T894" s="3"/>
      <c r="U894" s="3"/>
      <c r="V894" s="3"/>
      <c r="W894" s="3"/>
    </row>
    <row r="895" spans="1:23">
      <c r="A895" s="3"/>
      <c r="B895" s="3"/>
      <c r="C895" s="13"/>
      <c r="D895" s="13"/>
      <c r="E895" s="13"/>
      <c r="F895" s="13"/>
      <c r="G895" s="3"/>
      <c r="H895" s="3"/>
      <c r="I895" s="3"/>
      <c r="J895" s="3"/>
      <c r="K895" s="3"/>
      <c r="L895" s="3"/>
      <c r="M895" s="3"/>
      <c r="N895" s="3"/>
      <c r="O895" s="3"/>
      <c r="P895" s="3"/>
      <c r="Q895" s="3"/>
      <c r="R895" s="3"/>
      <c r="S895" s="3"/>
      <c r="T895" s="3"/>
      <c r="U895" s="3"/>
      <c r="V895" s="3"/>
      <c r="W895" s="3"/>
    </row>
    <row r="896" spans="1:23">
      <c r="A896" s="3"/>
      <c r="B896" s="3"/>
      <c r="C896" s="13"/>
      <c r="D896" s="13"/>
      <c r="E896" s="13"/>
      <c r="F896" s="13"/>
      <c r="G896" s="3"/>
      <c r="H896" s="3"/>
      <c r="I896" s="3"/>
      <c r="J896" s="3"/>
      <c r="K896" s="3"/>
      <c r="L896" s="3"/>
      <c r="M896" s="3"/>
      <c r="N896" s="3"/>
      <c r="O896" s="3"/>
      <c r="P896" s="3"/>
      <c r="Q896" s="3"/>
      <c r="R896" s="3"/>
      <c r="S896" s="3"/>
      <c r="T896" s="3"/>
      <c r="U896" s="3"/>
      <c r="V896" s="3"/>
      <c r="W896" s="3"/>
    </row>
    <row r="897" spans="1:23">
      <c r="A897" s="3"/>
      <c r="B897" s="3"/>
      <c r="C897" s="13"/>
      <c r="D897" s="13"/>
      <c r="E897" s="13"/>
      <c r="F897" s="13"/>
      <c r="G897" s="3"/>
      <c r="H897" s="3"/>
      <c r="I897" s="3"/>
      <c r="J897" s="3"/>
      <c r="K897" s="3"/>
      <c r="L897" s="3"/>
      <c r="M897" s="3"/>
      <c r="N897" s="3"/>
      <c r="O897" s="3"/>
      <c r="P897" s="3"/>
      <c r="Q897" s="3"/>
      <c r="R897" s="3"/>
      <c r="S897" s="3"/>
      <c r="T897" s="3"/>
      <c r="U897" s="3"/>
      <c r="V897" s="3"/>
      <c r="W897" s="3"/>
    </row>
    <row r="898" spans="1:23">
      <c r="A898" s="3"/>
      <c r="B898" s="3"/>
      <c r="C898" s="13"/>
      <c r="D898" s="13"/>
      <c r="E898" s="13"/>
      <c r="F898" s="13"/>
      <c r="G898" s="3"/>
      <c r="H898" s="3"/>
      <c r="I898" s="3"/>
      <c r="J898" s="3"/>
      <c r="K898" s="3"/>
      <c r="L898" s="3"/>
      <c r="M898" s="3"/>
      <c r="N898" s="3"/>
      <c r="O898" s="3"/>
      <c r="P898" s="3"/>
      <c r="Q898" s="3"/>
      <c r="R898" s="3"/>
      <c r="S898" s="3"/>
      <c r="T898" s="3"/>
      <c r="U898" s="3"/>
      <c r="V898" s="3"/>
      <c r="W898" s="3"/>
    </row>
    <row r="899" spans="1:23">
      <c r="A899" s="3"/>
      <c r="B899" s="3"/>
      <c r="C899" s="13"/>
      <c r="D899" s="13"/>
      <c r="E899" s="13"/>
      <c r="F899" s="13"/>
      <c r="G899" s="3"/>
      <c r="H899" s="3"/>
      <c r="I899" s="3"/>
      <c r="J899" s="3"/>
      <c r="K899" s="3"/>
      <c r="L899" s="3"/>
      <c r="M899" s="3"/>
      <c r="N899" s="3"/>
      <c r="O899" s="3"/>
      <c r="P899" s="3"/>
      <c r="Q899" s="3"/>
      <c r="R899" s="3"/>
      <c r="S899" s="3"/>
      <c r="T899" s="3"/>
      <c r="U899" s="3"/>
      <c r="V899" s="3"/>
      <c r="W899" s="3"/>
    </row>
    <row r="900" spans="1:23">
      <c r="A900" s="3"/>
      <c r="B900" s="3"/>
      <c r="C900" s="13"/>
      <c r="D900" s="13"/>
      <c r="E900" s="13"/>
      <c r="F900" s="13"/>
      <c r="G900" s="3"/>
      <c r="H900" s="3"/>
      <c r="I900" s="3"/>
      <c r="J900" s="3"/>
      <c r="K900" s="3"/>
      <c r="L900" s="3"/>
      <c r="M900" s="3"/>
      <c r="N900" s="3"/>
      <c r="O900" s="3"/>
      <c r="P900" s="3"/>
      <c r="Q900" s="3"/>
      <c r="R900" s="3"/>
      <c r="S900" s="3"/>
      <c r="T900" s="3"/>
      <c r="U900" s="3"/>
      <c r="V900" s="3"/>
      <c r="W900" s="3"/>
    </row>
    <row r="901" spans="1:23">
      <c r="A901" s="3"/>
      <c r="B901" s="3"/>
      <c r="C901" s="13"/>
      <c r="D901" s="13"/>
      <c r="E901" s="13"/>
      <c r="F901" s="13"/>
      <c r="G901" s="3"/>
      <c r="H901" s="3"/>
      <c r="I901" s="3"/>
      <c r="J901" s="3"/>
      <c r="K901" s="3"/>
      <c r="L901" s="3"/>
      <c r="M901" s="3"/>
      <c r="N901" s="3"/>
      <c r="O901" s="3"/>
      <c r="P901" s="3"/>
      <c r="Q901" s="3"/>
      <c r="R901" s="3"/>
      <c r="S901" s="3"/>
      <c r="T901" s="3"/>
      <c r="U901" s="3"/>
      <c r="V901" s="3"/>
      <c r="W901" s="3"/>
    </row>
    <row r="902" spans="1:23">
      <c r="A902" s="3"/>
      <c r="B902" s="3"/>
      <c r="C902" s="13"/>
      <c r="D902" s="13"/>
      <c r="E902" s="13"/>
      <c r="F902" s="13"/>
      <c r="G902" s="3"/>
      <c r="H902" s="3"/>
      <c r="I902" s="3"/>
      <c r="J902" s="3"/>
      <c r="K902" s="3"/>
      <c r="L902" s="3"/>
      <c r="M902" s="3"/>
      <c r="N902" s="3"/>
      <c r="O902" s="3"/>
      <c r="P902" s="3"/>
      <c r="Q902" s="3"/>
      <c r="R902" s="3"/>
      <c r="S902" s="3"/>
      <c r="T902" s="3"/>
      <c r="U902" s="3"/>
      <c r="V902" s="3"/>
      <c r="W902" s="3"/>
    </row>
    <row r="903" spans="1:23">
      <c r="A903" s="3"/>
      <c r="B903" s="3"/>
      <c r="C903" s="13"/>
      <c r="D903" s="13"/>
      <c r="E903" s="13"/>
      <c r="F903" s="13"/>
      <c r="G903" s="3"/>
      <c r="H903" s="3"/>
      <c r="I903" s="3"/>
      <c r="J903" s="3"/>
      <c r="K903" s="3"/>
      <c r="L903" s="3"/>
      <c r="M903" s="3"/>
      <c r="N903" s="3"/>
      <c r="O903" s="3"/>
      <c r="P903" s="3"/>
      <c r="Q903" s="3"/>
      <c r="R903" s="3"/>
      <c r="S903" s="3"/>
      <c r="T903" s="3"/>
      <c r="U903" s="3"/>
      <c r="V903" s="3"/>
      <c r="W903" s="3"/>
    </row>
    <row r="904" spans="1:23">
      <c r="A904" s="3"/>
      <c r="B904" s="3"/>
      <c r="C904" s="13"/>
      <c r="D904" s="13"/>
      <c r="E904" s="13"/>
      <c r="F904" s="13"/>
      <c r="G904" s="3"/>
      <c r="H904" s="3"/>
      <c r="I904" s="3"/>
      <c r="J904" s="3"/>
      <c r="K904" s="3"/>
      <c r="L904" s="3"/>
      <c r="M904" s="3"/>
      <c r="N904" s="3"/>
      <c r="O904" s="3"/>
      <c r="P904" s="3"/>
      <c r="Q904" s="3"/>
      <c r="R904" s="3"/>
      <c r="S904" s="3"/>
      <c r="T904" s="3"/>
      <c r="U904" s="3"/>
      <c r="V904" s="3"/>
      <c r="W904" s="3"/>
    </row>
    <row r="905" spans="1:23">
      <c r="A905" s="3"/>
      <c r="B905" s="3"/>
      <c r="C905" s="13"/>
      <c r="D905" s="13"/>
      <c r="E905" s="13"/>
      <c r="F905" s="13"/>
      <c r="G905" s="3"/>
      <c r="H905" s="3"/>
      <c r="I905" s="3"/>
      <c r="J905" s="3"/>
      <c r="K905" s="3"/>
      <c r="L905" s="3"/>
      <c r="M905" s="3"/>
      <c r="N905" s="3"/>
      <c r="O905" s="3"/>
      <c r="P905" s="3"/>
      <c r="Q905" s="3"/>
      <c r="R905" s="3"/>
      <c r="S905" s="3"/>
      <c r="T905" s="3"/>
      <c r="U905" s="3"/>
      <c r="V905" s="3"/>
      <c r="W905" s="3"/>
    </row>
    <row r="906" spans="1:23">
      <c r="A906" s="3"/>
      <c r="B906" s="3"/>
      <c r="C906" s="13"/>
      <c r="D906" s="13"/>
      <c r="E906" s="13"/>
      <c r="F906" s="13"/>
      <c r="G906" s="3"/>
      <c r="H906" s="3"/>
      <c r="I906" s="3"/>
      <c r="J906" s="3"/>
      <c r="K906" s="3"/>
      <c r="L906" s="3"/>
      <c r="M906" s="3"/>
      <c r="N906" s="3"/>
      <c r="O906" s="3"/>
      <c r="P906" s="3"/>
      <c r="Q906" s="3"/>
      <c r="R906" s="3"/>
      <c r="S906" s="3"/>
      <c r="T906" s="3"/>
      <c r="U906" s="3"/>
      <c r="V906" s="3"/>
      <c r="W906" s="3"/>
    </row>
    <row r="907" spans="1:23">
      <c r="A907" s="3"/>
      <c r="B907" s="3"/>
      <c r="C907" s="13"/>
      <c r="D907" s="13"/>
      <c r="E907" s="13"/>
      <c r="F907" s="13"/>
      <c r="G907" s="3"/>
      <c r="H907" s="3"/>
      <c r="I907" s="3"/>
      <c r="J907" s="3"/>
      <c r="K907" s="3"/>
      <c r="L907" s="3"/>
      <c r="M907" s="3"/>
      <c r="N907" s="3"/>
      <c r="O907" s="3"/>
      <c r="P907" s="3"/>
      <c r="Q907" s="3"/>
      <c r="R907" s="3"/>
      <c r="S907" s="3"/>
      <c r="T907" s="3"/>
      <c r="U907" s="3"/>
      <c r="V907" s="3"/>
      <c r="W907" s="3"/>
    </row>
    <row r="908" spans="1:23">
      <c r="A908" s="3"/>
      <c r="B908" s="3"/>
      <c r="C908" s="13"/>
      <c r="D908" s="13"/>
      <c r="E908" s="13"/>
      <c r="F908" s="13"/>
      <c r="G908" s="3"/>
      <c r="H908" s="3"/>
      <c r="I908" s="3"/>
      <c r="J908" s="3"/>
      <c r="K908" s="3"/>
      <c r="L908" s="3"/>
      <c r="M908" s="3"/>
      <c r="N908" s="3"/>
      <c r="O908" s="3"/>
      <c r="P908" s="3"/>
      <c r="Q908" s="3"/>
      <c r="R908" s="3"/>
      <c r="S908" s="3"/>
      <c r="T908" s="3"/>
      <c r="U908" s="3"/>
      <c r="V908" s="3"/>
      <c r="W908" s="3"/>
    </row>
    <row r="909" spans="1:23">
      <c r="A909" s="3"/>
      <c r="B909" s="3"/>
      <c r="C909" s="13"/>
      <c r="D909" s="13"/>
      <c r="E909" s="13"/>
      <c r="F909" s="13"/>
      <c r="G909" s="3"/>
      <c r="H909" s="3"/>
      <c r="I909" s="3"/>
      <c r="J909" s="3"/>
      <c r="K909" s="3"/>
      <c r="L909" s="3"/>
      <c r="M909" s="3"/>
      <c r="N909" s="3"/>
      <c r="O909" s="3"/>
      <c r="P909" s="3"/>
      <c r="Q909" s="3"/>
      <c r="R909" s="3"/>
      <c r="S909" s="3"/>
      <c r="T909" s="3"/>
      <c r="U909" s="3"/>
      <c r="V909" s="3"/>
      <c r="W909" s="3"/>
    </row>
    <row r="910" spans="1:23">
      <c r="A910" s="3"/>
      <c r="B910" s="3"/>
      <c r="C910" s="13"/>
      <c r="D910" s="13"/>
      <c r="E910" s="13"/>
      <c r="F910" s="13"/>
      <c r="G910" s="3"/>
      <c r="H910" s="3"/>
      <c r="I910" s="3"/>
      <c r="J910" s="3"/>
      <c r="K910" s="3"/>
      <c r="L910" s="3"/>
      <c r="M910" s="3"/>
      <c r="N910" s="3"/>
      <c r="O910" s="3"/>
      <c r="P910" s="3"/>
      <c r="Q910" s="3"/>
      <c r="R910" s="3"/>
      <c r="S910" s="3"/>
      <c r="T910" s="3"/>
      <c r="U910" s="3"/>
      <c r="V910" s="3"/>
      <c r="W910" s="3"/>
    </row>
    <row r="911" spans="1:23">
      <c r="A911" s="3"/>
      <c r="B911" s="3"/>
      <c r="C911" s="13"/>
      <c r="D911" s="13"/>
      <c r="E911" s="13"/>
      <c r="F911" s="13"/>
      <c r="G911" s="3"/>
      <c r="H911" s="3"/>
      <c r="I911" s="3"/>
      <c r="J911" s="3"/>
      <c r="K911" s="3"/>
      <c r="L911" s="3"/>
      <c r="M911" s="3"/>
      <c r="N911" s="3"/>
      <c r="O911" s="3"/>
      <c r="P911" s="3"/>
      <c r="Q911" s="3"/>
      <c r="R911" s="3"/>
      <c r="S911" s="3"/>
      <c r="T911" s="3"/>
      <c r="U911" s="3"/>
      <c r="V911" s="3"/>
      <c r="W911" s="3"/>
    </row>
    <row r="912" spans="1:23">
      <c r="A912" s="3"/>
      <c r="B912" s="3"/>
      <c r="C912" s="13"/>
      <c r="D912" s="13"/>
      <c r="E912" s="13"/>
      <c r="F912" s="13"/>
      <c r="G912" s="3"/>
      <c r="H912" s="3"/>
      <c r="I912" s="3"/>
      <c r="J912" s="3"/>
      <c r="K912" s="3"/>
      <c r="L912" s="3"/>
      <c r="M912" s="3"/>
      <c r="N912" s="3"/>
      <c r="O912" s="3"/>
      <c r="P912" s="3"/>
      <c r="Q912" s="3"/>
      <c r="R912" s="3"/>
      <c r="S912" s="3"/>
      <c r="T912" s="3"/>
      <c r="U912" s="3"/>
      <c r="V912" s="3"/>
      <c r="W912" s="3"/>
    </row>
    <row r="913" spans="1:23">
      <c r="A913" s="3"/>
      <c r="B913" s="3"/>
      <c r="C913" s="13"/>
      <c r="D913" s="13"/>
      <c r="E913" s="13"/>
      <c r="F913" s="13"/>
      <c r="G913" s="3"/>
      <c r="H913" s="3"/>
      <c r="I913" s="3"/>
      <c r="J913" s="3"/>
      <c r="K913" s="3"/>
      <c r="L913" s="3"/>
      <c r="M913" s="3"/>
      <c r="N913" s="3"/>
      <c r="O913" s="3"/>
      <c r="P913" s="3"/>
      <c r="Q913" s="3"/>
      <c r="R913" s="3"/>
      <c r="S913" s="3"/>
      <c r="T913" s="3"/>
      <c r="U913" s="3"/>
      <c r="V913" s="3"/>
      <c r="W913" s="3"/>
    </row>
    <row r="914" spans="1:23">
      <c r="A914" s="3"/>
      <c r="B914" s="3"/>
      <c r="C914" s="13"/>
      <c r="D914" s="13"/>
      <c r="E914" s="13"/>
      <c r="F914" s="13"/>
      <c r="G914" s="3"/>
      <c r="H914" s="3"/>
      <c r="I914" s="3"/>
      <c r="J914" s="3"/>
      <c r="K914" s="3"/>
      <c r="L914" s="3"/>
      <c r="M914" s="3"/>
      <c r="N914" s="3"/>
      <c r="O914" s="3"/>
      <c r="P914" s="3"/>
      <c r="Q914" s="3"/>
      <c r="R914" s="3"/>
      <c r="S914" s="3"/>
      <c r="T914" s="3"/>
      <c r="U914" s="3"/>
      <c r="V914" s="3"/>
      <c r="W914" s="3"/>
    </row>
    <row r="915" spans="1:23">
      <c r="A915" s="3"/>
      <c r="B915" s="3"/>
      <c r="C915" s="13"/>
      <c r="D915" s="13"/>
      <c r="E915" s="13"/>
      <c r="F915" s="13"/>
      <c r="G915" s="3"/>
      <c r="H915" s="3"/>
      <c r="I915" s="3"/>
      <c r="J915" s="3"/>
      <c r="K915" s="3"/>
      <c r="L915" s="3"/>
      <c r="M915" s="3"/>
      <c r="N915" s="3"/>
      <c r="O915" s="3"/>
      <c r="P915" s="3"/>
      <c r="Q915" s="3"/>
      <c r="R915" s="3"/>
      <c r="S915" s="3"/>
      <c r="T915" s="3"/>
      <c r="U915" s="3"/>
      <c r="V915" s="3"/>
      <c r="W915" s="3"/>
    </row>
    <row r="916" spans="1:23">
      <c r="A916" s="3"/>
      <c r="B916" s="3"/>
      <c r="C916" s="13"/>
      <c r="D916" s="13"/>
      <c r="E916" s="13"/>
      <c r="F916" s="13"/>
      <c r="G916" s="3"/>
      <c r="H916" s="3"/>
      <c r="I916" s="3"/>
      <c r="J916" s="3"/>
      <c r="K916" s="3"/>
      <c r="L916" s="3"/>
      <c r="M916" s="3"/>
      <c r="N916" s="3"/>
      <c r="O916" s="3"/>
      <c r="P916" s="3"/>
      <c r="Q916" s="3"/>
      <c r="R916" s="3"/>
      <c r="S916" s="3"/>
      <c r="T916" s="3"/>
      <c r="U916" s="3"/>
      <c r="V916" s="3"/>
      <c r="W916" s="3"/>
    </row>
    <row r="917" spans="1:23">
      <c r="A917" s="3"/>
      <c r="B917" s="3"/>
      <c r="C917" s="13"/>
      <c r="D917" s="13"/>
      <c r="E917" s="13"/>
      <c r="F917" s="13"/>
      <c r="G917" s="3"/>
      <c r="H917" s="3"/>
      <c r="I917" s="3"/>
      <c r="J917" s="3"/>
      <c r="K917" s="3"/>
      <c r="L917" s="3"/>
      <c r="M917" s="3"/>
      <c r="N917" s="3"/>
      <c r="O917" s="3"/>
      <c r="P917" s="3"/>
      <c r="Q917" s="3"/>
      <c r="R917" s="3"/>
      <c r="S917" s="3"/>
      <c r="T917" s="3"/>
      <c r="U917" s="3"/>
      <c r="V917" s="3"/>
      <c r="W917" s="3"/>
    </row>
    <row r="918" spans="1:23">
      <c r="A918" s="3"/>
      <c r="B918" s="3"/>
      <c r="C918" s="13"/>
      <c r="D918" s="13"/>
      <c r="E918" s="13"/>
      <c r="F918" s="13"/>
      <c r="G918" s="3"/>
      <c r="H918" s="3"/>
      <c r="I918" s="3"/>
      <c r="J918" s="3"/>
      <c r="K918" s="3"/>
      <c r="L918" s="3"/>
      <c r="M918" s="3"/>
      <c r="N918" s="3"/>
      <c r="O918" s="3"/>
      <c r="P918" s="3"/>
      <c r="Q918" s="3"/>
      <c r="R918" s="3"/>
      <c r="S918" s="3"/>
      <c r="T918" s="3"/>
      <c r="U918" s="3"/>
      <c r="V918" s="3"/>
      <c r="W918" s="3"/>
    </row>
    <row r="919" spans="1:23">
      <c r="A919" s="3"/>
      <c r="B919" s="3"/>
      <c r="C919" s="13"/>
      <c r="D919" s="13"/>
      <c r="E919" s="13"/>
      <c r="F919" s="13"/>
      <c r="G919" s="3"/>
      <c r="H919" s="3"/>
      <c r="I919" s="3"/>
      <c r="J919" s="3"/>
      <c r="K919" s="3"/>
      <c r="L919" s="3"/>
      <c r="M919" s="3"/>
      <c r="N919" s="3"/>
      <c r="O919" s="3"/>
      <c r="P919" s="3"/>
      <c r="Q919" s="3"/>
      <c r="R919" s="3"/>
      <c r="S919" s="3"/>
      <c r="T919" s="3"/>
      <c r="U919" s="3"/>
      <c r="V919" s="3"/>
      <c r="W919" s="3"/>
    </row>
    <row r="920" spans="1:23">
      <c r="A920" s="3"/>
      <c r="B920" s="3"/>
      <c r="C920" s="13"/>
      <c r="D920" s="13"/>
      <c r="E920" s="13"/>
      <c r="F920" s="13"/>
      <c r="G920" s="3"/>
      <c r="H920" s="3"/>
      <c r="I920" s="3"/>
      <c r="J920" s="3"/>
      <c r="K920" s="3"/>
      <c r="L920" s="3"/>
      <c r="M920" s="3"/>
      <c r="N920" s="3"/>
      <c r="O920" s="3"/>
      <c r="P920" s="3"/>
      <c r="Q920" s="3"/>
      <c r="R920" s="3"/>
      <c r="S920" s="3"/>
      <c r="T920" s="3"/>
      <c r="U920" s="3"/>
      <c r="V920" s="3"/>
      <c r="W920" s="3"/>
    </row>
    <row r="921" spans="1:23">
      <c r="A921" s="3"/>
      <c r="B921" s="3"/>
      <c r="C921" s="13"/>
      <c r="D921" s="13"/>
      <c r="E921" s="13"/>
      <c r="F921" s="13"/>
      <c r="G921" s="3"/>
      <c r="H921" s="3"/>
      <c r="I921" s="3"/>
      <c r="J921" s="3"/>
      <c r="K921" s="3"/>
      <c r="L921" s="3"/>
      <c r="M921" s="3"/>
      <c r="N921" s="3"/>
      <c r="O921" s="3"/>
      <c r="P921" s="3"/>
      <c r="Q921" s="3"/>
      <c r="R921" s="3"/>
      <c r="S921" s="3"/>
      <c r="T921" s="3"/>
      <c r="U921" s="3"/>
      <c r="V921" s="3"/>
      <c r="W921" s="3"/>
    </row>
    <row r="922" spans="1:23">
      <c r="A922" s="3"/>
      <c r="B922" s="3"/>
      <c r="C922" s="13"/>
      <c r="D922" s="13"/>
      <c r="E922" s="13"/>
      <c r="F922" s="13"/>
      <c r="G922" s="3"/>
      <c r="H922" s="3"/>
      <c r="I922" s="3"/>
      <c r="J922" s="3"/>
      <c r="K922" s="3"/>
      <c r="L922" s="3"/>
      <c r="M922" s="3"/>
      <c r="N922" s="3"/>
      <c r="O922" s="3"/>
      <c r="P922" s="3"/>
      <c r="Q922" s="3"/>
      <c r="R922" s="3"/>
      <c r="S922" s="3"/>
      <c r="T922" s="3"/>
      <c r="U922" s="3"/>
      <c r="V922" s="3"/>
      <c r="W922" s="3"/>
    </row>
    <row r="923" spans="1:23">
      <c r="A923" s="3"/>
      <c r="B923" s="3"/>
      <c r="C923" s="13"/>
      <c r="D923" s="13"/>
      <c r="E923" s="13"/>
      <c r="F923" s="13"/>
      <c r="G923" s="3"/>
      <c r="H923" s="3"/>
      <c r="I923" s="3"/>
      <c r="J923" s="3"/>
      <c r="K923" s="3"/>
      <c r="L923" s="3"/>
      <c r="M923" s="3"/>
      <c r="N923" s="3"/>
      <c r="O923" s="3"/>
      <c r="P923" s="3"/>
      <c r="Q923" s="3"/>
      <c r="R923" s="3"/>
      <c r="S923" s="3"/>
      <c r="T923" s="3"/>
      <c r="U923" s="3"/>
      <c r="V923" s="3"/>
      <c r="W923" s="3"/>
    </row>
    <row r="924" spans="1:23">
      <c r="A924" s="3"/>
      <c r="B924" s="3"/>
      <c r="C924" s="13"/>
      <c r="D924" s="13"/>
      <c r="E924" s="13"/>
      <c r="F924" s="13"/>
      <c r="G924" s="3"/>
      <c r="H924" s="3"/>
      <c r="I924" s="3"/>
      <c r="J924" s="3"/>
      <c r="K924" s="3"/>
      <c r="L924" s="3"/>
      <c r="M924" s="3"/>
      <c r="N924" s="3"/>
      <c r="O924" s="3"/>
      <c r="P924" s="3"/>
      <c r="Q924" s="3"/>
      <c r="R924" s="3"/>
      <c r="S924" s="3"/>
      <c r="T924" s="3"/>
      <c r="U924" s="3"/>
      <c r="V924" s="3"/>
      <c r="W924" s="3"/>
    </row>
    <row r="925" spans="1:23">
      <c r="A925" s="3"/>
      <c r="B925" s="3"/>
      <c r="C925" s="13"/>
      <c r="D925" s="13"/>
      <c r="E925" s="13"/>
      <c r="F925" s="13"/>
      <c r="G925" s="3"/>
      <c r="H925" s="3"/>
      <c r="I925" s="3"/>
      <c r="J925" s="3"/>
      <c r="K925" s="3"/>
      <c r="L925" s="3"/>
      <c r="M925" s="3"/>
      <c r="N925" s="3"/>
      <c r="O925" s="3"/>
      <c r="P925" s="3"/>
      <c r="Q925" s="3"/>
      <c r="R925" s="3"/>
      <c r="S925" s="3"/>
      <c r="T925" s="3"/>
      <c r="U925" s="3"/>
      <c r="V925" s="3"/>
      <c r="W925" s="3"/>
    </row>
    <row r="926" spans="1:23">
      <c r="A926" s="3"/>
      <c r="B926" s="3"/>
      <c r="C926" s="13"/>
      <c r="D926" s="13"/>
      <c r="E926" s="13"/>
      <c r="F926" s="13"/>
      <c r="G926" s="3"/>
      <c r="H926" s="3"/>
      <c r="I926" s="3"/>
      <c r="J926" s="3"/>
      <c r="K926" s="3"/>
      <c r="L926" s="3"/>
      <c r="M926" s="3"/>
      <c r="N926" s="3"/>
      <c r="O926" s="3"/>
      <c r="P926" s="3"/>
      <c r="Q926" s="3"/>
      <c r="R926" s="3"/>
      <c r="S926" s="3"/>
      <c r="T926" s="3"/>
      <c r="U926" s="3"/>
      <c r="V926" s="3"/>
      <c r="W926" s="3"/>
    </row>
    <row r="927" spans="1:23">
      <c r="A927" s="3"/>
      <c r="B927" s="3"/>
      <c r="C927" s="13"/>
      <c r="D927" s="13"/>
      <c r="E927" s="13"/>
      <c r="F927" s="13"/>
      <c r="G927" s="3"/>
      <c r="H927" s="3"/>
      <c r="I927" s="3"/>
      <c r="J927" s="3"/>
      <c r="K927" s="3"/>
      <c r="L927" s="3"/>
      <c r="M927" s="3"/>
      <c r="N927" s="3"/>
      <c r="O927" s="3"/>
      <c r="P927" s="3"/>
      <c r="Q927" s="3"/>
      <c r="R927" s="3"/>
      <c r="S927" s="3"/>
      <c r="T927" s="3"/>
      <c r="U927" s="3"/>
      <c r="V927" s="3"/>
      <c r="W927" s="3"/>
    </row>
    <row r="928" spans="1:23">
      <c r="A928" s="3"/>
      <c r="B928" s="3"/>
      <c r="C928" s="13"/>
      <c r="D928" s="13"/>
      <c r="E928" s="13"/>
      <c r="F928" s="13"/>
      <c r="G928" s="3"/>
      <c r="H928" s="3"/>
      <c r="I928" s="3"/>
      <c r="J928" s="3"/>
      <c r="K928" s="3"/>
      <c r="L928" s="3"/>
      <c r="M928" s="3"/>
      <c r="N928" s="3"/>
      <c r="O928" s="3"/>
      <c r="P928" s="3"/>
      <c r="Q928" s="3"/>
      <c r="R928" s="3"/>
      <c r="S928" s="3"/>
      <c r="T928" s="3"/>
      <c r="U928" s="3"/>
      <c r="V928" s="3"/>
      <c r="W928" s="3"/>
    </row>
    <row r="929" spans="1:23">
      <c r="A929" s="3"/>
      <c r="B929" s="3"/>
      <c r="C929" s="13"/>
      <c r="D929" s="13"/>
      <c r="E929" s="13"/>
      <c r="F929" s="13"/>
      <c r="G929" s="3"/>
      <c r="H929" s="3"/>
      <c r="I929" s="3"/>
      <c r="J929" s="3"/>
      <c r="K929" s="3"/>
      <c r="L929" s="3"/>
      <c r="M929" s="3"/>
      <c r="N929" s="3"/>
      <c r="O929" s="3"/>
      <c r="P929" s="3"/>
      <c r="Q929" s="3"/>
      <c r="R929" s="3"/>
      <c r="S929" s="3"/>
      <c r="T929" s="3"/>
      <c r="U929" s="3"/>
      <c r="V929" s="3"/>
      <c r="W929" s="3"/>
    </row>
    <row r="930" spans="1:23">
      <c r="A930" s="3"/>
      <c r="B930" s="3"/>
      <c r="C930" s="13"/>
      <c r="D930" s="13"/>
      <c r="E930" s="13"/>
      <c r="F930" s="13"/>
      <c r="G930" s="3"/>
      <c r="H930" s="3"/>
      <c r="I930" s="3"/>
      <c r="J930" s="3"/>
      <c r="K930" s="3"/>
      <c r="L930" s="3"/>
      <c r="M930" s="3"/>
      <c r="N930" s="3"/>
      <c r="O930" s="3"/>
      <c r="P930" s="3"/>
      <c r="Q930" s="3"/>
      <c r="R930" s="3"/>
      <c r="S930" s="3"/>
      <c r="T930" s="3"/>
      <c r="U930" s="3"/>
      <c r="V930" s="3"/>
      <c r="W930" s="3"/>
    </row>
    <row r="931" spans="1:23">
      <c r="A931" s="3"/>
      <c r="B931" s="3"/>
      <c r="C931" s="13"/>
      <c r="D931" s="13"/>
      <c r="E931" s="13"/>
      <c r="F931" s="13"/>
      <c r="G931" s="3"/>
      <c r="H931" s="3"/>
      <c r="I931" s="3"/>
      <c r="J931" s="3"/>
      <c r="K931" s="3"/>
      <c r="L931" s="3"/>
      <c r="M931" s="3"/>
      <c r="N931" s="3"/>
      <c r="O931" s="3"/>
      <c r="P931" s="3"/>
      <c r="Q931" s="3"/>
      <c r="R931" s="3"/>
      <c r="S931" s="3"/>
      <c r="T931" s="3"/>
      <c r="U931" s="3"/>
      <c r="V931" s="3"/>
      <c r="W931" s="3"/>
    </row>
    <row r="932" spans="1:23">
      <c r="A932" s="3"/>
      <c r="B932" s="3"/>
      <c r="C932" s="13"/>
      <c r="D932" s="13"/>
      <c r="E932" s="13"/>
      <c r="F932" s="13"/>
      <c r="G932" s="3"/>
      <c r="H932" s="3"/>
      <c r="I932" s="3"/>
      <c r="J932" s="3"/>
      <c r="K932" s="3"/>
      <c r="L932" s="3"/>
      <c r="M932" s="3"/>
      <c r="N932" s="3"/>
      <c r="O932" s="3"/>
      <c r="P932" s="3"/>
      <c r="Q932" s="3"/>
      <c r="R932" s="3"/>
      <c r="S932" s="3"/>
      <c r="T932" s="3"/>
      <c r="U932" s="3"/>
      <c r="V932" s="3"/>
      <c r="W932" s="3"/>
    </row>
    <row r="933" spans="1:23">
      <c r="A933" s="3"/>
      <c r="B933" s="3"/>
      <c r="C933" s="13"/>
      <c r="D933" s="13"/>
      <c r="E933" s="13"/>
      <c r="F933" s="13"/>
      <c r="G933" s="3"/>
      <c r="H933" s="3"/>
      <c r="I933" s="3"/>
      <c r="J933" s="3"/>
      <c r="K933" s="3"/>
      <c r="L933" s="3"/>
      <c r="M933" s="3"/>
      <c r="N933" s="3"/>
      <c r="O933" s="3"/>
      <c r="P933" s="3"/>
      <c r="Q933" s="3"/>
      <c r="R933" s="3"/>
      <c r="S933" s="3"/>
      <c r="T933" s="3"/>
      <c r="U933" s="3"/>
      <c r="V933" s="3"/>
      <c r="W933" s="3"/>
    </row>
    <row r="934" spans="1:23">
      <c r="A934" s="3"/>
      <c r="B934" s="3"/>
      <c r="C934" s="13"/>
      <c r="D934" s="13"/>
      <c r="E934" s="13"/>
      <c r="F934" s="13"/>
      <c r="G934" s="3"/>
      <c r="H934" s="3"/>
      <c r="I934" s="3"/>
      <c r="J934" s="3"/>
      <c r="K934" s="3"/>
      <c r="L934" s="3"/>
      <c r="M934" s="3"/>
      <c r="N934" s="3"/>
      <c r="O934" s="3"/>
      <c r="P934" s="3"/>
      <c r="Q934" s="3"/>
      <c r="R934" s="3"/>
      <c r="S934" s="3"/>
      <c r="T934" s="3"/>
      <c r="U934" s="3"/>
      <c r="V934" s="3"/>
      <c r="W934" s="3"/>
    </row>
    <row r="935" spans="1:23">
      <c r="A935" s="3"/>
      <c r="B935" s="3"/>
      <c r="C935" s="13"/>
      <c r="D935" s="13"/>
      <c r="E935" s="13"/>
      <c r="F935" s="13"/>
      <c r="G935" s="3"/>
      <c r="H935" s="3"/>
      <c r="I935" s="3"/>
      <c r="J935" s="3"/>
      <c r="K935" s="3"/>
      <c r="L935" s="3"/>
      <c r="M935" s="3"/>
      <c r="N935" s="3"/>
      <c r="O935" s="3"/>
      <c r="P935" s="3"/>
      <c r="Q935" s="3"/>
      <c r="R935" s="3"/>
      <c r="S935" s="3"/>
      <c r="T935" s="3"/>
      <c r="U935" s="3"/>
      <c r="V935" s="3"/>
      <c r="W935" s="3"/>
    </row>
    <row r="936" spans="1:23">
      <c r="A936" s="3"/>
      <c r="B936" s="3"/>
      <c r="C936" s="13"/>
      <c r="D936" s="13"/>
      <c r="E936" s="13"/>
      <c r="F936" s="13"/>
      <c r="G936" s="3"/>
      <c r="H936" s="3"/>
      <c r="I936" s="3"/>
      <c r="J936" s="3"/>
      <c r="K936" s="3"/>
      <c r="L936" s="3"/>
      <c r="M936" s="3"/>
      <c r="N936" s="3"/>
      <c r="O936" s="3"/>
      <c r="P936" s="3"/>
      <c r="Q936" s="3"/>
      <c r="R936" s="3"/>
      <c r="S936" s="3"/>
      <c r="T936" s="3"/>
      <c r="U936" s="3"/>
      <c r="V936" s="3"/>
      <c r="W936" s="3"/>
    </row>
    <row r="937" spans="1:23">
      <c r="A937" s="3"/>
      <c r="B937" s="3"/>
      <c r="C937" s="13"/>
      <c r="D937" s="13"/>
      <c r="E937" s="13"/>
      <c r="F937" s="13"/>
      <c r="G937" s="3"/>
      <c r="H937" s="3"/>
      <c r="I937" s="3"/>
      <c r="J937" s="3"/>
      <c r="K937" s="3"/>
      <c r="L937" s="3"/>
      <c r="M937" s="3"/>
      <c r="N937" s="3"/>
      <c r="O937" s="3"/>
      <c r="P937" s="3"/>
      <c r="Q937" s="3"/>
      <c r="R937" s="3"/>
      <c r="S937" s="3"/>
      <c r="T937" s="3"/>
      <c r="U937" s="3"/>
      <c r="V937" s="3"/>
      <c r="W937" s="3"/>
    </row>
    <row r="938" spans="1:23">
      <c r="A938" s="3"/>
      <c r="B938" s="3"/>
      <c r="C938" s="13"/>
      <c r="D938" s="13"/>
      <c r="E938" s="13"/>
      <c r="F938" s="13"/>
      <c r="G938" s="3"/>
      <c r="H938" s="3"/>
      <c r="I938" s="3"/>
      <c r="J938" s="3"/>
      <c r="K938" s="3"/>
      <c r="L938" s="3"/>
      <c r="M938" s="3"/>
      <c r="N938" s="3"/>
      <c r="O938" s="3"/>
      <c r="P938" s="3"/>
      <c r="Q938" s="3"/>
      <c r="R938" s="3"/>
      <c r="S938" s="3"/>
      <c r="T938" s="3"/>
      <c r="U938" s="3"/>
      <c r="V938" s="3"/>
      <c r="W938" s="3"/>
    </row>
    <row r="939" spans="1:23">
      <c r="A939" s="3"/>
      <c r="B939" s="3"/>
      <c r="C939" s="13"/>
      <c r="D939" s="13"/>
      <c r="E939" s="13"/>
      <c r="F939" s="13"/>
      <c r="G939" s="3"/>
      <c r="H939" s="3"/>
      <c r="I939" s="3"/>
      <c r="J939" s="3"/>
      <c r="K939" s="3"/>
      <c r="L939" s="3"/>
      <c r="M939" s="3"/>
      <c r="N939" s="3"/>
      <c r="O939" s="3"/>
      <c r="P939" s="3"/>
      <c r="Q939" s="3"/>
      <c r="R939" s="3"/>
      <c r="S939" s="3"/>
      <c r="T939" s="3"/>
      <c r="U939" s="3"/>
      <c r="V939" s="3"/>
      <c r="W939" s="3"/>
    </row>
    <row r="940" spans="1:23">
      <c r="A940" s="3"/>
      <c r="B940" s="3"/>
      <c r="C940" s="13"/>
      <c r="D940" s="13"/>
      <c r="E940" s="13"/>
      <c r="F940" s="13"/>
      <c r="G940" s="3"/>
      <c r="H940" s="3"/>
      <c r="I940" s="3"/>
      <c r="J940" s="3"/>
      <c r="K940" s="3"/>
      <c r="L940" s="3"/>
      <c r="M940" s="3"/>
      <c r="N940" s="3"/>
      <c r="O940" s="3"/>
      <c r="P940" s="3"/>
      <c r="Q940" s="3"/>
      <c r="R940" s="3"/>
      <c r="S940" s="3"/>
      <c r="T940" s="3"/>
      <c r="U940" s="3"/>
      <c r="V940" s="3"/>
      <c r="W940" s="3"/>
    </row>
    <row r="941" spans="1:23">
      <c r="A941" s="3"/>
      <c r="B941" s="3"/>
      <c r="C941" s="13"/>
      <c r="D941" s="13"/>
      <c r="E941" s="13"/>
      <c r="F941" s="13"/>
      <c r="G941" s="3"/>
      <c r="H941" s="3"/>
      <c r="I941" s="3"/>
      <c r="J941" s="3"/>
      <c r="K941" s="3"/>
      <c r="L941" s="3"/>
      <c r="M941" s="3"/>
      <c r="N941" s="3"/>
      <c r="O941" s="3"/>
      <c r="P941" s="3"/>
      <c r="Q941" s="3"/>
      <c r="R941" s="3"/>
      <c r="S941" s="3"/>
      <c r="T941" s="3"/>
      <c r="U941" s="3"/>
      <c r="V941" s="3"/>
      <c r="W941" s="3"/>
    </row>
    <row r="942" spans="1:23">
      <c r="A942" s="3"/>
      <c r="B942" s="3"/>
      <c r="C942" s="13"/>
      <c r="D942" s="13"/>
      <c r="E942" s="13"/>
      <c r="F942" s="13"/>
      <c r="G942" s="3"/>
      <c r="H942" s="3"/>
      <c r="I942" s="3"/>
      <c r="J942" s="3"/>
      <c r="K942" s="3"/>
      <c r="L942" s="3"/>
      <c r="M942" s="3"/>
      <c r="N942" s="3"/>
      <c r="O942" s="3"/>
      <c r="P942" s="3"/>
      <c r="Q942" s="3"/>
      <c r="R942" s="3"/>
      <c r="S942" s="3"/>
      <c r="T942" s="3"/>
      <c r="U942" s="3"/>
      <c r="V942" s="3"/>
      <c r="W942" s="3"/>
    </row>
    <row r="943" spans="1:23">
      <c r="A943" s="3"/>
      <c r="B943" s="3"/>
      <c r="C943" s="13"/>
      <c r="D943" s="13"/>
      <c r="E943" s="13"/>
      <c r="F943" s="13"/>
      <c r="G943" s="3"/>
      <c r="H943" s="3"/>
      <c r="I943" s="3"/>
      <c r="J943" s="3"/>
      <c r="K943" s="3"/>
      <c r="L943" s="3"/>
      <c r="M943" s="3"/>
      <c r="N943" s="3"/>
      <c r="O943" s="3"/>
      <c r="P943" s="3"/>
      <c r="Q943" s="3"/>
      <c r="R943" s="3"/>
      <c r="S943" s="3"/>
      <c r="T943" s="3"/>
      <c r="U943" s="3"/>
      <c r="V943" s="3"/>
      <c r="W943" s="3"/>
    </row>
    <row r="944" spans="1:23">
      <c r="A944" s="3"/>
      <c r="B944" s="3"/>
      <c r="C944" s="13"/>
      <c r="D944" s="13"/>
      <c r="E944" s="13"/>
      <c r="F944" s="13"/>
      <c r="G944" s="3"/>
      <c r="H944" s="3"/>
      <c r="I944" s="3"/>
      <c r="J944" s="3"/>
      <c r="K944" s="3"/>
      <c r="L944" s="3"/>
      <c r="M944" s="3"/>
      <c r="N944" s="3"/>
      <c r="O944" s="3"/>
      <c r="P944" s="3"/>
      <c r="Q944" s="3"/>
      <c r="R944" s="3"/>
      <c r="S944" s="3"/>
      <c r="T944" s="3"/>
      <c r="U944" s="3"/>
      <c r="V944" s="3"/>
      <c r="W944" s="3"/>
    </row>
    <row r="945" spans="1:23">
      <c r="A945" s="3"/>
      <c r="B945" s="3"/>
      <c r="C945" s="13"/>
      <c r="D945" s="13"/>
      <c r="E945" s="13"/>
      <c r="F945" s="13"/>
      <c r="G945" s="3"/>
      <c r="H945" s="3"/>
      <c r="I945" s="3"/>
      <c r="J945" s="3"/>
      <c r="K945" s="3"/>
      <c r="L945" s="3"/>
      <c r="M945" s="3"/>
      <c r="N945" s="3"/>
      <c r="O945" s="3"/>
      <c r="P945" s="3"/>
      <c r="Q945" s="3"/>
      <c r="R945" s="3"/>
      <c r="S945" s="3"/>
      <c r="T945" s="3"/>
      <c r="U945" s="3"/>
      <c r="V945" s="3"/>
      <c r="W945" s="3"/>
    </row>
    <row r="946" spans="1:23">
      <c r="A946" s="3"/>
      <c r="B946" s="3"/>
      <c r="C946" s="13"/>
      <c r="D946" s="13"/>
      <c r="E946" s="13"/>
      <c r="F946" s="13"/>
      <c r="G946" s="3"/>
      <c r="H946" s="3"/>
      <c r="I946" s="3"/>
      <c r="J946" s="3"/>
      <c r="K946" s="3"/>
      <c r="L946" s="3"/>
      <c r="M946" s="3"/>
      <c r="N946" s="3"/>
      <c r="O946" s="3"/>
      <c r="P946" s="3"/>
      <c r="Q946" s="3"/>
      <c r="R946" s="3"/>
      <c r="S946" s="3"/>
      <c r="T946" s="3"/>
      <c r="U946" s="3"/>
      <c r="V946" s="3"/>
      <c r="W946" s="3"/>
    </row>
    <row r="947" spans="1:23">
      <c r="A947" s="3"/>
      <c r="B947" s="3"/>
      <c r="C947" s="13"/>
      <c r="D947" s="13"/>
      <c r="E947" s="13"/>
      <c r="F947" s="13"/>
      <c r="G947" s="3"/>
      <c r="H947" s="3"/>
      <c r="I947" s="3"/>
      <c r="J947" s="3"/>
      <c r="K947" s="3"/>
      <c r="L947" s="3"/>
      <c r="M947" s="3"/>
      <c r="N947" s="3"/>
      <c r="O947" s="3"/>
      <c r="P947" s="3"/>
      <c r="Q947" s="3"/>
      <c r="R947" s="3"/>
      <c r="S947" s="3"/>
      <c r="T947" s="3"/>
      <c r="U947" s="3"/>
      <c r="V947" s="3"/>
      <c r="W947" s="3"/>
    </row>
    <row r="948" spans="1:23">
      <c r="A948" s="3"/>
      <c r="B948" s="3"/>
      <c r="C948" s="13"/>
      <c r="D948" s="13"/>
      <c r="E948" s="13"/>
      <c r="F948" s="13"/>
      <c r="G948" s="3"/>
      <c r="H948" s="3"/>
      <c r="I948" s="3"/>
      <c r="J948" s="3"/>
      <c r="K948" s="3"/>
      <c r="L948" s="3"/>
      <c r="M948" s="3"/>
      <c r="N948" s="3"/>
      <c r="O948" s="3"/>
      <c r="P948" s="3"/>
      <c r="Q948" s="3"/>
      <c r="R948" s="3"/>
      <c r="S948" s="3"/>
      <c r="T948" s="3"/>
      <c r="U948" s="3"/>
      <c r="V948" s="3"/>
      <c r="W948" s="3"/>
    </row>
    <row r="949" spans="1:23">
      <c r="A949" s="3"/>
      <c r="B949" s="3"/>
      <c r="C949" s="13"/>
      <c r="D949" s="13"/>
      <c r="E949" s="13"/>
      <c r="F949" s="13"/>
      <c r="G949" s="3"/>
      <c r="H949" s="3"/>
      <c r="I949" s="3"/>
      <c r="J949" s="3"/>
      <c r="K949" s="3"/>
      <c r="L949" s="3"/>
      <c r="M949" s="3"/>
      <c r="N949" s="3"/>
      <c r="O949" s="3"/>
      <c r="P949" s="3"/>
      <c r="Q949" s="3"/>
      <c r="R949" s="3"/>
      <c r="S949" s="3"/>
      <c r="T949" s="3"/>
      <c r="U949" s="3"/>
      <c r="V949" s="3"/>
      <c r="W949" s="3"/>
    </row>
    <row r="950" spans="1:23">
      <c r="A950" s="3"/>
      <c r="B950" s="3"/>
      <c r="C950" s="13"/>
      <c r="D950" s="13"/>
      <c r="E950" s="13"/>
      <c r="F950" s="13"/>
      <c r="G950" s="3"/>
      <c r="H950" s="3"/>
      <c r="I950" s="3"/>
      <c r="J950" s="3"/>
      <c r="K950" s="3"/>
      <c r="L950" s="3"/>
      <c r="M950" s="3"/>
      <c r="N950" s="3"/>
      <c r="O950" s="3"/>
      <c r="P950" s="3"/>
      <c r="Q950" s="3"/>
      <c r="R950" s="3"/>
      <c r="S950" s="3"/>
      <c r="T950" s="3"/>
      <c r="U950" s="3"/>
      <c r="V950" s="3"/>
      <c r="W950" s="3"/>
    </row>
    <row r="951" spans="1:23">
      <c r="A951" s="3"/>
      <c r="B951" s="3"/>
      <c r="C951" s="13"/>
      <c r="D951" s="13"/>
      <c r="E951" s="13"/>
      <c r="F951" s="13"/>
      <c r="G951" s="3"/>
      <c r="H951" s="3"/>
      <c r="I951" s="3"/>
      <c r="J951" s="3"/>
      <c r="K951" s="3"/>
      <c r="L951" s="3"/>
      <c r="M951" s="3"/>
      <c r="N951" s="3"/>
      <c r="O951" s="3"/>
      <c r="P951" s="3"/>
      <c r="Q951" s="3"/>
      <c r="R951" s="3"/>
      <c r="S951" s="3"/>
      <c r="T951" s="3"/>
      <c r="U951" s="3"/>
      <c r="V951" s="3"/>
      <c r="W951" s="3"/>
    </row>
    <row r="952" spans="1:23">
      <c r="A952" s="3"/>
      <c r="B952" s="3"/>
      <c r="C952" s="13"/>
      <c r="D952" s="13"/>
      <c r="E952" s="13"/>
      <c r="F952" s="13"/>
      <c r="G952" s="3"/>
      <c r="H952" s="3"/>
      <c r="I952" s="3"/>
      <c r="J952" s="3"/>
      <c r="K952" s="3"/>
      <c r="L952" s="3"/>
      <c r="M952" s="3"/>
      <c r="N952" s="3"/>
      <c r="O952" s="3"/>
      <c r="P952" s="3"/>
      <c r="Q952" s="3"/>
      <c r="R952" s="3"/>
      <c r="S952" s="3"/>
      <c r="T952" s="3"/>
      <c r="U952" s="3"/>
      <c r="V952" s="3"/>
      <c r="W952" s="3"/>
    </row>
    <row r="953" spans="1:23">
      <c r="A953" s="3"/>
      <c r="B953" s="3"/>
      <c r="C953" s="13"/>
      <c r="D953" s="13"/>
      <c r="E953" s="13"/>
      <c r="F953" s="13"/>
      <c r="G953" s="3"/>
      <c r="H953" s="3"/>
      <c r="I953" s="3"/>
      <c r="J953" s="3"/>
      <c r="K953" s="3"/>
      <c r="L953" s="3"/>
      <c r="M953" s="3"/>
      <c r="N953" s="3"/>
      <c r="O953" s="3"/>
      <c r="P953" s="3"/>
      <c r="Q953" s="3"/>
      <c r="R953" s="3"/>
      <c r="S953" s="3"/>
      <c r="T953" s="3"/>
      <c r="U953" s="3"/>
      <c r="V953" s="3"/>
      <c r="W953" s="3"/>
    </row>
    <row r="954" spans="1:23">
      <c r="A954" s="3"/>
      <c r="B954" s="3"/>
      <c r="C954" s="13"/>
      <c r="D954" s="13"/>
      <c r="E954" s="13"/>
      <c r="F954" s="13"/>
      <c r="G954" s="3"/>
      <c r="H954" s="3"/>
      <c r="I954" s="3"/>
      <c r="J954" s="3"/>
      <c r="K954" s="3"/>
      <c r="L954" s="3"/>
      <c r="M954" s="3"/>
      <c r="N954" s="3"/>
      <c r="O954" s="3"/>
      <c r="P954" s="3"/>
      <c r="Q954" s="3"/>
      <c r="R954" s="3"/>
      <c r="S954" s="3"/>
      <c r="T954" s="3"/>
      <c r="U954" s="3"/>
      <c r="V954" s="3"/>
      <c r="W954" s="3"/>
    </row>
    <row r="955" spans="1:23">
      <c r="A955" s="3"/>
      <c r="B955" s="3"/>
      <c r="C955" s="13"/>
      <c r="D955" s="13"/>
      <c r="E955" s="13"/>
      <c r="F955" s="13"/>
      <c r="G955" s="3"/>
      <c r="H955" s="3"/>
      <c r="I955" s="3"/>
      <c r="J955" s="3"/>
      <c r="K955" s="3"/>
      <c r="L955" s="3"/>
      <c r="M955" s="3"/>
      <c r="N955" s="3"/>
      <c r="O955" s="3"/>
      <c r="P955" s="3"/>
      <c r="Q955" s="3"/>
      <c r="R955" s="3"/>
      <c r="S955" s="3"/>
      <c r="T955" s="3"/>
      <c r="U955" s="3"/>
      <c r="V955" s="3"/>
      <c r="W955" s="3"/>
    </row>
    <row r="956" spans="1:23">
      <c r="A956" s="3"/>
      <c r="B956" s="3"/>
      <c r="C956" s="13"/>
      <c r="D956" s="13"/>
      <c r="E956" s="13"/>
      <c r="F956" s="13"/>
      <c r="G956" s="3"/>
      <c r="H956" s="3"/>
      <c r="I956" s="3"/>
      <c r="J956" s="3"/>
      <c r="K956" s="3"/>
      <c r="L956" s="3"/>
      <c r="M956" s="3"/>
      <c r="N956" s="3"/>
      <c r="O956" s="3"/>
      <c r="P956" s="3"/>
      <c r="Q956" s="3"/>
      <c r="R956" s="3"/>
      <c r="S956" s="3"/>
      <c r="T956" s="3"/>
      <c r="U956" s="3"/>
      <c r="V956" s="3"/>
      <c r="W956" s="3"/>
    </row>
    <row r="957" spans="1:23">
      <c r="A957" s="3"/>
      <c r="B957" s="3"/>
      <c r="C957" s="13"/>
      <c r="D957" s="13"/>
      <c r="E957" s="13"/>
      <c r="F957" s="13"/>
      <c r="G957" s="3"/>
      <c r="H957" s="3"/>
      <c r="I957" s="3"/>
      <c r="J957" s="3"/>
      <c r="K957" s="3"/>
      <c r="L957" s="3"/>
      <c r="M957" s="3"/>
      <c r="N957" s="3"/>
      <c r="O957" s="3"/>
      <c r="P957" s="3"/>
      <c r="Q957" s="3"/>
      <c r="R957" s="3"/>
      <c r="S957" s="3"/>
      <c r="T957" s="3"/>
      <c r="U957" s="3"/>
      <c r="V957" s="3"/>
      <c r="W957" s="3"/>
    </row>
    <row r="958" spans="1:23">
      <c r="A958" s="3"/>
      <c r="B958" s="3"/>
      <c r="C958" s="13"/>
      <c r="D958" s="13"/>
      <c r="E958" s="13"/>
      <c r="F958" s="13"/>
      <c r="G958" s="3"/>
      <c r="H958" s="3"/>
      <c r="I958" s="3"/>
      <c r="J958" s="3"/>
      <c r="K958" s="3"/>
      <c r="L958" s="3"/>
      <c r="M958" s="3"/>
      <c r="N958" s="3"/>
      <c r="O958" s="3"/>
      <c r="P958" s="3"/>
      <c r="Q958" s="3"/>
      <c r="R958" s="3"/>
      <c r="S958" s="3"/>
      <c r="T958" s="3"/>
      <c r="U958" s="3"/>
      <c r="V958" s="3"/>
      <c r="W958" s="3"/>
    </row>
    <row r="959" spans="1:23">
      <c r="A959" s="3"/>
      <c r="B959" s="3"/>
      <c r="C959" s="13"/>
      <c r="D959" s="13"/>
      <c r="E959" s="13"/>
      <c r="F959" s="13"/>
      <c r="G959" s="3"/>
      <c r="H959" s="3"/>
      <c r="I959" s="3"/>
      <c r="J959" s="3"/>
      <c r="K959" s="3"/>
      <c r="L959" s="3"/>
      <c r="M959" s="3"/>
      <c r="N959" s="3"/>
      <c r="O959" s="3"/>
      <c r="P959" s="3"/>
      <c r="Q959" s="3"/>
      <c r="R959" s="3"/>
      <c r="S959" s="3"/>
      <c r="T959" s="3"/>
      <c r="U959" s="3"/>
      <c r="V959" s="3"/>
      <c r="W959" s="3"/>
    </row>
    <row r="960" spans="1:23">
      <c r="A960" s="3"/>
      <c r="B960" s="3"/>
      <c r="C960" s="13"/>
      <c r="D960" s="13"/>
      <c r="E960" s="13"/>
      <c r="F960" s="13"/>
      <c r="G960" s="3"/>
      <c r="H960" s="3"/>
      <c r="I960" s="3"/>
      <c r="J960" s="3"/>
      <c r="K960" s="3"/>
      <c r="L960" s="3"/>
      <c r="M960" s="3"/>
      <c r="N960" s="3"/>
      <c r="O960" s="3"/>
      <c r="P960" s="3"/>
      <c r="Q960" s="3"/>
      <c r="R960" s="3"/>
      <c r="S960" s="3"/>
      <c r="T960" s="3"/>
      <c r="U960" s="3"/>
      <c r="V960" s="3"/>
      <c r="W960" s="3"/>
    </row>
    <row r="961" spans="1:23">
      <c r="A961" s="3"/>
      <c r="B961" s="3"/>
      <c r="C961" s="13"/>
      <c r="D961" s="13"/>
      <c r="E961" s="13"/>
      <c r="F961" s="13"/>
      <c r="G961" s="3"/>
      <c r="H961" s="3"/>
      <c r="I961" s="3"/>
      <c r="J961" s="3"/>
      <c r="K961" s="3"/>
      <c r="L961" s="3"/>
      <c r="M961" s="3"/>
      <c r="N961" s="3"/>
      <c r="O961" s="3"/>
      <c r="P961" s="3"/>
      <c r="Q961" s="3"/>
      <c r="R961" s="3"/>
      <c r="S961" s="3"/>
      <c r="T961" s="3"/>
      <c r="U961" s="3"/>
      <c r="V961" s="3"/>
      <c r="W961" s="3"/>
    </row>
    <row r="962" spans="1:23">
      <c r="A962" s="3"/>
      <c r="B962" s="3"/>
      <c r="C962" s="13"/>
      <c r="D962" s="13"/>
      <c r="E962" s="13"/>
      <c r="F962" s="13"/>
      <c r="G962" s="3"/>
      <c r="H962" s="3"/>
      <c r="I962" s="3"/>
      <c r="J962" s="3"/>
      <c r="K962" s="3"/>
      <c r="L962" s="3"/>
      <c r="M962" s="3"/>
      <c r="N962" s="3"/>
      <c r="O962" s="3"/>
      <c r="P962" s="3"/>
      <c r="Q962" s="3"/>
      <c r="R962" s="3"/>
      <c r="S962" s="3"/>
      <c r="T962" s="3"/>
      <c r="U962" s="3"/>
      <c r="V962" s="3"/>
      <c r="W962" s="3"/>
    </row>
    <row r="963" spans="1:23">
      <c r="A963" s="3"/>
      <c r="B963" s="3"/>
      <c r="C963" s="13"/>
      <c r="D963" s="13"/>
      <c r="E963" s="13"/>
      <c r="F963" s="13"/>
      <c r="G963" s="3"/>
      <c r="H963" s="3"/>
      <c r="I963" s="3"/>
      <c r="J963" s="3"/>
      <c r="K963" s="3"/>
      <c r="L963" s="3"/>
      <c r="M963" s="3"/>
      <c r="N963" s="3"/>
      <c r="O963" s="3"/>
      <c r="P963" s="3"/>
      <c r="Q963" s="3"/>
      <c r="R963" s="3"/>
      <c r="S963" s="3"/>
      <c r="T963" s="3"/>
      <c r="U963" s="3"/>
      <c r="V963" s="3"/>
      <c r="W963" s="3"/>
    </row>
    <row r="964" spans="1:23">
      <c r="A964" s="3"/>
      <c r="B964" s="3"/>
      <c r="C964" s="13"/>
      <c r="D964" s="13"/>
      <c r="E964" s="13"/>
      <c r="F964" s="13"/>
      <c r="G964" s="3"/>
      <c r="H964" s="3"/>
      <c r="I964" s="3"/>
      <c r="J964" s="3"/>
      <c r="K964" s="3"/>
      <c r="L964" s="3"/>
      <c r="M964" s="3"/>
      <c r="N964" s="3"/>
      <c r="O964" s="3"/>
      <c r="P964" s="3"/>
      <c r="Q964" s="3"/>
      <c r="R964" s="3"/>
      <c r="S964" s="3"/>
      <c r="T964" s="3"/>
      <c r="U964" s="3"/>
      <c r="V964" s="3"/>
      <c r="W964" s="3"/>
    </row>
    <row r="965" spans="1:23">
      <c r="A965" s="3"/>
      <c r="B965" s="3"/>
      <c r="C965" s="13"/>
      <c r="D965" s="13"/>
      <c r="E965" s="13"/>
      <c r="F965" s="13"/>
      <c r="G965" s="3"/>
      <c r="H965" s="3"/>
      <c r="I965" s="3"/>
      <c r="J965" s="3"/>
      <c r="K965" s="3"/>
      <c r="L965" s="3"/>
      <c r="M965" s="3"/>
      <c r="N965" s="3"/>
      <c r="O965" s="3"/>
      <c r="P965" s="3"/>
      <c r="Q965" s="3"/>
      <c r="R965" s="3"/>
      <c r="S965" s="3"/>
      <c r="T965" s="3"/>
      <c r="U965" s="3"/>
      <c r="V965" s="3"/>
      <c r="W965" s="3"/>
    </row>
    <row r="966" spans="1:23">
      <c r="A966" s="3"/>
      <c r="B966" s="3"/>
      <c r="C966" s="13"/>
      <c r="D966" s="13"/>
      <c r="E966" s="13"/>
      <c r="F966" s="13"/>
      <c r="G966" s="3"/>
      <c r="H966" s="3"/>
      <c r="I966" s="3"/>
      <c r="J966" s="3"/>
      <c r="K966" s="3"/>
      <c r="L966" s="3"/>
      <c r="M966" s="3"/>
      <c r="N966" s="3"/>
      <c r="O966" s="3"/>
      <c r="P966" s="3"/>
      <c r="Q966" s="3"/>
      <c r="R966" s="3"/>
      <c r="S966" s="3"/>
      <c r="T966" s="3"/>
      <c r="U966" s="3"/>
      <c r="V966" s="3"/>
      <c r="W966" s="3"/>
    </row>
    <row r="967" spans="1:23">
      <c r="A967" s="3"/>
      <c r="B967" s="3"/>
      <c r="C967" s="13"/>
      <c r="D967" s="13"/>
      <c r="E967" s="13"/>
      <c r="F967" s="13"/>
      <c r="G967" s="3"/>
      <c r="H967" s="3"/>
      <c r="I967" s="3"/>
      <c r="J967" s="3"/>
      <c r="K967" s="3"/>
      <c r="L967" s="3"/>
      <c r="M967" s="3"/>
      <c r="N967" s="3"/>
      <c r="O967" s="3"/>
      <c r="P967" s="3"/>
      <c r="Q967" s="3"/>
      <c r="R967" s="3"/>
      <c r="S967" s="3"/>
      <c r="T967" s="3"/>
      <c r="U967" s="3"/>
      <c r="V967" s="3"/>
      <c r="W967" s="3"/>
    </row>
    <row r="968" spans="1:23">
      <c r="A968" s="3"/>
      <c r="B968" s="3"/>
      <c r="C968" s="13"/>
      <c r="D968" s="13"/>
      <c r="E968" s="13"/>
      <c r="F968" s="13"/>
      <c r="G968" s="3"/>
      <c r="H968" s="3"/>
      <c r="I968" s="3"/>
      <c r="J968" s="3"/>
      <c r="K968" s="3"/>
      <c r="L968" s="3"/>
      <c r="M968" s="3"/>
      <c r="N968" s="3"/>
      <c r="O968" s="3"/>
      <c r="P968" s="3"/>
      <c r="Q968" s="3"/>
      <c r="R968" s="3"/>
      <c r="S968" s="3"/>
      <c r="T968" s="3"/>
      <c r="U968" s="3"/>
      <c r="V968" s="3"/>
      <c r="W968" s="3"/>
    </row>
    <row r="969" spans="1:23">
      <c r="A969" s="3"/>
      <c r="B969" s="3"/>
      <c r="C969" s="13"/>
      <c r="D969" s="13"/>
      <c r="E969" s="13"/>
      <c r="F969" s="13"/>
      <c r="G969" s="3"/>
      <c r="H969" s="3"/>
      <c r="I969" s="3"/>
      <c r="J969" s="3"/>
      <c r="K969" s="3"/>
      <c r="L969" s="3"/>
      <c r="M969" s="3"/>
      <c r="N969" s="3"/>
      <c r="O969" s="3"/>
      <c r="P969" s="3"/>
      <c r="Q969" s="3"/>
      <c r="R969" s="3"/>
      <c r="S969" s="3"/>
      <c r="T969" s="3"/>
      <c r="U969" s="3"/>
      <c r="V969" s="3"/>
      <c r="W969" s="3"/>
    </row>
    <row r="970" spans="1:23">
      <c r="A970" s="3"/>
      <c r="B970" s="3"/>
      <c r="C970" s="13"/>
      <c r="D970" s="13"/>
      <c r="E970" s="13"/>
      <c r="F970" s="13"/>
      <c r="G970" s="3"/>
      <c r="H970" s="3"/>
      <c r="I970" s="3"/>
      <c r="J970" s="3"/>
      <c r="K970" s="3"/>
      <c r="L970" s="3"/>
      <c r="M970" s="3"/>
      <c r="N970" s="3"/>
      <c r="O970" s="3"/>
      <c r="P970" s="3"/>
      <c r="Q970" s="3"/>
      <c r="R970" s="3"/>
      <c r="S970" s="3"/>
      <c r="T970" s="3"/>
      <c r="U970" s="3"/>
      <c r="V970" s="3"/>
      <c r="W970" s="3"/>
    </row>
    <row r="971" spans="1:23">
      <c r="A971" s="3"/>
      <c r="B971" s="3"/>
      <c r="C971" s="13"/>
      <c r="D971" s="13"/>
      <c r="E971" s="13"/>
      <c r="F971" s="13"/>
      <c r="G971" s="3"/>
      <c r="H971" s="3"/>
      <c r="I971" s="3"/>
      <c r="J971" s="3"/>
      <c r="K971" s="3"/>
      <c r="L971" s="3"/>
      <c r="M971" s="3"/>
      <c r="N971" s="3"/>
      <c r="O971" s="3"/>
      <c r="P971" s="3"/>
      <c r="Q971" s="3"/>
      <c r="R971" s="3"/>
      <c r="S971" s="3"/>
      <c r="T971" s="3"/>
      <c r="U971" s="3"/>
      <c r="V971" s="3"/>
      <c r="W971" s="3"/>
    </row>
    <row r="972" spans="1:23">
      <c r="A972" s="3"/>
      <c r="B972" s="3"/>
      <c r="C972" s="13"/>
      <c r="D972" s="13"/>
      <c r="E972" s="13"/>
      <c r="F972" s="13"/>
      <c r="G972" s="3"/>
      <c r="H972" s="3"/>
      <c r="I972" s="3"/>
      <c r="J972" s="3"/>
      <c r="K972" s="3"/>
      <c r="L972" s="3"/>
      <c r="M972" s="3"/>
      <c r="N972" s="3"/>
      <c r="O972" s="3"/>
      <c r="P972" s="3"/>
      <c r="Q972" s="3"/>
      <c r="R972" s="3"/>
      <c r="S972" s="3"/>
      <c r="T972" s="3"/>
      <c r="U972" s="3"/>
      <c r="V972" s="3"/>
      <c r="W972" s="3"/>
    </row>
    <row r="973" spans="1:23">
      <c r="A973" s="3"/>
      <c r="B973" s="3"/>
      <c r="C973" s="13"/>
      <c r="D973" s="13"/>
      <c r="E973" s="13"/>
      <c r="F973" s="13"/>
      <c r="G973" s="3"/>
      <c r="H973" s="3"/>
      <c r="I973" s="3"/>
      <c r="J973" s="3"/>
      <c r="K973" s="3"/>
      <c r="L973" s="3"/>
      <c r="M973" s="3"/>
      <c r="N973" s="3"/>
      <c r="O973" s="3"/>
      <c r="P973" s="3"/>
      <c r="Q973" s="3"/>
      <c r="R973" s="3"/>
      <c r="S973" s="3"/>
      <c r="T973" s="3"/>
      <c r="U973" s="3"/>
      <c r="V973" s="3"/>
      <c r="W973" s="3"/>
    </row>
    <row r="974" spans="1:23">
      <c r="A974" s="3"/>
      <c r="B974" s="3"/>
      <c r="C974" s="13"/>
      <c r="D974" s="13"/>
      <c r="E974" s="13"/>
      <c r="F974" s="13"/>
      <c r="G974" s="3"/>
      <c r="H974" s="3"/>
      <c r="I974" s="3"/>
      <c r="J974" s="3"/>
      <c r="K974" s="3"/>
      <c r="L974" s="3"/>
      <c r="M974" s="3"/>
      <c r="N974" s="3"/>
      <c r="O974" s="3"/>
      <c r="P974" s="3"/>
      <c r="Q974" s="3"/>
      <c r="R974" s="3"/>
      <c r="S974" s="3"/>
      <c r="T974" s="3"/>
      <c r="U974" s="3"/>
      <c r="V974" s="3"/>
      <c r="W974" s="3"/>
    </row>
    <row r="975" spans="1:23">
      <c r="A975" s="3"/>
      <c r="B975" s="3"/>
      <c r="C975" s="13"/>
      <c r="D975" s="13"/>
      <c r="E975" s="13"/>
      <c r="F975" s="13"/>
      <c r="G975" s="3"/>
      <c r="H975" s="3"/>
      <c r="I975" s="3"/>
      <c r="J975" s="3"/>
      <c r="K975" s="3"/>
      <c r="L975" s="3"/>
      <c r="M975" s="3"/>
      <c r="N975" s="3"/>
      <c r="O975" s="3"/>
      <c r="P975" s="3"/>
      <c r="Q975" s="3"/>
      <c r="R975" s="3"/>
      <c r="S975" s="3"/>
      <c r="T975" s="3"/>
      <c r="U975" s="3"/>
      <c r="V975" s="3"/>
      <c r="W975" s="3"/>
    </row>
    <row r="976" spans="1:23">
      <c r="A976" s="3"/>
      <c r="B976" s="3"/>
      <c r="C976" s="13"/>
      <c r="D976" s="13"/>
      <c r="E976" s="13"/>
      <c r="F976" s="13"/>
      <c r="G976" s="3"/>
      <c r="H976" s="3"/>
      <c r="I976" s="3"/>
      <c r="J976" s="3"/>
      <c r="K976" s="3"/>
      <c r="L976" s="3"/>
      <c r="M976" s="3"/>
      <c r="N976" s="3"/>
      <c r="O976" s="3"/>
      <c r="P976" s="3"/>
      <c r="Q976" s="3"/>
      <c r="R976" s="3"/>
      <c r="S976" s="3"/>
      <c r="T976" s="3"/>
      <c r="U976" s="3"/>
      <c r="V976" s="3"/>
      <c r="W976" s="3"/>
    </row>
    <row r="977" spans="1:23">
      <c r="A977" s="3"/>
      <c r="B977" s="3"/>
      <c r="C977" s="13"/>
      <c r="D977" s="13"/>
      <c r="E977" s="13"/>
      <c r="F977" s="13"/>
      <c r="G977" s="3"/>
      <c r="H977" s="3"/>
      <c r="I977" s="3"/>
      <c r="J977" s="3"/>
      <c r="K977" s="3"/>
      <c r="L977" s="3"/>
      <c r="M977" s="3"/>
      <c r="N977" s="3"/>
      <c r="O977" s="3"/>
      <c r="P977" s="3"/>
      <c r="Q977" s="3"/>
      <c r="R977" s="3"/>
      <c r="S977" s="3"/>
      <c r="T977" s="3"/>
      <c r="U977" s="3"/>
      <c r="V977" s="3"/>
      <c r="W977" s="3"/>
    </row>
    <row r="978" spans="1:23">
      <c r="A978" s="3"/>
      <c r="B978" s="3"/>
      <c r="C978" s="13"/>
      <c r="D978" s="13"/>
      <c r="E978" s="13"/>
      <c r="F978" s="13"/>
      <c r="G978" s="3"/>
      <c r="H978" s="3"/>
      <c r="I978" s="3"/>
      <c r="J978" s="3"/>
      <c r="K978" s="3"/>
      <c r="L978" s="3"/>
      <c r="M978" s="3"/>
      <c r="N978" s="3"/>
      <c r="O978" s="3"/>
      <c r="P978" s="3"/>
      <c r="Q978" s="3"/>
      <c r="R978" s="3"/>
      <c r="S978" s="3"/>
      <c r="T978" s="3"/>
      <c r="U978" s="3"/>
      <c r="V978" s="3"/>
      <c r="W978" s="3"/>
    </row>
    <row r="979" spans="1:23">
      <c r="A979" s="3"/>
      <c r="B979" s="3"/>
      <c r="C979" s="13"/>
      <c r="D979" s="13"/>
      <c r="E979" s="13"/>
      <c r="F979" s="13"/>
      <c r="G979" s="3"/>
      <c r="H979" s="3"/>
      <c r="I979" s="3"/>
      <c r="J979" s="3"/>
      <c r="K979" s="3"/>
      <c r="L979" s="3"/>
      <c r="M979" s="3"/>
      <c r="N979" s="3"/>
      <c r="O979" s="3"/>
      <c r="P979" s="3"/>
      <c r="Q979" s="3"/>
      <c r="R979" s="3"/>
      <c r="S979" s="3"/>
      <c r="T979" s="3"/>
      <c r="U979" s="3"/>
      <c r="V979" s="3"/>
      <c r="W979" s="3"/>
    </row>
    <row r="980" spans="1:23">
      <c r="A980" s="3"/>
      <c r="B980" s="3"/>
      <c r="C980" s="13"/>
      <c r="D980" s="13"/>
      <c r="E980" s="13"/>
      <c r="F980" s="13"/>
      <c r="G980" s="3"/>
      <c r="H980" s="3"/>
      <c r="I980" s="3"/>
      <c r="J980" s="3"/>
      <c r="K980" s="3"/>
      <c r="L980" s="3"/>
      <c r="M980" s="3"/>
      <c r="N980" s="3"/>
      <c r="O980" s="3"/>
      <c r="P980" s="3"/>
      <c r="Q980" s="3"/>
      <c r="R980" s="3"/>
      <c r="S980" s="3"/>
      <c r="T980" s="3"/>
      <c r="U980" s="3"/>
      <c r="V980" s="3"/>
      <c r="W980" s="3"/>
    </row>
    <row r="981" spans="1:23">
      <c r="A981" s="3"/>
      <c r="B981" s="3"/>
      <c r="C981" s="13"/>
      <c r="D981" s="13"/>
      <c r="E981" s="13"/>
      <c r="F981" s="13"/>
      <c r="G981" s="3"/>
      <c r="H981" s="3"/>
      <c r="I981" s="3"/>
      <c r="J981" s="3"/>
      <c r="K981" s="3"/>
      <c r="L981" s="3"/>
      <c r="M981" s="3"/>
      <c r="N981" s="3"/>
      <c r="O981" s="3"/>
      <c r="P981" s="3"/>
      <c r="Q981" s="3"/>
      <c r="R981" s="3"/>
      <c r="S981" s="3"/>
      <c r="T981" s="3"/>
      <c r="U981" s="3"/>
      <c r="V981" s="3"/>
      <c r="W981" s="3"/>
    </row>
    <row r="982" spans="1:23">
      <c r="A982" s="3"/>
      <c r="B982" s="3"/>
      <c r="C982" s="13"/>
      <c r="D982" s="13"/>
      <c r="E982" s="13"/>
      <c r="F982" s="13"/>
      <c r="G982" s="3"/>
      <c r="H982" s="3"/>
      <c r="I982" s="3"/>
      <c r="J982" s="3"/>
      <c r="K982" s="3"/>
      <c r="L982" s="3"/>
      <c r="M982" s="3"/>
      <c r="N982" s="3"/>
      <c r="O982" s="3"/>
      <c r="P982" s="3"/>
      <c r="Q982" s="3"/>
      <c r="R982" s="3"/>
      <c r="S982" s="3"/>
      <c r="T982" s="3"/>
      <c r="U982" s="3"/>
      <c r="V982" s="3"/>
      <c r="W982" s="3"/>
    </row>
    <row r="983" spans="1:23">
      <c r="A983" s="3"/>
      <c r="B983" s="3"/>
      <c r="C983" s="13"/>
      <c r="D983" s="13"/>
      <c r="E983" s="13"/>
      <c r="F983" s="13"/>
      <c r="G983" s="3"/>
      <c r="H983" s="3"/>
      <c r="I983" s="3"/>
      <c r="J983" s="3"/>
      <c r="K983" s="3"/>
      <c r="L983" s="3"/>
      <c r="M983" s="3"/>
      <c r="N983" s="3"/>
      <c r="O983" s="3"/>
      <c r="P983" s="3"/>
      <c r="Q983" s="3"/>
      <c r="R983" s="3"/>
      <c r="S983" s="3"/>
      <c r="T983" s="3"/>
      <c r="U983" s="3"/>
      <c r="V983" s="3"/>
      <c r="W983" s="3"/>
    </row>
    <row r="984" spans="1:23">
      <c r="A984" s="3"/>
      <c r="B984" s="3"/>
      <c r="C984" s="13"/>
      <c r="D984" s="13"/>
      <c r="E984" s="13"/>
      <c r="F984" s="13"/>
      <c r="G984" s="3"/>
      <c r="H984" s="3"/>
      <c r="I984" s="3"/>
      <c r="J984" s="3"/>
      <c r="K984" s="3"/>
      <c r="L984" s="3"/>
      <c r="M984" s="3"/>
      <c r="N984" s="3"/>
      <c r="O984" s="3"/>
      <c r="P984" s="3"/>
      <c r="Q984" s="3"/>
      <c r="R984" s="3"/>
      <c r="S984" s="3"/>
      <c r="T984" s="3"/>
      <c r="U984" s="3"/>
      <c r="V984" s="3"/>
      <c r="W984" s="3"/>
    </row>
    <row r="985" spans="1:23">
      <c r="A985" s="3"/>
      <c r="B985" s="3"/>
      <c r="C985" s="13"/>
      <c r="D985" s="13"/>
      <c r="E985" s="13"/>
      <c r="F985" s="13"/>
      <c r="G985" s="3"/>
      <c r="H985" s="3"/>
      <c r="I985" s="3"/>
      <c r="J985" s="3"/>
      <c r="K985" s="3"/>
      <c r="L985" s="3"/>
      <c r="M985" s="3"/>
      <c r="N985" s="3"/>
      <c r="O985" s="3"/>
      <c r="P985" s="3"/>
      <c r="Q985" s="3"/>
      <c r="R985" s="3"/>
      <c r="S985" s="3"/>
      <c r="T985" s="3"/>
      <c r="U985" s="3"/>
      <c r="V985" s="3"/>
      <c r="W985" s="3"/>
    </row>
    <row r="986" spans="1:23">
      <c r="A986" s="3"/>
      <c r="B986" s="3"/>
      <c r="C986" s="13"/>
      <c r="D986" s="13"/>
      <c r="E986" s="13"/>
      <c r="F986" s="13"/>
      <c r="G986" s="3"/>
      <c r="H986" s="3"/>
      <c r="I986" s="3"/>
      <c r="J986" s="3"/>
      <c r="K986" s="3"/>
      <c r="L986" s="3"/>
      <c r="M986" s="3"/>
      <c r="N986" s="3"/>
      <c r="O986" s="3"/>
      <c r="P986" s="3"/>
      <c r="Q986" s="3"/>
      <c r="R986" s="3"/>
      <c r="S986" s="3"/>
      <c r="T986" s="3"/>
      <c r="U986" s="3"/>
      <c r="V986" s="3"/>
      <c r="W986" s="3"/>
    </row>
    <row r="987" spans="1:23">
      <c r="A987" s="3"/>
      <c r="B987" s="3"/>
      <c r="C987" s="13"/>
      <c r="D987" s="13"/>
      <c r="E987" s="13"/>
      <c r="F987" s="13"/>
      <c r="G987" s="3"/>
      <c r="H987" s="3"/>
      <c r="I987" s="3"/>
      <c r="J987" s="3"/>
      <c r="K987" s="3"/>
      <c r="L987" s="3"/>
      <c r="M987" s="3"/>
      <c r="N987" s="3"/>
      <c r="O987" s="3"/>
      <c r="P987" s="3"/>
      <c r="Q987" s="3"/>
      <c r="R987" s="3"/>
      <c r="S987" s="3"/>
      <c r="T987" s="3"/>
      <c r="U987" s="3"/>
      <c r="V987" s="3"/>
      <c r="W987" s="3"/>
    </row>
    <row r="988" spans="1:23">
      <c r="A988" s="3"/>
      <c r="B988" s="3"/>
      <c r="C988" s="13"/>
      <c r="D988" s="13"/>
      <c r="E988" s="13"/>
      <c r="F988" s="13"/>
      <c r="G988" s="3"/>
      <c r="H988" s="3"/>
      <c r="I988" s="3"/>
      <c r="J988" s="3"/>
      <c r="K988" s="3"/>
      <c r="L988" s="3"/>
      <c r="M988" s="3"/>
      <c r="N988" s="3"/>
      <c r="O988" s="3"/>
      <c r="P988" s="3"/>
      <c r="Q988" s="3"/>
      <c r="R988" s="3"/>
      <c r="S988" s="3"/>
      <c r="T988" s="3"/>
      <c r="U988" s="3"/>
      <c r="V988" s="3"/>
      <c r="W988" s="3"/>
    </row>
    <row r="989" spans="1:23">
      <c r="A989" s="3"/>
      <c r="B989" s="3"/>
      <c r="C989" s="13"/>
      <c r="D989" s="13"/>
      <c r="E989" s="13"/>
      <c r="F989" s="13"/>
      <c r="G989" s="3"/>
      <c r="H989" s="3"/>
      <c r="I989" s="3"/>
      <c r="J989" s="3"/>
      <c r="K989" s="3"/>
      <c r="L989" s="3"/>
      <c r="M989" s="3"/>
      <c r="N989" s="3"/>
      <c r="O989" s="3"/>
      <c r="P989" s="3"/>
      <c r="Q989" s="3"/>
      <c r="R989" s="3"/>
      <c r="S989" s="3"/>
      <c r="T989" s="3"/>
      <c r="U989" s="3"/>
      <c r="V989" s="3"/>
      <c r="W989" s="3"/>
    </row>
    <row r="990" spans="1:23">
      <c r="A990" s="3"/>
      <c r="B990" s="3"/>
      <c r="C990" s="13"/>
      <c r="D990" s="13"/>
      <c r="E990" s="13"/>
      <c r="F990" s="13"/>
      <c r="G990" s="3"/>
      <c r="H990" s="3"/>
      <c r="I990" s="3"/>
      <c r="J990" s="3"/>
      <c r="K990" s="3"/>
      <c r="L990" s="3"/>
      <c r="M990" s="3"/>
      <c r="N990" s="3"/>
      <c r="O990" s="3"/>
      <c r="P990" s="3"/>
      <c r="Q990" s="3"/>
      <c r="R990" s="3"/>
      <c r="S990" s="3"/>
      <c r="T990" s="3"/>
      <c r="U990" s="3"/>
      <c r="V990" s="3"/>
      <c r="W990" s="3"/>
    </row>
    <row r="991" spans="1:23">
      <c r="A991" s="3"/>
      <c r="B991" s="3"/>
      <c r="C991" s="13"/>
      <c r="D991" s="13"/>
      <c r="E991" s="13"/>
      <c r="F991" s="13"/>
      <c r="G991" s="3"/>
      <c r="H991" s="3"/>
      <c r="I991" s="3"/>
      <c r="J991" s="3"/>
      <c r="K991" s="3"/>
      <c r="L991" s="3"/>
      <c r="M991" s="3"/>
      <c r="N991" s="3"/>
      <c r="O991" s="3"/>
      <c r="P991" s="3"/>
      <c r="Q991" s="3"/>
      <c r="R991" s="3"/>
      <c r="S991" s="3"/>
      <c r="T991" s="3"/>
      <c r="U991" s="3"/>
      <c r="V991" s="3"/>
      <c r="W991" s="3"/>
    </row>
    <row r="992" spans="1:23">
      <c r="A992" s="3"/>
      <c r="B992" s="3"/>
      <c r="C992" s="13"/>
      <c r="D992" s="13"/>
      <c r="E992" s="13"/>
      <c r="F992" s="13"/>
      <c r="G992" s="3"/>
      <c r="H992" s="3"/>
      <c r="I992" s="3"/>
      <c r="J992" s="3"/>
      <c r="K992" s="3"/>
      <c r="L992" s="3"/>
      <c r="M992" s="3"/>
      <c r="N992" s="3"/>
      <c r="O992" s="3"/>
      <c r="P992" s="3"/>
      <c r="Q992" s="3"/>
      <c r="R992" s="3"/>
      <c r="S992" s="3"/>
      <c r="T992" s="3"/>
      <c r="U992" s="3"/>
      <c r="V992" s="3"/>
      <c r="W992" s="3"/>
    </row>
    <row r="993" spans="1:23">
      <c r="A993" s="3"/>
      <c r="B993" s="3"/>
      <c r="C993" s="13"/>
      <c r="D993" s="13"/>
      <c r="E993" s="13"/>
      <c r="F993" s="13"/>
      <c r="G993" s="3"/>
      <c r="H993" s="3"/>
      <c r="I993" s="3"/>
      <c r="J993" s="3"/>
      <c r="K993" s="3"/>
      <c r="L993" s="3"/>
      <c r="M993" s="3"/>
      <c r="N993" s="3"/>
      <c r="O993" s="3"/>
      <c r="P993" s="3"/>
      <c r="Q993" s="3"/>
      <c r="R993" s="3"/>
      <c r="S993" s="3"/>
      <c r="T993" s="3"/>
      <c r="U993" s="3"/>
      <c r="V993" s="3"/>
      <c r="W993" s="3"/>
    </row>
    <row r="994" spans="1:23">
      <c r="A994" s="3"/>
      <c r="B994" s="3"/>
      <c r="C994" s="13"/>
      <c r="D994" s="13"/>
      <c r="E994" s="13"/>
      <c r="F994" s="13"/>
      <c r="G994" s="3"/>
      <c r="H994" s="3"/>
      <c r="I994" s="3"/>
      <c r="J994" s="3"/>
      <c r="K994" s="3"/>
      <c r="L994" s="3"/>
      <c r="M994" s="3"/>
      <c r="N994" s="3"/>
      <c r="O994" s="3"/>
      <c r="P994" s="3"/>
      <c r="Q994" s="3"/>
      <c r="R994" s="3"/>
      <c r="S994" s="3"/>
      <c r="T994" s="3"/>
      <c r="U994" s="3"/>
      <c r="V994" s="3"/>
      <c r="W994" s="3"/>
    </row>
    <row r="995" spans="1:23">
      <c r="A995" s="3"/>
      <c r="B995" s="3"/>
      <c r="C995" s="13"/>
      <c r="D995" s="13"/>
      <c r="E995" s="13"/>
      <c r="F995" s="13"/>
      <c r="G995" s="3"/>
      <c r="H995" s="3"/>
      <c r="I995" s="3"/>
      <c r="J995" s="3"/>
      <c r="K995" s="3"/>
      <c r="L995" s="3"/>
      <c r="M995" s="3"/>
      <c r="N995" s="3"/>
      <c r="O995" s="3"/>
      <c r="P995" s="3"/>
      <c r="Q995" s="3"/>
      <c r="R995" s="3"/>
      <c r="S995" s="3"/>
      <c r="T995" s="3"/>
      <c r="U995" s="3"/>
      <c r="V995" s="3"/>
      <c r="W995" s="3"/>
    </row>
    <row r="996" spans="1:23">
      <c r="A996" s="3"/>
      <c r="B996" s="3"/>
      <c r="C996" s="13"/>
      <c r="D996" s="13"/>
      <c r="E996" s="13"/>
      <c r="F996" s="13"/>
      <c r="G996" s="3"/>
      <c r="H996" s="3"/>
      <c r="I996" s="3"/>
      <c r="J996" s="3"/>
      <c r="K996" s="3"/>
      <c r="L996" s="3"/>
      <c r="M996" s="3"/>
      <c r="N996" s="3"/>
      <c r="O996" s="3"/>
      <c r="P996" s="3"/>
      <c r="Q996" s="3"/>
      <c r="R996" s="3"/>
      <c r="S996" s="3"/>
      <c r="T996" s="3"/>
      <c r="U996" s="3"/>
      <c r="V996" s="3"/>
      <c r="W996" s="3"/>
    </row>
    <row r="997" spans="1:23">
      <c r="A997" s="3"/>
      <c r="B997" s="3"/>
      <c r="C997" s="13"/>
      <c r="D997" s="13"/>
      <c r="E997" s="13"/>
      <c r="F997" s="13"/>
      <c r="G997" s="3"/>
      <c r="H997" s="3"/>
      <c r="I997" s="3"/>
      <c r="J997" s="3"/>
      <c r="K997" s="3"/>
      <c r="L997" s="3"/>
      <c r="M997" s="3"/>
      <c r="N997" s="3"/>
      <c r="O997" s="3"/>
      <c r="P997" s="3"/>
      <c r="Q997" s="3"/>
      <c r="R997" s="3"/>
      <c r="S997" s="3"/>
      <c r="T997" s="3"/>
      <c r="U997" s="3"/>
      <c r="V997" s="3"/>
      <c r="W997" s="3"/>
    </row>
    <row r="998" spans="1:23">
      <c r="A998" s="3"/>
      <c r="B998" s="3"/>
      <c r="C998" s="13"/>
      <c r="D998" s="13"/>
      <c r="E998" s="13"/>
      <c r="F998" s="13"/>
      <c r="G998" s="3"/>
      <c r="H998" s="3"/>
      <c r="I998" s="3"/>
      <c r="J998" s="3"/>
      <c r="K998" s="3"/>
      <c r="L998" s="3"/>
      <c r="M998" s="3"/>
      <c r="N998" s="3"/>
      <c r="O998" s="3"/>
      <c r="P998" s="3"/>
      <c r="Q998" s="3"/>
      <c r="R998" s="3"/>
      <c r="S998" s="3"/>
      <c r="T998" s="3"/>
      <c r="U998" s="3"/>
      <c r="V998" s="3"/>
      <c r="W998" s="3"/>
    </row>
    <row r="999" spans="1:23">
      <c r="A999" s="3"/>
      <c r="B999" s="3"/>
      <c r="C999" s="13"/>
      <c r="D999" s="13"/>
      <c r="E999" s="13"/>
      <c r="F999" s="13"/>
      <c r="G999" s="3"/>
      <c r="H999" s="3"/>
      <c r="I999" s="3"/>
      <c r="J999" s="3"/>
      <c r="K999" s="3"/>
      <c r="L999" s="3"/>
      <c r="M999" s="3"/>
      <c r="N999" s="3"/>
      <c r="O999" s="3"/>
      <c r="P999" s="3"/>
      <c r="Q999" s="3"/>
      <c r="R999" s="3"/>
      <c r="S999" s="3"/>
      <c r="T999" s="3"/>
      <c r="U999" s="3"/>
      <c r="V999" s="3"/>
      <c r="W999" s="3"/>
    </row>
    <row r="1000" spans="1:23">
      <c r="A1000" s="3"/>
      <c r="B1000" s="3"/>
      <c r="C1000" s="13"/>
      <c r="D1000" s="13"/>
      <c r="E1000" s="13"/>
      <c r="F1000" s="13"/>
      <c r="G1000" s="3"/>
      <c r="H1000" s="3"/>
      <c r="I1000" s="3"/>
      <c r="J1000" s="3"/>
      <c r="K1000" s="3"/>
      <c r="L1000" s="3"/>
      <c r="M1000" s="3"/>
      <c r="N1000" s="3"/>
      <c r="O1000" s="3"/>
      <c r="P1000" s="3"/>
      <c r="Q1000" s="3"/>
      <c r="R1000" s="3"/>
      <c r="S1000" s="3"/>
      <c r="T1000" s="3"/>
      <c r="U1000" s="3"/>
      <c r="V1000" s="3"/>
      <c r="W1000" s="3"/>
    </row>
  </sheetData>
  <hyperlinks>
    <hyperlink ref="A2" r:id="rId1" xr:uid="{39BAE517-C0BC-412B-9C42-683EB9EE53F0}"/>
    <hyperlink ref="A3" r:id="rId2" xr:uid="{4C360792-1661-41E2-8D20-B66175AB269F}"/>
    <hyperlink ref="A4" r:id="rId3" xr:uid="{6C26E32E-DFC8-41D9-BCCB-1F28DCA84E97}"/>
    <hyperlink ref="A5" r:id="rId4" xr:uid="{988C5C73-586A-432B-A26E-C33C15C889A3}"/>
    <hyperlink ref="A6" r:id="rId5" xr:uid="{E40393A5-2BE4-42BD-9BE5-69CC84B19AEE}"/>
    <hyperlink ref="A7" r:id="rId6" xr:uid="{B7B38EAF-B41E-4C64-B3B0-25452AE85FF5}"/>
    <hyperlink ref="A8" r:id="rId7" xr:uid="{A38BC013-C796-4385-8C6D-F6412477ECEC}"/>
    <hyperlink ref="A9" r:id="rId8" xr:uid="{5EFE1AC0-2B3A-426A-9930-B931ED459070}"/>
    <hyperlink ref="A10" r:id="rId9" xr:uid="{9BF38229-1D39-4870-9F59-D17620AF2EE1}"/>
    <hyperlink ref="A11" r:id="rId10" xr:uid="{A80AD02E-3BCE-41EF-89F1-2903EDCA5433}"/>
    <hyperlink ref="A12" r:id="rId11" xr:uid="{3B81BCAF-5AEE-4CD5-A641-90449314E4A8}"/>
    <hyperlink ref="A13" r:id="rId12" xr:uid="{C08FAB82-62C5-4978-A459-B42BAAD44E42}"/>
    <hyperlink ref="A14" r:id="rId13" xr:uid="{7511F1C4-529A-4F3E-A68C-431899F01099}"/>
    <hyperlink ref="A15" r:id="rId14" xr:uid="{9C3297AC-54E8-4E83-B9B3-7176DEB2DCB2}"/>
    <hyperlink ref="A16" r:id="rId15" xr:uid="{9ADBDBE0-7CCC-43C1-8213-21333592F86C}"/>
    <hyperlink ref="A17" r:id="rId16" xr:uid="{B1254AC3-9A2E-4B99-955B-25F2C16D3A23}"/>
    <hyperlink ref="A18" r:id="rId17" xr:uid="{C3B47EE3-732A-4CCE-8CDF-CB4FADB9EA75}"/>
    <hyperlink ref="A19" r:id="rId18" xr:uid="{78647E81-AD57-4240-BC21-17ECC2B2D1B0}"/>
    <hyperlink ref="A20" r:id="rId19" xr:uid="{54BDF414-CF2D-430B-AB75-0F71F9EA3146}"/>
    <hyperlink ref="A21" r:id="rId20" xr:uid="{40635C54-2D39-4B5F-80EA-8C966487FC35}"/>
    <hyperlink ref="A22" r:id="rId21" xr:uid="{18101CC6-2C1B-4A12-A3B4-DFDDF0FE4A4E}"/>
    <hyperlink ref="A23" r:id="rId22" xr:uid="{435F9530-E0CD-4351-98A8-55D0F18314B0}"/>
    <hyperlink ref="A24" r:id="rId23" xr:uid="{A320A33E-58A9-4E73-967A-F65C5FBF8F61}"/>
    <hyperlink ref="A25" r:id="rId24" xr:uid="{F641651E-6C73-42E9-B33F-1ECCE1CA4C1C}"/>
    <hyperlink ref="A26" r:id="rId25" xr:uid="{70D6EFED-EEC5-4CD9-AE54-ABAFB08F645E}"/>
    <hyperlink ref="A27" r:id="rId26" xr:uid="{69131801-6178-4877-BDE2-C67AFFFAA90C}"/>
    <hyperlink ref="A28" r:id="rId27" xr:uid="{D69DF56B-B6CF-4344-A655-A257E4F8065F}"/>
    <hyperlink ref="A29" r:id="rId28" xr:uid="{848F107D-ADDF-4D91-9D27-4B327EE86060}"/>
    <hyperlink ref="A30" r:id="rId29" xr:uid="{5EB72B8B-4923-4F63-8CF4-B4BCBAFCCAA8}"/>
    <hyperlink ref="A31" r:id="rId30" xr:uid="{96F71D3B-47D3-4141-ACD8-8824D20CF27C}"/>
    <hyperlink ref="A32" r:id="rId31" xr:uid="{949C0DFD-871F-46E0-9D2B-9507A5315E30}"/>
    <hyperlink ref="A33" r:id="rId32" xr:uid="{1D4A477E-1BB7-4447-91A3-BE1DFB030031}"/>
    <hyperlink ref="A34" r:id="rId33" xr:uid="{5FEEB8B8-7764-42C7-A190-DC4C255D7BD5}"/>
    <hyperlink ref="A35" r:id="rId34" xr:uid="{E0F51D9F-2F31-45C5-A4B2-6A0B8898D83B}"/>
    <hyperlink ref="A36" r:id="rId35" xr:uid="{2FFC8EB4-5149-4AD4-8712-77D27C38B703}"/>
    <hyperlink ref="A37" r:id="rId36" xr:uid="{8C809277-AFB1-448F-B0C3-1BBDE793A483}"/>
    <hyperlink ref="A38" r:id="rId37" xr:uid="{4D414238-9CCD-4277-BC6A-506CB150D288}"/>
    <hyperlink ref="A39" r:id="rId38" xr:uid="{D0A5E937-B3DE-4146-930A-D1B7FA68222F}"/>
    <hyperlink ref="A40" r:id="rId39" xr:uid="{342F7835-09B6-45A4-98FD-8009910A4608}"/>
    <hyperlink ref="A41" r:id="rId40" xr:uid="{C5B2FD24-6F78-483F-ACFF-2FB35AA9087C}"/>
    <hyperlink ref="A42" r:id="rId41" xr:uid="{35BDBFDA-9B1F-4830-99AD-B18DB0D3C61F}"/>
    <hyperlink ref="A43" r:id="rId42" xr:uid="{3089223A-B0F5-4CCB-A32D-862649F0771F}"/>
    <hyperlink ref="A44" r:id="rId43" xr:uid="{7200904A-C22C-4816-9D5D-AE74E161EA01}"/>
    <hyperlink ref="A45" r:id="rId44" xr:uid="{5848826B-1DA4-4C69-818A-BC33C1D5D10E}"/>
    <hyperlink ref="A46" r:id="rId45" xr:uid="{9D3BB046-1EC1-4FE6-8F3D-D8A04A1419A5}"/>
    <hyperlink ref="A47" r:id="rId46" xr:uid="{1EC85F55-E937-4366-BE3E-F4E76F1A0F80}"/>
    <hyperlink ref="A48" r:id="rId47" xr:uid="{AB442D7F-02B7-473E-97C9-D6D2F2C6877E}"/>
    <hyperlink ref="A49" r:id="rId48" xr:uid="{D80A2604-FA59-43EB-A0CF-B55146AF8C2B}"/>
    <hyperlink ref="A50" r:id="rId49" xr:uid="{9D3FAD48-59A8-41D3-A32C-7356D30F165E}"/>
    <hyperlink ref="A51" r:id="rId50" xr:uid="{565FD24B-2CA4-4981-AC03-ECA5E74A1D64}"/>
    <hyperlink ref="A52" r:id="rId51" xr:uid="{F53654EA-C42C-485C-AC66-B26E71C3B0D2}"/>
    <hyperlink ref="A53" r:id="rId52" xr:uid="{9FA3EA7F-6C80-4596-82A5-97BE5DF55372}"/>
    <hyperlink ref="A54" r:id="rId53" xr:uid="{0FFC7362-BF65-454D-8FEE-9426BD506084}"/>
    <hyperlink ref="A55" r:id="rId54" xr:uid="{E86D9223-38D2-415E-BE3E-383B1C805876}"/>
    <hyperlink ref="A56" r:id="rId55" xr:uid="{C1683BB0-5818-4C47-895D-A9D194D8E91F}"/>
    <hyperlink ref="A57" r:id="rId56" xr:uid="{0A08D1DD-9AD2-4AFA-A8EE-F392D07C7291}"/>
    <hyperlink ref="A58" r:id="rId57" xr:uid="{1F7788A8-51BD-4079-9689-51BAA7525049}"/>
    <hyperlink ref="A59" r:id="rId58" xr:uid="{4E27408D-E4BE-4BE6-82B1-44D4D9DE1702}"/>
    <hyperlink ref="A60" r:id="rId59" xr:uid="{7715FBA0-77DA-483C-9388-15D4C0AA9694}"/>
  </hyperlink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Costos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FGT FONGRANTIERRA</dc:creator>
  <cp:lastModifiedBy>FGT FONGRANTIERRA</cp:lastModifiedBy>
  <dcterms:created xsi:type="dcterms:W3CDTF">2026-04-16T14:16:52Z</dcterms:created>
  <dcterms:modified xsi:type="dcterms:W3CDTF">2026-04-16T14:17:55Z</dcterms:modified>
</cp:coreProperties>
</file>