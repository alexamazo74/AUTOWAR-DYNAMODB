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lexa\Downloads\"/>
    </mc:Choice>
  </mc:AlternateContent>
  <xr:revisionPtr revIDLastSave="0" documentId="13_ncr:1_{3D319802-BA2A-4111-90A9-EADAD5B68B01}" xr6:coauthVersionLast="47" xr6:coauthVersionMax="47" xr10:uidLastSave="{00000000-0000-0000-0000-000000000000}"/>
  <bookViews>
    <workbookView xWindow="-28920" yWindow="7485" windowWidth="29040" windowHeight="15720" xr2:uid="{00000000-000D-0000-FFFF-FFFF00000000}"/>
  </bookViews>
  <sheets>
    <sheet name="B. Seguridad" sheetId="1" r:id="rId1"/>
  </sheets>
  <definedNames>
    <definedName name="_xlnm._FilterDatabase" localSheetId="0" hidden="1">'B. Seguridad'!$A$1:$AB$66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5" i="1" l="1"/>
  <c r="L75" i="1"/>
  <c r="B75" i="1"/>
  <c r="W74" i="1"/>
  <c r="U74" i="1"/>
  <c r="S74" i="1"/>
  <c r="Y74" i="1" s="1"/>
  <c r="X74" i="1" s="1"/>
  <c r="I74" i="1"/>
  <c r="G74" i="1"/>
  <c r="K74" i="1" s="1"/>
  <c r="J74" i="1" s="1"/>
  <c r="W73" i="1"/>
  <c r="U73" i="1"/>
  <c r="S73" i="1"/>
  <c r="Y73" i="1" s="1"/>
  <c r="X73" i="1" s="1"/>
  <c r="I73" i="1"/>
  <c r="G73" i="1"/>
  <c r="K73" i="1" s="1"/>
  <c r="J73" i="1" s="1"/>
  <c r="W72" i="1"/>
  <c r="U72" i="1"/>
  <c r="S72" i="1"/>
  <c r="I72" i="1"/>
  <c r="G72" i="1"/>
  <c r="K72" i="1" s="1"/>
  <c r="J72" i="1" s="1"/>
  <c r="W71" i="1"/>
  <c r="U71" i="1"/>
  <c r="S71" i="1"/>
  <c r="Y71" i="1" s="1"/>
  <c r="X71" i="1" s="1"/>
  <c r="I71" i="1"/>
  <c r="G71" i="1"/>
  <c r="K71" i="1" s="1"/>
  <c r="J71" i="1" s="1"/>
  <c r="W70" i="1"/>
  <c r="U70" i="1"/>
  <c r="S70" i="1"/>
  <c r="Y70" i="1" s="1"/>
  <c r="X70" i="1" s="1"/>
  <c r="I70" i="1"/>
  <c r="G70" i="1"/>
  <c r="W69" i="1"/>
  <c r="U69" i="1"/>
  <c r="S69" i="1"/>
  <c r="Y69" i="1" s="1"/>
  <c r="X69" i="1" s="1"/>
  <c r="I69" i="1"/>
  <c r="G69" i="1"/>
  <c r="K69" i="1" s="1"/>
  <c r="J69" i="1" s="1"/>
  <c r="W68" i="1"/>
  <c r="U68" i="1"/>
  <c r="S68" i="1"/>
  <c r="Y68" i="1" s="1"/>
  <c r="X68" i="1" s="1"/>
  <c r="I68" i="1"/>
  <c r="G68" i="1"/>
  <c r="W67" i="1"/>
  <c r="U67" i="1"/>
  <c r="S67" i="1"/>
  <c r="I67" i="1"/>
  <c r="G67" i="1"/>
  <c r="K67" i="1" s="1"/>
  <c r="J67" i="1" s="1"/>
  <c r="AB66" i="1"/>
  <c r="AA66" i="1"/>
  <c r="AA75" i="1" s="1"/>
  <c r="Z66" i="1"/>
  <c r="P66" i="1"/>
  <c r="O66" i="1"/>
  <c r="N66" i="1"/>
  <c r="L66" i="1"/>
  <c r="D66" i="1"/>
  <c r="C66" i="1"/>
  <c r="B66" i="1"/>
  <c r="W65" i="1"/>
  <c r="U65" i="1"/>
  <c r="S65" i="1"/>
  <c r="I65" i="1"/>
  <c r="G65" i="1"/>
  <c r="W64" i="1"/>
  <c r="U64" i="1"/>
  <c r="S64" i="1"/>
  <c r="Y64" i="1" s="1"/>
  <c r="X64" i="1" s="1"/>
  <c r="I64" i="1"/>
  <c r="G64" i="1"/>
  <c r="W63" i="1"/>
  <c r="U63" i="1"/>
  <c r="S63" i="1"/>
  <c r="I63" i="1"/>
  <c r="G63" i="1"/>
  <c r="K63" i="1" s="1"/>
  <c r="J63" i="1" s="1"/>
  <c r="W62" i="1"/>
  <c r="U62" i="1"/>
  <c r="S62" i="1"/>
  <c r="I62" i="1"/>
  <c r="K62" i="1" s="1"/>
  <c r="J62" i="1" s="1"/>
  <c r="G62" i="1"/>
  <c r="W61" i="1"/>
  <c r="U61" i="1"/>
  <c r="S61" i="1"/>
  <c r="I61" i="1"/>
  <c r="G61" i="1"/>
  <c r="K61" i="1" s="1"/>
  <c r="J61" i="1" s="1"/>
  <c r="W60" i="1"/>
  <c r="U60" i="1"/>
  <c r="S60" i="1"/>
  <c r="I60" i="1"/>
  <c r="G60" i="1"/>
  <c r="W59" i="1"/>
  <c r="U59" i="1"/>
  <c r="S59" i="1"/>
  <c r="I59" i="1"/>
  <c r="G59" i="1"/>
  <c r="W58" i="1"/>
  <c r="U58" i="1"/>
  <c r="S58" i="1"/>
  <c r="I58" i="1"/>
  <c r="G58" i="1"/>
  <c r="AB57" i="1"/>
  <c r="AA57" i="1"/>
  <c r="Z57" i="1"/>
  <c r="P57" i="1"/>
  <c r="O57" i="1"/>
  <c r="N57" i="1"/>
  <c r="L57" i="1"/>
  <c r="D57" i="1"/>
  <c r="C57" i="1"/>
  <c r="B57" i="1"/>
  <c r="W56" i="1"/>
  <c r="U56" i="1"/>
  <c r="S56" i="1"/>
  <c r="K56" i="1"/>
  <c r="J56" i="1"/>
  <c r="I56" i="1"/>
  <c r="G56" i="1"/>
  <c r="W55" i="1"/>
  <c r="U55" i="1"/>
  <c r="S55" i="1"/>
  <c r="I55" i="1"/>
  <c r="G55" i="1"/>
  <c r="K55" i="1" s="1"/>
  <c r="J55" i="1" s="1"/>
  <c r="W54" i="1"/>
  <c r="U54" i="1"/>
  <c r="S54" i="1"/>
  <c r="I54" i="1"/>
  <c r="G54" i="1"/>
  <c r="K54" i="1" s="1"/>
  <c r="J54" i="1" s="1"/>
  <c r="AB53" i="1"/>
  <c r="AA53" i="1"/>
  <c r="Z53" i="1"/>
  <c r="P53" i="1"/>
  <c r="O53" i="1"/>
  <c r="N53" i="1"/>
  <c r="L53" i="1"/>
  <c r="D53" i="1"/>
  <c r="C53" i="1"/>
  <c r="B53" i="1"/>
  <c r="W52" i="1"/>
  <c r="U52" i="1"/>
  <c r="S52" i="1"/>
  <c r="I52" i="1"/>
  <c r="G52" i="1"/>
  <c r="W51" i="1"/>
  <c r="U51" i="1"/>
  <c r="S51" i="1"/>
  <c r="I51" i="1"/>
  <c r="G51" i="1"/>
  <c r="K51" i="1" s="1"/>
  <c r="J51" i="1" s="1"/>
  <c r="W50" i="1"/>
  <c r="U50" i="1"/>
  <c r="S50" i="1"/>
  <c r="Y50" i="1" s="1"/>
  <c r="X50" i="1" s="1"/>
  <c r="I50" i="1"/>
  <c r="G50" i="1"/>
  <c r="W49" i="1"/>
  <c r="U49" i="1"/>
  <c r="S49" i="1"/>
  <c r="I49" i="1"/>
  <c r="G49" i="1"/>
  <c r="K49" i="1" s="1"/>
  <c r="J49" i="1" s="1"/>
  <c r="AB48" i="1"/>
  <c r="AA48" i="1"/>
  <c r="Z48" i="1"/>
  <c r="P48" i="1"/>
  <c r="O48" i="1"/>
  <c r="N48" i="1"/>
  <c r="L48" i="1"/>
  <c r="D48" i="1"/>
  <c r="C48" i="1"/>
  <c r="B48" i="1"/>
  <c r="W47" i="1"/>
  <c r="U47" i="1"/>
  <c r="S47" i="1"/>
  <c r="I47" i="1"/>
  <c r="G47" i="1"/>
  <c r="W46" i="1"/>
  <c r="U46" i="1"/>
  <c r="S46" i="1"/>
  <c r="Y46" i="1" s="1"/>
  <c r="X46" i="1" s="1"/>
  <c r="I46" i="1"/>
  <c r="G46" i="1"/>
  <c r="K46" i="1" s="1"/>
  <c r="J46" i="1" s="1"/>
  <c r="W45" i="1"/>
  <c r="U45" i="1"/>
  <c r="S45" i="1"/>
  <c r="I45" i="1"/>
  <c r="G45" i="1"/>
  <c r="W44" i="1"/>
  <c r="U44" i="1"/>
  <c r="S44" i="1"/>
  <c r="Y44" i="1" s="1"/>
  <c r="X44" i="1" s="1"/>
  <c r="I44" i="1"/>
  <c r="G44" i="1"/>
  <c r="K44" i="1" s="1"/>
  <c r="J44" i="1" s="1"/>
  <c r="AB43" i="1"/>
  <c r="AA43" i="1"/>
  <c r="Z43" i="1"/>
  <c r="P43" i="1"/>
  <c r="O43" i="1"/>
  <c r="N43" i="1"/>
  <c r="L43" i="1"/>
  <c r="D43" i="1"/>
  <c r="C43" i="1"/>
  <c r="B43" i="1"/>
  <c r="W42" i="1"/>
  <c r="U42" i="1"/>
  <c r="S42" i="1"/>
  <c r="I42" i="1"/>
  <c r="G42" i="1"/>
  <c r="W41" i="1"/>
  <c r="U41" i="1"/>
  <c r="S41" i="1"/>
  <c r="Y41" i="1" s="1"/>
  <c r="X41" i="1" s="1"/>
  <c r="I41" i="1"/>
  <c r="G41" i="1"/>
  <c r="K41" i="1" s="1"/>
  <c r="J41" i="1" s="1"/>
  <c r="W40" i="1"/>
  <c r="U40" i="1"/>
  <c r="S40" i="1"/>
  <c r="I40" i="1"/>
  <c r="G40" i="1"/>
  <c r="K40" i="1" s="1"/>
  <c r="J40" i="1" s="1"/>
  <c r="W39" i="1"/>
  <c r="U39" i="1"/>
  <c r="S39" i="1"/>
  <c r="I39" i="1"/>
  <c r="G39" i="1"/>
  <c r="K39" i="1" s="1"/>
  <c r="J39" i="1" s="1"/>
  <c r="W38" i="1"/>
  <c r="U38" i="1"/>
  <c r="S38" i="1"/>
  <c r="I38" i="1"/>
  <c r="G38" i="1"/>
  <c r="AB37" i="1"/>
  <c r="AA37" i="1"/>
  <c r="Z37" i="1"/>
  <c r="P37" i="1"/>
  <c r="O37" i="1"/>
  <c r="N37" i="1"/>
  <c r="L37" i="1"/>
  <c r="D37" i="1"/>
  <c r="C37" i="1"/>
  <c r="B37" i="1"/>
  <c r="W36" i="1"/>
  <c r="U36" i="1"/>
  <c r="S36" i="1"/>
  <c r="I36" i="1"/>
  <c r="G36" i="1"/>
  <c r="K36" i="1" s="1"/>
  <c r="J36" i="1" s="1"/>
  <c r="W35" i="1"/>
  <c r="U35" i="1"/>
  <c r="S35" i="1"/>
  <c r="Y35" i="1" s="1"/>
  <c r="X35" i="1" s="1"/>
  <c r="I35" i="1"/>
  <c r="G35" i="1"/>
  <c r="W34" i="1"/>
  <c r="U34" i="1"/>
  <c r="S34" i="1"/>
  <c r="I34" i="1"/>
  <c r="G34" i="1"/>
  <c r="K34" i="1" s="1"/>
  <c r="J34" i="1" s="1"/>
  <c r="W33" i="1"/>
  <c r="U33" i="1"/>
  <c r="S33" i="1"/>
  <c r="I33" i="1"/>
  <c r="G33" i="1"/>
  <c r="AB32" i="1"/>
  <c r="AA32" i="1"/>
  <c r="AA17" i="1" s="1"/>
  <c r="Z32" i="1"/>
  <c r="P32" i="1"/>
  <c r="O32" i="1"/>
  <c r="N32" i="1"/>
  <c r="L32" i="1"/>
  <c r="D32" i="1"/>
  <c r="C32" i="1"/>
  <c r="B32" i="1"/>
  <c r="W31" i="1"/>
  <c r="U31" i="1"/>
  <c r="S31" i="1"/>
  <c r="Y31" i="1" s="1"/>
  <c r="X31" i="1" s="1"/>
  <c r="I31" i="1"/>
  <c r="G31" i="1"/>
  <c r="W30" i="1"/>
  <c r="U30" i="1"/>
  <c r="S30" i="1"/>
  <c r="Y30" i="1" s="1"/>
  <c r="X30" i="1" s="1"/>
  <c r="I30" i="1"/>
  <c r="G30" i="1"/>
  <c r="K30" i="1" s="1"/>
  <c r="J30" i="1" s="1"/>
  <c r="W29" i="1"/>
  <c r="U29" i="1"/>
  <c r="S29" i="1"/>
  <c r="I29" i="1"/>
  <c r="G29" i="1"/>
  <c r="W28" i="1"/>
  <c r="U28" i="1"/>
  <c r="S28" i="1"/>
  <c r="I28" i="1"/>
  <c r="G28" i="1"/>
  <c r="AB27" i="1"/>
  <c r="AA27" i="1"/>
  <c r="Z27" i="1"/>
  <c r="P27" i="1"/>
  <c r="O27" i="1"/>
  <c r="N27" i="1"/>
  <c r="L27" i="1"/>
  <c r="D27" i="1"/>
  <c r="C27" i="1"/>
  <c r="B27" i="1"/>
  <c r="W26" i="1"/>
  <c r="U26" i="1"/>
  <c r="S26" i="1"/>
  <c r="I26" i="1"/>
  <c r="G26" i="1"/>
  <c r="W25" i="1"/>
  <c r="U25" i="1"/>
  <c r="S25" i="1"/>
  <c r="I25" i="1"/>
  <c r="G25" i="1"/>
  <c r="W24" i="1"/>
  <c r="U24" i="1"/>
  <c r="S24" i="1"/>
  <c r="Y24" i="1" s="1"/>
  <c r="X24" i="1" s="1"/>
  <c r="I24" i="1"/>
  <c r="G24" i="1"/>
  <c r="K24" i="1" s="1"/>
  <c r="J24" i="1" s="1"/>
  <c r="W23" i="1"/>
  <c r="U23" i="1"/>
  <c r="S23" i="1"/>
  <c r="I23" i="1"/>
  <c r="G23" i="1"/>
  <c r="K23" i="1" s="1"/>
  <c r="J23" i="1" s="1"/>
  <c r="W22" i="1"/>
  <c r="U22" i="1"/>
  <c r="S22" i="1"/>
  <c r="I22" i="1"/>
  <c r="G22" i="1"/>
  <c r="W21" i="1"/>
  <c r="U21" i="1"/>
  <c r="S21" i="1"/>
  <c r="I21" i="1"/>
  <c r="G21" i="1"/>
  <c r="K21" i="1" s="1"/>
  <c r="J21" i="1" s="1"/>
  <c r="W20" i="1"/>
  <c r="U20" i="1"/>
  <c r="S20" i="1"/>
  <c r="I20" i="1"/>
  <c r="G20" i="1"/>
  <c r="K20" i="1" s="1"/>
  <c r="J20" i="1" s="1"/>
  <c r="W19" i="1"/>
  <c r="U19" i="1"/>
  <c r="S19" i="1"/>
  <c r="Y19" i="1" s="1"/>
  <c r="X19" i="1" s="1"/>
  <c r="I19" i="1"/>
  <c r="G19" i="1"/>
  <c r="W18" i="1"/>
  <c r="U18" i="1"/>
  <c r="S18" i="1"/>
  <c r="I18" i="1"/>
  <c r="G18" i="1"/>
  <c r="K18" i="1" s="1"/>
  <c r="J18" i="1" s="1"/>
  <c r="AB17" i="1"/>
  <c r="Z17" i="1"/>
  <c r="P17" i="1"/>
  <c r="O17" i="1"/>
  <c r="N17" i="1"/>
  <c r="L17" i="1"/>
  <c r="D17" i="1"/>
  <c r="C17" i="1"/>
  <c r="B17" i="1"/>
  <c r="W16" i="1"/>
  <c r="U16" i="1"/>
  <c r="S16" i="1"/>
  <c r="I16" i="1"/>
  <c r="G16" i="1"/>
  <c r="W15" i="1"/>
  <c r="U15" i="1"/>
  <c r="S15" i="1"/>
  <c r="I15" i="1"/>
  <c r="G15" i="1"/>
  <c r="K15" i="1" s="1"/>
  <c r="J15" i="1" s="1"/>
  <c r="W14" i="1"/>
  <c r="U14" i="1"/>
  <c r="S14" i="1"/>
  <c r="I14" i="1"/>
  <c r="G14" i="1"/>
  <c r="K14" i="1" s="1"/>
  <c r="J14" i="1" s="1"/>
  <c r="W13" i="1"/>
  <c r="U13" i="1"/>
  <c r="S13" i="1"/>
  <c r="I13" i="1"/>
  <c r="G13" i="1"/>
  <c r="W12" i="1"/>
  <c r="U12" i="1"/>
  <c r="S12" i="1"/>
  <c r="I12" i="1"/>
  <c r="G12" i="1"/>
  <c r="W11" i="1"/>
  <c r="U11" i="1"/>
  <c r="S11" i="1"/>
  <c r="Y11" i="1" s="1"/>
  <c r="X11" i="1" s="1"/>
  <c r="I11" i="1"/>
  <c r="G11" i="1"/>
  <c r="K11" i="1" s="1"/>
  <c r="J11" i="1" s="1"/>
  <c r="AB10" i="1"/>
  <c r="AA10" i="1"/>
  <c r="Z10" i="1"/>
  <c r="P10" i="1"/>
  <c r="O10" i="1"/>
  <c r="N10" i="1"/>
  <c r="L10" i="1"/>
  <c r="D10" i="1"/>
  <c r="C10" i="1"/>
  <c r="B10" i="1"/>
  <c r="W9" i="1"/>
  <c r="U9" i="1"/>
  <c r="S9" i="1"/>
  <c r="I9" i="1"/>
  <c r="G9" i="1"/>
  <c r="K9" i="1" s="1"/>
  <c r="J9" i="1" s="1"/>
  <c r="W8" i="1"/>
  <c r="U8" i="1"/>
  <c r="S8" i="1"/>
  <c r="I8" i="1"/>
  <c r="G8" i="1"/>
  <c r="K8" i="1" s="1"/>
  <c r="J8" i="1" s="1"/>
  <c r="W7" i="1"/>
  <c r="U7" i="1"/>
  <c r="S7" i="1"/>
  <c r="I7" i="1"/>
  <c r="G7" i="1"/>
  <c r="W6" i="1"/>
  <c r="U6" i="1"/>
  <c r="S6" i="1"/>
  <c r="I6" i="1"/>
  <c r="G6" i="1"/>
  <c r="W5" i="1"/>
  <c r="U5" i="1"/>
  <c r="S5" i="1"/>
  <c r="Y5" i="1" s="1"/>
  <c r="X5" i="1" s="1"/>
  <c r="I5" i="1"/>
  <c r="G5" i="1"/>
  <c r="W4" i="1"/>
  <c r="U4" i="1"/>
  <c r="S4" i="1"/>
  <c r="I4" i="1"/>
  <c r="G4" i="1"/>
  <c r="K4" i="1" s="1"/>
  <c r="J4" i="1" s="1"/>
  <c r="W3" i="1"/>
  <c r="U3" i="1"/>
  <c r="S3" i="1"/>
  <c r="I3" i="1"/>
  <c r="G3" i="1"/>
  <c r="W2" i="1"/>
  <c r="U2" i="1"/>
  <c r="S2" i="1"/>
  <c r="I2" i="1"/>
  <c r="G2" i="1"/>
  <c r="AB1" i="1"/>
  <c r="AA1" i="1"/>
  <c r="Z1" i="1"/>
  <c r="P1" i="1"/>
  <c r="O1" i="1"/>
  <c r="N1" i="1"/>
  <c r="L1" i="1"/>
  <c r="D1" i="1"/>
  <c r="C1" i="1"/>
  <c r="B1" i="1"/>
  <c r="Z75" i="1" l="1"/>
  <c r="K45" i="1"/>
  <c r="J45" i="1" s="1"/>
  <c r="K64" i="1"/>
  <c r="J64" i="1" s="1"/>
  <c r="Y34" i="1"/>
  <c r="X34" i="1" s="1"/>
  <c r="K19" i="1"/>
  <c r="J19" i="1" s="1"/>
  <c r="D75" i="1"/>
  <c r="K6" i="1"/>
  <c r="J6" i="1" s="1"/>
  <c r="C75" i="1"/>
  <c r="P75" i="1"/>
  <c r="O75" i="1"/>
  <c r="Y18" i="1"/>
  <c r="X18" i="1" s="1"/>
  <c r="Y28" i="1"/>
  <c r="X28" i="1" s="1"/>
  <c r="K26" i="1"/>
  <c r="J26" i="1" s="1"/>
  <c r="K47" i="1"/>
  <c r="J47" i="1" s="1"/>
  <c r="Y61" i="1"/>
  <c r="X61" i="1" s="1"/>
  <c r="K35" i="1"/>
  <c r="J35" i="1" s="1"/>
  <c r="Y20" i="1"/>
  <c r="X20" i="1" s="1"/>
  <c r="K2" i="1"/>
  <c r="J2" i="1" s="1"/>
  <c r="Y36" i="1"/>
  <c r="X36" i="1" s="1"/>
  <c r="Y39" i="1"/>
  <c r="X39" i="1" s="1"/>
  <c r="Y54" i="1"/>
  <c r="X54" i="1" s="1"/>
  <c r="K70" i="1"/>
  <c r="J70" i="1" s="1"/>
  <c r="Y9" i="1"/>
  <c r="X9" i="1" s="1"/>
  <c r="K12" i="1"/>
  <c r="J12" i="1" s="1"/>
  <c r="Y25" i="1"/>
  <c r="X25" i="1" s="1"/>
  <c r="K28" i="1"/>
  <c r="J28" i="1" s="1"/>
  <c r="K52" i="1"/>
  <c r="J52" i="1" s="1"/>
  <c r="Y8" i="1"/>
  <c r="X8" i="1" s="1"/>
  <c r="Y6" i="1"/>
  <c r="X6" i="1" s="1"/>
  <c r="Y55" i="1"/>
  <c r="X55" i="1" s="1"/>
  <c r="Y67" i="1"/>
  <c r="X67" i="1" s="1"/>
  <c r="K3" i="1"/>
  <c r="J3" i="1" s="1"/>
  <c r="Y22" i="1"/>
  <c r="X22" i="1" s="1"/>
  <c r="Y26" i="1"/>
  <c r="X26" i="1" s="1"/>
  <c r="K29" i="1"/>
  <c r="J29" i="1" s="1"/>
  <c r="Y2" i="1"/>
  <c r="X2" i="1" s="1"/>
  <c r="K7" i="1"/>
  <c r="J7" i="1" s="1"/>
  <c r="Y13" i="1"/>
  <c r="X13" i="1" s="1"/>
  <c r="Y29" i="1"/>
  <c r="X29" i="1" s="1"/>
  <c r="Y7" i="1"/>
  <c r="X7" i="1" s="1"/>
  <c r="Y23" i="1"/>
  <c r="X23" i="1" s="1"/>
  <c r="Y47" i="1"/>
  <c r="X47" i="1" s="1"/>
  <c r="K50" i="1"/>
  <c r="J50" i="1" s="1"/>
  <c r="Y16" i="1"/>
  <c r="X16" i="1" s="1"/>
  <c r="Y33" i="1"/>
  <c r="X33" i="1" s="1"/>
  <c r="Y42" i="1"/>
  <c r="X42" i="1" s="1"/>
  <c r="Y62" i="1"/>
  <c r="X62" i="1" s="1"/>
  <c r="Y3" i="1"/>
  <c r="X3" i="1" s="1"/>
  <c r="K13" i="1"/>
  <c r="J13" i="1" s="1"/>
  <c r="K31" i="1"/>
  <c r="J31" i="1" s="1"/>
  <c r="Y45" i="1"/>
  <c r="X45" i="1" s="1"/>
  <c r="Y51" i="1"/>
  <c r="X51" i="1" s="1"/>
  <c r="Y56" i="1"/>
  <c r="X56" i="1" s="1"/>
  <c r="K59" i="1"/>
  <c r="J59" i="1" s="1"/>
  <c r="Y72" i="1"/>
  <c r="X72" i="1" s="1"/>
  <c r="Y63" i="1"/>
  <c r="X63" i="1" s="1"/>
  <c r="Y4" i="1"/>
  <c r="X4" i="1" s="1"/>
  <c r="Y52" i="1"/>
  <c r="X52" i="1" s="1"/>
  <c r="K60" i="1"/>
  <c r="J60" i="1" s="1"/>
  <c r="Y59" i="1"/>
  <c r="X59" i="1" s="1"/>
  <c r="Y14" i="1"/>
  <c r="X14" i="1" s="1"/>
  <c r="Y40" i="1"/>
  <c r="X40" i="1" s="1"/>
  <c r="Y49" i="1"/>
  <c r="X49" i="1" s="1"/>
  <c r="Y60" i="1"/>
  <c r="X60" i="1" s="1"/>
  <c r="Y15" i="1"/>
  <c r="X15" i="1" s="1"/>
  <c r="Y21" i="1"/>
  <c r="X21" i="1" s="1"/>
  <c r="K38" i="1"/>
  <c r="J38" i="1" s="1"/>
  <c r="K65" i="1"/>
  <c r="J65" i="1" s="1"/>
  <c r="K25" i="1"/>
  <c r="J25" i="1" s="1"/>
  <c r="K42" i="1"/>
  <c r="J42" i="1" s="1"/>
  <c r="K58" i="1"/>
  <c r="J58" i="1" s="1"/>
  <c r="K68" i="1"/>
  <c r="J68" i="1" s="1"/>
  <c r="K5" i="1"/>
  <c r="J5" i="1" s="1"/>
  <c r="Y12" i="1"/>
  <c r="X12" i="1" s="1"/>
  <c r="K16" i="1"/>
  <c r="J16" i="1" s="1"/>
  <c r="K22" i="1"/>
  <c r="J22" i="1" s="1"/>
  <c r="K33" i="1"/>
  <c r="J33" i="1" s="1"/>
  <c r="Y38" i="1"/>
  <c r="X38" i="1" s="1"/>
  <c r="Y58" i="1"/>
  <c r="X58" i="1" s="1"/>
  <c r="Y65" i="1"/>
  <c r="X65" i="1" s="1"/>
  <c r="N75" i="1"/>
  <c r="J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000-000003000000}">
      <text>
        <r>
          <rPr>
            <sz val="10"/>
            <color rgb="FF000000"/>
            <rFont val="Arial"/>
            <scheme val="minor"/>
          </rPr>
          <t>clickup/tarea</t>
        </r>
      </text>
    </comment>
    <comment ref="B3" authorId="0" shapeId="0" xr:uid="{00000000-0006-0000-0000-000004000000}">
      <text>
        <r>
          <rPr>
            <sz val="10"/>
            <color rgb="FF000000"/>
            <rFont val="Arial"/>
            <scheme val="minor"/>
          </rPr>
          <t>Utilizar el usuario raíz para llevar a cabo tareas que no se encuentran entre las pocas que requieren credenciales de usuario raíz. 
Dejar de comprobar periódicamente los planes de contingencia para verificar el funcionamiento de las infraestructuras críticas, los procesos y el personal durante una emergencia.
Considerar únicamente el flujo de inicio de sesión típico de la cuenta y olvidarse de considerar o probar métodos alternativos de recuperación de la cuenta.
No ocuparse de DNS, servidores de correo electrónico y proveedores de telefonía como parte del perímetro crítico de seguridad, ya que estos se utilizan en el flujo de recuperación de la cuenta.</t>
        </r>
      </text>
    </comment>
    <comment ref="B4" authorId="0" shapeId="0" xr:uid="{00000000-0006-0000-0000-000005000000}">
      <text>
        <r>
          <rPr>
            <sz val="10"/>
            <color rgb="FF000000"/>
            <rFont val="Arial"/>
            <scheme val="minor"/>
          </rPr>
          <t>Incomprensión por parte de la empresa de los requisitos normativos, las expectativas del mercado y los estándares del sector en cuanto al control de la seguridad.
Alineación incorrecta de los marcos de ciberseguridad y los objetivos de control con los requisitos de la empresa.
Ausencia de una correspondencia estrecha y medible entre la implementación de los controles y los objetivos de control.
Falta de uso de la automatización para informar sobre la eficacia de los controles.</t>
        </r>
      </text>
    </comment>
    <comment ref="B5" authorId="0" shapeId="0" xr:uid="{00000000-0006-0000-0000-000006000000}">
      <text>
        <r>
          <rPr>
            <sz val="10"/>
            <color rgb="FF000000"/>
            <rFont val="Arial"/>
            <scheme val="minor"/>
          </rPr>
          <t>No disponer de un mecanismo fiable y repetible para mantenerse al día de la información más reciente sobre amenazas.
Mantener un inventario manual de su cartera de tecnología, cargas de trabajo y dependencias que requiera una revisión humana para detectar posibles vulnerabilidades y exposiciones.
No disponer de mecanismos para actualizar sus cargas de trabajo y dependencias a las versiones más recientes disponibles que incluyan mitigaciones de amenazas conocidas.</t>
        </r>
      </text>
    </comment>
    <comment ref="B6" authorId="0" shapeId="0" xr:uid="{00000000-0006-0000-0000-000007000000}">
      <text>
        <r>
          <rPr>
            <sz val="10"/>
            <color rgb="FF000000"/>
            <rFont val="Arial"/>
            <scheme val="minor"/>
          </rPr>
          <t>Implementar cargas de trabajo sin comprender a fondo el modelo de responsabilidad compartida para los servicios que seleccione.
Alojar bases de datos y otras tecnologías en máquinas virtuales sin haber evaluado un servicio administrado equivalente.
No incluir las tareas de administración de la seguridad en el costo total de la propiedad de las tecnologías de host en máquinas virtuales en comparación con las opciones de servicios administrados.</t>
        </r>
      </text>
    </comment>
    <comment ref="B7" authorId="0" shapeId="0" xr:uid="{00000000-0006-0000-0000-000008000000}">
      <text>
        <r>
          <rPr>
            <sz val="10"/>
            <color rgb="FF000000"/>
            <rFont val="Arial"/>
            <scheme val="minor"/>
          </rPr>
          <t xml:space="preserve">Hacer cambios en los controles de seguridad estándar de forma manual, mediante una consola web o una interfaz de línea de comandos.
Confiar en los equipos de carga de trabajo individuales para implementar manualmente los controles que define un equipo central.
Confiar en un equipo de seguridad central para implementar controles en el nivel de la carga de trabajo a petición de un equipo de carga de trabajo.
Permitir que las mismas personas o equipos desarrollen, prueben e implementen scripts de automatización del control de seguridad sin una separación adecuada de funciones ni de controles y contrapesos. 
</t>
        </r>
      </text>
    </comment>
    <comment ref="B9" authorId="0" shapeId="0" xr:uid="{00000000-0006-0000-0000-000009000000}">
      <text>
        <r>
          <rPr>
            <sz val="10"/>
            <color rgb="FF000000"/>
            <rFont val="Arial"/>
            <scheme val="minor"/>
          </rPr>
          <t>No se suscribe a blogs de AWS y fuentes RSS para enterarse rápidamente de las nuevas características y servicios pertinentes.
Confía en las noticias y actualizaciones sobre los servicios y características de seguridad de fuentes de segunda mano
No fomenta entre los usuarios de AWS de su organización a mantenerse al día de las últimas actualizaciones</t>
        </r>
      </text>
    </comment>
    <comment ref="B11" authorId="0" shapeId="0" xr:uid="{00000000-0006-0000-0000-00000A000000}">
      <text>
        <r>
          <rPr>
            <sz val="10"/>
            <color rgb="FF000000"/>
            <rFont val="Arial"/>
            <scheme val="minor"/>
          </rPr>
          <t>No aplicar una política de contraseñas segura para sus identidades que incluya contraseñas complejas y MFA.
Compartir las mismas credenciales entre diferentes usuarios.
No utilizar controles de detección de inicios de sesión sospechosos.</t>
        </r>
      </text>
    </comment>
    <comment ref="B12" authorId="0" shapeId="0" xr:uid="{00000000-0006-0000-0000-00000B000000}">
      <text>
        <r>
          <rPr>
            <sz val="10"/>
            <color rgb="FF000000"/>
            <rFont val="Arial"/>
            <scheme val="minor"/>
          </rPr>
          <t>No rotar las credenciales.
Almacenar credenciales a largo plazo en el código fuente o en archivos de configuración.
Almacenar credenciales en reposo sin cifrar.</t>
        </r>
      </text>
    </comment>
    <comment ref="B13" authorId="0" shapeId="0" xr:uid="{00000000-0006-0000-0000-00000C000000}">
      <text>
        <r>
          <rPr>
            <sz val="10"/>
            <color rgb="FF000000"/>
            <rFont val="Arial"/>
            <scheme val="minor"/>
          </rPr>
          <t>No rotar las credenciales.
Almacenar credenciales a largo plazo en el código fuente o en archivos de configuración.
Almacenar credenciales en reposo sin cifrar.</t>
        </r>
      </text>
    </comment>
    <comment ref="B14" authorId="0" shapeId="0" xr:uid="{00000000-0006-0000-0000-00000D000000}">
      <text>
        <r>
          <rPr>
            <sz val="10"/>
            <color rgb="FF000000"/>
            <rFont val="Arial"/>
            <scheme val="minor"/>
          </rPr>
          <t>No utiliza la federación ni el inicio de sesión único. Los usuarios de la plantilla crean cuentas de usuario y credenciales independientes en diversas aplicaciones y sistemas.
No ha automatizado el ciclo de vida de las identidades de los usuarios de la plantilla, por ejemplo, no ha integrado su proveedor de identidades en sus sistemas de recursos humanos. Cuando un usuario abandona la organización o cambia de rol, se sigue un proceso manual para eliminar o actualizar sus registros en varias aplicaciones y sistemas.</t>
        </r>
      </text>
    </comment>
    <comment ref="B15" authorId="0" shapeId="0" xr:uid="{00000000-0006-0000-0000-00000E000000}">
      <text>
        <r>
          <rPr>
            <sz val="10"/>
            <color rgb="FF000000"/>
            <rFont val="Arial"/>
            <scheme val="minor"/>
          </rPr>
          <t>No auditar el uso de credenciales.
Utilizar credenciales de larga duración de forma innecesaria.
Utilizar credenciales de larga duración y no rotarlas regularmente.</t>
        </r>
      </text>
    </comment>
    <comment ref="B16" authorId="0" shapeId="0" xr:uid="{00000000-0006-0000-0000-00000F000000}">
      <text>
        <r>
          <rPr>
            <sz val="10"/>
            <color rgb="FF000000"/>
            <rFont val="Arial"/>
            <scheme val="minor"/>
          </rPr>
          <t>Administrar los permisos de usuarios individuales y duplicarlos para muchos usuarios.
Definir grupos en un nivel demasiado alto y conceder permisos demasiado amplios.
Definir grupos en un nivel demasiado detallado, lo que crea duplicación y confusión en torno a la pertenencia a dichos grupos.
Usar grupos con permisos duplicados en diversos subconjuntos de recursos cuando, en su lugar, se pueden usar atributos.
No administrar grupos, atributos y pertenencias a grupos con un proveedor de identidades estandarizado integrado con sus entornos de AWS.
Usar encadenamiento de roles al utilizar las sesiones del AWS IAM Identity Center.</t>
        </r>
      </text>
    </comment>
    <comment ref="B18" authorId="0" shapeId="0" xr:uid="{00000000-0006-0000-0000-000010000000}">
      <text>
        <r>
          <rPr>
            <sz val="10"/>
            <color rgb="FF000000"/>
            <rFont val="Arial"/>
            <scheme val="minor"/>
          </rPr>
          <t>Codificar de forma rígida o almacenar secretos en la aplicación.
Conceder permisos personalizados para cada usuario.
Utilizar credenciales de larga duración.</t>
        </r>
      </text>
    </comment>
    <comment ref="B19" authorId="0" shapeId="0" xr:uid="{00000000-0006-0000-0000-000011000000}">
      <text>
        <r>
          <rPr>
            <sz val="10"/>
            <color rgb="FF000000"/>
            <rFont val="Arial"/>
            <scheme val="minor"/>
          </rPr>
          <t>Concede permisos de administrador a los usuarios de forma predeterminada.
Utiliza la cuenta de usuario raíz para tareas cotidianas.
Crea políticas demasiado permisivas sin un alcance adecuado.
Revisa sus permisos con poca frecuencia, lo que provoca un aumento excesivo de los permisos.
Aísla el entorno o gestiona los permisos basándose exclusivamente en un control de acceso basado en atributos.</t>
        </r>
      </text>
    </comment>
    <comment ref="B20" authorId="0" shapeId="0" xr:uid="{00000000-0006-0000-0000-000012000000}">
      <text>
        <r>
          <rPr>
            <sz val="10"/>
            <color rgb="FF000000"/>
            <rFont val="Arial"/>
            <scheme val="minor"/>
          </rPr>
          <t>No tiene procesos de acceso de emergencia bien documentados y probados. Cuando los usuarios no están preparados para emergencias, siguen procesos improvisados cuando estas se producen.
Tener procesos de acceso de emergencia que dependan de los mismos sistemas (como un proveedor de identidades centralizado) que sus mecanismos de acceso normales. Esto significa que el error de un sistema de este tipo podría afectar tanto a sus mecanismos de acceso normales como a los de emergencia y, por lo tanto, repercutir en la capacidad para recuperarse del error.
Se utilizan los procesos de acceso de emergencia en situaciones que no son de emergencia. Por ejemplo, los usuarios suelen hacer un uso inapropiado de los procesos de acceso de emergencia, ya que les resulta más fácil hacer cambios directamente que enviarlos a través de una canalización.
Tener procesos de acceso de emergencia que no generan registros suficientes para auditar los procesos o no supervisar los registros para alertar de un posible uso indebido de los procesos.</t>
        </r>
      </text>
    </comment>
    <comment ref="B21" authorId="0" shapeId="0" xr:uid="{00000000-0006-0000-0000-000013000000}">
      <text>
        <r>
          <rPr>
            <sz val="10"/>
            <color rgb="FF000000"/>
            <rFont val="Arial"/>
            <scheme val="minor"/>
          </rPr>
          <t>Conceder permisos de administrador a los usuarios de forma predeterminada.
Crear políticas excesivamente permisivas, pero sin todos los privilegios de administrador.
Mantener políticas de permisos después de que ya no son necesarias.</t>
        </r>
      </text>
    </comment>
    <comment ref="B22" authorId="0" shapeId="0" xr:uid="{00000000-0006-0000-0000-000014000000}">
      <text>
        <r>
          <rPr>
            <sz val="10"/>
            <color rgb="FF000000"/>
            <rFont val="Arial"/>
            <scheme val="minor"/>
          </rPr>
          <t>Crear Cuentas de AWS de miembros dentro de una organización de AWS, pero no usar SCP para restringir el uso y los permisos disponibles para sus credenciales raíz.
Asignar permisos según el principio de privilegio mínimo, pero sin aplicar barreras de protección al conjunto máximo de permisos que se pueden conceder.
Confiar en el principio de denegación implícita de AWS IAM para restringir los permisos y esperar que las políticas no concedan un permiso explícito no deseado.
Ejecutar varios entornos de carga de trabajo en la misma Cuenta de AWS y, a continuación, recurrir a mecanismos como las VPC, las etiquetas o las políticas de recursos para hacer cumplir los límites de los permisos.</t>
        </r>
      </text>
    </comment>
    <comment ref="B23" authorId="0" shapeId="0" xr:uid="{00000000-0006-0000-0000-000015000000}">
      <text>
        <r>
          <rPr>
            <sz val="10"/>
            <color rgb="FF000000"/>
            <rFont val="Arial"/>
            <scheme val="minor"/>
          </rPr>
          <t>Concede privilegios de acceso excesivos o amplios a las identidades por adelantado, más allá de lo que se requiere inicialmente.
No revisa ni ajusta los privilegios de acceso, a medida que los cargos y las responsabilidades cambian con el tiempo.
Deja identidades inactivas o terminadas con privilegios de acceso activos. Esto aumenta el riesgo de acceso no autorizado.
No aprovecha la automatización para gestionar el ciclo de vida de las identidades.</t>
        </r>
      </text>
    </comment>
    <comment ref="B24" authorId="0" shapeId="0" xr:uid="{00000000-0006-0000-0000-000016000000}">
      <text>
        <r>
          <rPr>
            <sz val="10"/>
            <color rgb="FF000000"/>
            <rFont val="Arial"/>
            <scheme val="minor"/>
          </rPr>
          <t>No mantener un inventario de los recursos compartidos.
No seguir un proceso para aprobar el acceso público o entre cuentas a los recursos.</t>
        </r>
      </text>
    </comment>
    <comment ref="B25" authorId="0" shapeId="0" xr:uid="{00000000-0006-0000-0000-000017000000}">
      <text>
        <r>
          <rPr>
            <sz val="10"/>
            <color rgb="FF000000"/>
            <rFont val="Arial"/>
            <scheme val="minor"/>
          </rPr>
          <t>Falta de un proceso para supervisar continuamente y alertar automáticamente sobre un uso compartido externo inesperado.
Falta de una referencia sobre lo que se debe compartir y lo que no.
Adoptar de manera predeterminada una política muy abierta en lugar de compartir explícitamente cuando es necesario.
Crear manualmente recursos fundamentales que se solapan cuando es necesario.</t>
        </r>
      </text>
    </comment>
    <comment ref="B26" authorId="0" shapeId="0" xr:uid="{00000000-0006-0000-0000-000018000000}">
      <text>
        <r>
          <rPr>
            <sz val="10"/>
            <color rgb="FF000000"/>
            <rFont val="Arial"/>
            <scheme val="minor"/>
          </rPr>
          <t>Utilizar la política de confianza de IAM predeterminada sin ninguna condición.
Utilizar claves de acceso y credenciales de IAM a largo plazo.
Reutilizar ID externos.</t>
        </r>
      </text>
    </comment>
    <comment ref="B28" authorId="0" shapeId="0" xr:uid="{00000000-0006-0000-0000-000019000000}">
      <text>
        <r>
          <rPr>
            <sz val="10"/>
            <color rgb="FF000000"/>
            <rFont val="Arial"/>
            <scheme val="minor"/>
          </rPr>
          <t>Almacenar los registros de forma indefinida o eliminarlos demasiado pronto.
Todo el mundo puede acceder a los registros.
Depender por completo de procesos manuales para la gobernanza y el uso de los registros.
Almacenar todos y cada uno de los tipos de registros por si fueran necesarios.
Comprobar la integridad de los registros solo cuando es necesario.</t>
        </r>
      </text>
    </comment>
    <comment ref="B29" authorId="0" shapeId="0" xr:uid="{00000000-0006-0000-0000-00001A000000}">
      <text>
        <r>
          <rPr>
            <sz val="10"/>
            <color rgb="FF000000"/>
            <rFont val="Arial"/>
            <scheme val="minor"/>
          </rPr>
          <t>Los equipos tienen y administran de forma independiente registros y recopilaciones de métricas que no se ajustan a la estrategia de registro de la organización.
Los equipos no tienen controles de acceso adecuados para restringir la visibilidad y la alteración de los datos recopilados.
Los equipos no gestionan sus registros, resultados y métricas de seguridad como parte de su política de clasificación de datos.
Los equipos no tienen en cuenta los requisitos de soberanía y localización de los datos al configurar las recopilaciones de datos.</t>
        </r>
      </text>
    </comment>
    <comment ref="B30" authorId="0" shapeId="0" xr:uid="{00000000-0006-0000-0000-00001B000000}">
      <text>
        <r>
          <rPr>
            <sz val="10"/>
            <color rgb="FF000000"/>
            <rFont val="Arial"/>
            <scheme val="minor"/>
          </rPr>
          <t>Existen grupos de personas distintos que investigan los resultados y alertas generados por los diferentes sistemas, a menos que los requisitos de separación de funciones exijan lo contrario.  
Canalizar en la organización todos los datos de alertas y resultados de seguridad a ubicaciones estándar, pero con la necesidad de que los investigadores lleven a cabo una correlación y un enriquecimiento manuales.
Confiar únicamente en la inteligencia de los sistemas de detección de amenazas para informar sobre los resultados y establecer el nivel de gravedad.</t>
        </r>
      </text>
    </comment>
    <comment ref="B31" authorId="0" shapeId="0" xr:uid="{00000000-0006-0000-0000-00001C000000}">
      <text>
        <r>
          <rPr>
            <sz val="10"/>
            <color rgb="FF000000"/>
            <rFont val="Arial"/>
            <scheme val="minor"/>
          </rPr>
          <t>Implementar la automatización, pero no verificar ni validar minuciosamente las acciones de corrección. Esto puede tener consecuencias imprevistas, como obstaculizar las operaciones empresariales legítimas o provocar inestabilidad en el sistema.
Mejorar los tiempos de respuesta y los procedimientos mediante la automatización, pero sin contar con la supervisión y los mecanismos adecuados que permitan la intervención y la decisión de un humano en los casos necesarios.
Confiar únicamente en las correcciones, en lugar de incluirlas como parte de un programa más amplio de respuesta y recuperación ante incidentes.</t>
        </r>
      </text>
    </comment>
    <comment ref="B33" authorId="0" shapeId="0" xr:uid="{00000000-0006-0000-0000-00001D000000}">
      <text>
        <r>
          <rPr>
            <sz val="10"/>
            <color rgb="FF000000"/>
            <rFont val="Arial"/>
            <scheme val="minor"/>
          </rPr>
          <t>Crea todos los recursos en una única VPC o subred.
Desarrolla las capas de red sin tener en cuenta los requisitos de confidencialidad de los datos, el comportamiento de los componentes o la funcionalidad.
Utiliza las VPC y las subredes de forma predeterminada para todas las consideraciones sobre las capas de red y no tener en cuenta la forma en que los servicios administrados de AWS influyen en la topología.</t>
        </r>
      </text>
    </comment>
    <comment ref="B34" authorId="0" shapeId="0" xr:uid="{00000000-0006-0000-0000-00001E000000}">
      <text>
        <r>
          <rPr>
            <sz val="10"/>
            <color rgb="FF000000"/>
            <rFont val="Arial"/>
            <scheme val="minor"/>
          </rPr>
          <t>Adoptar un enfoque de seguridad de red basado en el perímetro y controlar solamente el flujo de tráfico dentro de los límites de las capas de red.
Dar por sentado que todo el tráfico dentro de una capa de red está autenticado y autorizado.
Aplicar controles para el tráfico de entrada o de salida, pero no para ambos.
Confiar solo en los componentes de la carga de trabajo y los controles de red para autenticar y autorizar el tráfico.</t>
        </r>
      </text>
    </comment>
    <comment ref="B35" authorId="0" shapeId="0" xr:uid="{00000000-0006-0000-0000-00001F000000}">
      <text>
        <r>
          <rPr>
            <sz val="10"/>
            <color rgb="FF000000"/>
            <rFont val="Arial"/>
            <scheme val="minor"/>
          </rPr>
          <t>Confiar únicamente en las reglas de firewall basadas en puertos y protocolos. No aprovechar los sistemas inteligentes.
Crear reglas de firewall sobre la base de patrones de amenazas actuales específicos sujetos a cambios.
Inspeccionar únicamente el tráfico cuando fluye de subredes privadas a públicas, o de subredes públicas a Internet.
No tener una visión básica del tráfico de la red para comparar las anomalías de comportamiento.</t>
        </r>
      </text>
    </comment>
    <comment ref="B36" authorId="0" shapeId="0" xr:uid="{00000000-0006-0000-0000-000020000000}">
      <text>
        <r>
          <rPr>
            <sz val="10"/>
            <color rgb="FF000000"/>
            <rFont val="Arial"/>
            <scheme val="minor"/>
          </rPr>
          <t>Confiar en que los equipos de cada carga de trabajo definan individualmente toda su pila de red, sus protecciones y sus automatizaciones.  No publicar los aspectos estándares de la pila de red y las protecciones de forma centralizada para que los consuman los equipos de carga de trabajo.
Confiar en un equipo de red central para definir todos los aspectos de la red, las protecciones y las automatizaciones.  No delegar los aspectos específicos de la carga de trabajo de la pila de red y las protecciones al equipo de esa carga de trabajo.
Lograr el equilibrio adecuado entre la centralización y la delegación entre un equipo de red y los equipos de las cargas de trabajo, pero no aplicar estándares de prueba e implementación uniformes en todas las plantillas de IaC y las canalizaciones de CI/CD.  No recoger las configuraciones requeridas en herramientas que comprueben si las plantillas se ajustan a dichas configuraciones.</t>
        </r>
      </text>
    </comment>
    <comment ref="B38" authorId="0" shapeId="0" xr:uid="{00000000-0006-0000-0000-000021000000}">
      <text>
        <r>
          <rPr>
            <sz val="10"/>
            <color rgb="FF000000"/>
            <rFont val="Arial"/>
            <scheme val="minor"/>
          </rPr>
          <t>No disponer de un programa de administración de vulnerabilidades.
Aplicar parches en el sistema sin tener en cuenta la gravedad o la forma de evitar riesgos.
Utilizar software que haya superado la fecha de fin de vida útil (EOL) de su proveedor.
Implementar código en producción antes de analizarlo en busca de problemas de seguridad.</t>
        </r>
      </text>
    </comment>
    <comment ref="B39" authorId="0" shapeId="0" xr:uid="{00000000-0006-0000-0000-000022000000}">
      <text>
        <r>
          <rPr>
            <sz val="10"/>
            <color rgb="FF000000"/>
            <rFont val="Arial"/>
            <scheme val="minor"/>
          </rPr>
          <t>Adquirir imágenes y bibliotecas de registros fiables, pero no verificar su firma ni analizar las vulnerabilidades antes de utilizarlas.
Reforzar las imágenes, pero no probarlas con regularidad para detectar nuevas vulnerabilidades ni actualizarlas a la versión más reciente.
Instalar o no eliminar paquetes de software que no sean necesarios durante el ciclo de vida esperado de la imagen.
Confiar únicamente en los parches para mantener actualizados los recursos de computación de producción. El uso de parches por sí solo puede seguir haciendo que los recursos de computación diverjan del estándar reforzado con el paso del tiempo. También es posible que el uso de parches no elimine el malware que un actor de amenazas pueda haber instalado durante un evento de seguridad.</t>
        </r>
      </text>
    </comment>
    <comment ref="B40" authorId="0" shapeId="0" xr:uid="{00000000-0006-0000-0000-000023000000}">
      <text>
        <r>
          <rPr>
            <sz val="10"/>
            <color rgb="FF000000"/>
            <rFont val="Arial"/>
            <scheme val="minor"/>
          </rPr>
          <t>Acceso interactivo a instancias de Amazon EC2 con protocolos como SSH o RDP.
Mantener inicios de sesión de los usuarios individuales, como /etc/passwd o los usuarios locales de Windows.
Compartir una contraseña o una clave privada para acceder a una instancia entre varios usuarios.
Instalar el software y crear o actualizar los archivos de configuración manualmente.
Actualizar o parchear el software manualmente.
Iniciar sesión en una instancia para solucionar problemas.</t>
        </r>
      </text>
    </comment>
    <comment ref="B41" authorId="0" shapeId="0" xr:uid="{00000000-0006-0000-0000-000024000000}">
      <text>
        <r>
          <rPr>
            <sz val="10"/>
            <color rgb="FF000000"/>
            <rFont val="Arial"/>
            <scheme val="minor"/>
          </rPr>
          <t xml:space="preserve">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Confiar en los sitios web de proveedores acreditados para obtener artefactos de software, pero ignorar los avisos de caducidad de los certificados.  Continuar con las descargas sin confirmar que los certificados son válidos.
Validar los certificados de los sitios web de los proveedores, pero no verificar criptográficamente los artefactos descargados de estos sitios web.
Confiar únicamente en resúmenes o hashes para validar la integridad del software.  Los hashes establecen que los artefactos no se han modificado con respecto a la versión original, pero no validan su fuente.
No firmar su propio software, código o bibliotecas, aunque solo los utilice en sus propias implementaciones. </t>
        </r>
      </text>
    </comment>
    <comment ref="B42" authorId="0" shapeId="0" xr:uid="{00000000-0006-0000-0000-000025000000}">
      <text>
        <r>
          <rPr>
            <sz val="10"/>
            <color rgb="FF000000"/>
            <rFont val="Arial"/>
            <scheme val="minor"/>
          </rPr>
          <t>Seguir la práctica de una infraestructura inmutable sin contar con una solución para la instalación de parches de emergencia o la sustitución de sistemas de producción.
Usar la automatización para corregir los recursos mal configurados sin contar con un mecanismo de anulación manual.  Es posible que surjan situaciones en las que necesite ajustar los requisitos y tenga que suspender las automatizaciones hasta haber hecho estos cambios.</t>
        </r>
      </text>
    </comment>
    <comment ref="B44" authorId="0" shapeId="0" xr:uid="{00000000-0006-0000-0000-000026000000}">
      <text>
        <r>
          <rPr>
            <sz val="10"/>
            <color rgb="FF000000"/>
            <rFont val="Arial"/>
            <scheme val="minor"/>
          </rPr>
          <t>No contar con una política formal de clasificación de datos para definir los niveles de confidencialidad de los datos y sus requisitos de tratamiento
No comprender bien los niveles de confidencialidad de los datos dentro de su carga de trabajo y no reflejar esta información en la documentación de la arquitectura y las operaciones
No aplicar los controles adecuados en torno a sus datos en función de su confidencialidad y sus requisitos, tal como se describe en su política de clasificación y tratamiento de datos
No proporcionar comentarios sobre los requisitos de clasificación y tratamiento de datos a los propietarios de las políticas.</t>
        </r>
      </text>
    </comment>
    <comment ref="B45" authorId="0" shapeId="0" xr:uid="{00000000-0006-0000-0000-000027000000}">
      <text>
        <r>
          <rPr>
            <sz val="10"/>
            <color rgb="FF000000"/>
            <rFont val="Arial"/>
            <scheme val="minor"/>
          </rPr>
          <t>Aplicar el mismo nivel de controles de protección a todos los datos. Esto puede provocar un aprovisionamiento excesivo de controles de seguridad para datos con un bajo nivel de confidencialidad o una protección insuficiente de los datos altamente confidenciales.
No implicar a las partes interesadas pertinentes de los equipos de seguridad, de cumplimiento y de empresa al definir los controles de protección de datos.
Pasar por alto los gastos operativos y los costos asociados con la implementación y el mantenimiento de los controles de protección de datos.
No llevar a cabo revisiones periódicas del control de protección de datos para mantener la alineación con las políticas de clasificación.
No tener un inventario completo de dónde se encuentran los datos en reposo y en tránsito.</t>
        </r>
      </text>
    </comment>
    <comment ref="B46" authorId="0" shapeId="0" xr:uid="{00000000-0006-0000-0000-000028000000}">
      <text>
        <r>
          <rPr>
            <sz val="10"/>
            <color rgb="FF000000"/>
            <rFont val="Arial"/>
            <scheme val="minor"/>
          </rPr>
          <t>Confiar únicamente en procesos manuales para la identificación y clasificación de datos, que pueden ser propensos a errores y requerir mucho tiempo.  Esto puede provocar una clasificación de datos ineficiente e incoherente, especialmente a medida que aumentan los volúmenes de datos.
No disponer de mecanismos para rastrear y administrar los activos de datos en toda la organización.
Pasar por alto la necesidad de supervisar y clasificar continuamente los datos a medida que circulan y evolucionan dentro de la organización.</t>
        </r>
      </text>
    </comment>
    <comment ref="B47" authorId="0" shapeId="0" xr:uid="{00000000-0006-0000-0000-000029000000}">
      <text>
        <r>
          <rPr>
            <sz val="10"/>
            <color rgb="FF000000"/>
            <rFont val="Arial"/>
            <scheme val="minor"/>
          </rPr>
          <t>Implementar un enfoque único para la administración del ciclo de vida de los datos, sin tener en cuenta los diferentes niveles de confidencialidad y los requisitos de acceso.
Plantearse la administración del ciclo de vida únicamente desde la perspectiva de los datos utilizables o de los datos para los que existan copias de seguridad, pero no desde ambas perspectivas.
Dar por sentado que los datos que han llegado a la carga de trabajo son válidos, sin determinar su valor o procedencia.
Confiar en la durabilidad de los datos como alternativa a hacer copias de seguridad y protegerlos.
Retener los datos más allá de su plazo de utilidad y del periodo de retención requerido.</t>
        </r>
      </text>
    </comment>
    <comment ref="B49" authorId="0" shapeId="0" xr:uid="{00000000-0006-0000-0000-00002A000000}">
      <text>
        <r>
          <rPr>
            <sz val="10"/>
            <color rgb="FF000000"/>
            <rFont val="Arial"/>
            <scheme val="minor"/>
          </rPr>
          <t>Acceso humano a material de claves no cifrado.
Crear algoritmos criptográficos personalizados.
Permisos demasiado amplios para acceder a material de claves.</t>
        </r>
      </text>
    </comment>
    <comment ref="B50" authorId="0" shapeId="0" xr:uid="{00000000-0006-0000-0000-00002B000000}">
      <text>
        <r>
          <rPr>
            <sz val="10"/>
            <color rgb="FF000000"/>
            <rFont val="Arial"/>
            <scheme val="minor"/>
          </rPr>
          <t>No utilizar configuraciones para que el cifrado se haga de forma predeterminada.
Proporcionar un acceso demasiado permisivo a las claves de descifrado.
No supervisar el uso de las claves de cifrado y descifrado.
Almacenar datos sin cifrar.
Utilizar la misma clave de cifrado para todos los datos, independientemente de su uso, tipos y clasificación.</t>
        </r>
      </text>
    </comment>
    <comment ref="B51" authorId="0" shapeId="0" xr:uid="{00000000-0006-0000-0000-00002C000000}">
      <text>
        <r>
          <rPr>
            <sz val="10"/>
            <color rgb="FF000000"/>
            <rFont val="Arial"/>
            <scheme val="minor"/>
          </rPr>
          <t>No tener en cuenta las opciones de habilitar el cifrado de forma predeterminada, cuando sea posible.
No tener en cuenta los eventos de seguridad, además de los eventos operativos, al formular una estrategia automatizada de copias de seguridad y recuperación.
No aplicar la configuración de acceso público a los servicios de almacenamiento.
No supervisar ni auditar los controles para proteger los datos en reposo.</t>
        </r>
      </text>
    </comment>
    <comment ref="B52" authorId="0" shapeId="0" xr:uid="{00000000-0006-0000-0000-00002D000000}">
      <text>
        <r>
          <rPr>
            <sz val="10"/>
            <color rgb="FF000000"/>
            <rFont val="Arial"/>
            <scheme val="minor"/>
          </rPr>
          <t>Almacenar juntos datos con diferentes requisitos de confidencialidad o clasificación.
Utilizar permisos demasiado permisivos en las claves de descifrado.
Clasificar incorrectamente los datos.
No conservar copias de seguridad detalladas de los datos importantes.
Proporcionar acceso persistente a los datos de producción.
No auditar el acceso a los datos ni revisar periódicamente los permisos.</t>
        </r>
      </text>
    </comment>
    <comment ref="B54" authorId="0" shapeId="0" xr:uid="{00000000-0006-0000-0000-00002E000000}">
      <text>
        <r>
          <rPr>
            <sz val="10"/>
            <color rgb="FF000000"/>
            <rFont val="Arial"/>
            <scheme val="minor"/>
          </rPr>
          <t>Seguir pasos manuales durante los procesos de implementación o renovación del certificado.
No prestar suficiente atención a la jerarquía de la autoridad de certificación (CA) al diseñar una CA privada.
Usar certificados autofirmados para recursos públicos.</t>
        </r>
      </text>
    </comment>
    <comment ref="B55" authorId="0" shapeId="0" xr:uid="{00000000-0006-0000-0000-00002F000000}">
      <text>
        <r>
          <rPr>
            <sz val="10"/>
            <color rgb="FF000000"/>
            <rFont val="Arial"/>
            <scheme val="minor"/>
          </rPr>
          <t>Utilizar versiones de SSL, TLS y componentes del conjunto de cifrado obsoletos (por ejemplo, SSL v3.0, claves RSA de 1024 bits y cifrado RC4).
Permitir tráfico no cifrado (HTTP) hacia o desde recursos destinados al público.
No supervisar y sustituir los certificados X.509 antes de que caduquen.
Utilizar certificados X.509 autofirmados para TLS.</t>
        </r>
      </text>
    </comment>
    <comment ref="B56" authorId="0" shapeId="0" xr:uid="{00000000-0006-0000-0000-000030000000}">
      <text>
        <r>
          <rPr>
            <sz val="10"/>
            <color rgb="FF000000"/>
            <rFont val="Arial"/>
            <scheme val="minor"/>
          </rPr>
          <t>Tener tráfico no cifrado o no autenticado en la carga de trabajo.
Reutilizar credenciales de autenticación para varios usuarios o entidades.
Confiar únicamente en los controles de red como mecanismo de control de acceso.
Crear un mecanismo de autenticación personalizado en lugar de confiar en los mecanismos de autenticación estándar del sector.
Tener un tráfico excesivamente permisivo entre los componentes del servicio u otros recursos de la VPC.</t>
        </r>
      </text>
    </comment>
    <comment ref="B58" authorId="0" shapeId="0" xr:uid="{00000000-0006-0000-0000-000031000000}">
      <text>
        <r>
          <rPr>
            <sz val="10"/>
            <color rgb="FF000000"/>
            <rFont val="Arial"/>
            <scheme val="minor"/>
          </rPr>
          <t>No mantener una lista actualizada del personal clave con información de contacto, sus cargos y responsabilidades al responder a los eventos de seguridad.
Dar por sentada una comprensión general de las personas, las dependencias, la infraestructura y las soluciones pertinentes a la hora de responder a un evento y recuperarse de él. 
No contar con un repositorio de documentos o conocimientos relacionados con la infraestructura clave o el diseño de aplicaciones.
No disponer de procesos de incorporación adecuados para que los nuevos empleados contribuyan de manera eficaz a la respuesta a un evento de seguridad, como llevar a cabo simulacros de eventos.
No disponer de una ruta de escalado para los casos en los que el personal clave no esté disponible temporalmente o no responda durante los eventos de seguridad.</t>
        </r>
      </text>
    </comment>
    <comment ref="B62" authorId="0" shapeId="0" xr:uid="{00000000-0006-0000-0000-000032000000}">
      <text>
        <r>
          <rPr>
            <sz val="10"/>
            <color rgb="FF000000"/>
            <rFont val="Arial"/>
            <scheme val="minor"/>
          </rPr>
          <t>Usar la cuenta raíz para la respuesta ante incidentes.
Alterar las cuentas existentes.
Manipular los permisos de IAM directamente al proporcionar un aumento puntual de los privilegios.</t>
        </r>
      </text>
    </comment>
    <comment ref="B67" authorId="0" shapeId="0" xr:uid="{00000000-0006-0000-0000-000033000000}">
      <text>
        <r>
          <rPr>
            <sz val="10"/>
            <color rgb="FF000000"/>
            <rFont val="Arial"/>
            <scheme val="minor"/>
          </rPr>
          <t>Espera a una revisión de seguridad para estudiar las propiedades de seguridad de un sistema.
Deja todas las decisiones de seguridad en manos del equipo de seguridad.
No comunica claramente cómo se relacionan las decisiones tomadas en el SDLC con las expectativas o políticas generales de seguridad de la organización.
Interviene demasiado tarde en el proceso de revisión de la seguridad.</t>
        </r>
      </text>
    </comment>
    <comment ref="B68" authorId="0" shapeId="0" xr:uid="{00000000-0006-0000-0000-000034000000}">
      <text>
        <r>
          <rPr>
            <sz val="10"/>
            <color rgb="FF000000"/>
            <rFont val="Arial"/>
            <scheme val="minor"/>
          </rPr>
          <t>No comunicar los casos de prueba y los resultados de las pruebas automatizadas.
Llevar a cabo las pruebas automatizadas solo justo antes del lanzamiento.
Automatizar casos de prueba con requisitos que cambian con frecuencia.
No proporcionar orientación sobre cómo abordar los resultados de las pruebas de seguridad.</t>
        </r>
      </text>
    </comment>
    <comment ref="B69" authorId="0" shapeId="0" xr:uid="{00000000-0006-0000-0000-000035000000}">
      <text>
        <r>
          <rPr>
            <sz val="10"/>
            <color rgb="FF000000"/>
            <rFont val="Arial"/>
            <scheme val="minor"/>
          </rPr>
          <t>Hacer pruebas de penetración solo para problemas de seguridad conocidos o frecuentes.
Hacer pruebas de penetración de aplicaciones sin herramientas ni bibliotecas de terceros dependientes.
Hacer pruebas de penetración solo para problemas de seguridad de paquete, sin evaluar la lógica empresarial implementada.</t>
        </r>
      </text>
    </comment>
    <comment ref="B70" authorId="0" shapeId="0" xr:uid="{00000000-0006-0000-0000-000036000000}">
      <text>
        <r>
          <rPr>
            <sz val="10"/>
            <color rgb="FF000000"/>
            <rFont val="Arial"/>
            <scheme val="minor"/>
          </rPr>
          <t>No revisa el código antes de la implementación.
El código lo escribe y lo revisa la misma persona.
No utiliza la automatización como ayuda con las revisiones del código o para su organización.
No forma a los creadores en seguridad de las aplicaciones antes de que revisen el código.</t>
        </r>
      </text>
    </comment>
    <comment ref="B71" authorId="0" shapeId="0" xr:uid="{00000000-0006-0000-0000-000037000000}">
      <text>
        <r>
          <rPr>
            <sz val="10"/>
            <color rgb="FF000000"/>
            <rFont val="Arial"/>
            <scheme val="minor"/>
          </rPr>
          <t>Obtiene paquetes de repositorios arbitrarios de Internet.
No prueba los nuevos paquetes antes de ponerlos a disposición de los creadores.</t>
        </r>
      </text>
    </comment>
    <comment ref="B72" authorId="0" shapeId="0" xr:uid="{00000000-0006-0000-0000-000038000000}">
      <text>
        <r>
          <rPr>
            <sz val="10"/>
            <color rgb="FF000000"/>
            <rFont val="Arial"/>
            <scheme val="minor"/>
          </rPr>
          <t>Implementar manualmente el software en producción.
Hacer cambios manualmente en el software para adaptarlo a distintos entornos.</t>
        </r>
      </text>
    </comment>
    <comment ref="B73" authorId="0" shapeId="0" xr:uid="{00000000-0006-0000-0000-000039000000}">
      <text>
        <r>
          <rPr>
            <sz val="10"/>
            <color rgb="FF000000"/>
            <rFont val="Arial"/>
            <scheme val="minor"/>
          </rPr>
          <t>Pruebas de seguridad que los creadores pueden omitir.
Permisos demasiado amplios para las canalizaciones de implementación.
Canalizaciones no configuradas para validar entradas.
No revisar periódicamente los permisos asociados a la infraestructura de CI/CD.
Uso de credenciales a largo plazo o codificadas.</t>
        </r>
      </text>
    </comment>
    <comment ref="B74" authorId="0" shapeId="0" xr:uid="{00000000-0006-0000-0000-00003A000000}">
      <text>
        <r>
          <rPr>
            <sz val="10"/>
            <color rgb="FF000000"/>
            <rFont val="Arial"/>
            <scheme val="minor"/>
          </rPr>
          <t xml:space="preserve">Dejar todas las decisiones del diseño de la seguridad en manos del equipo de seguridad.
No hacer frente a los requisitos de seguridad con suficiente antelación en el proceso de desarrollo.
No obtener comentarios de los creadores y del personal de seguridad sobre el funcionamiento del programa.
</t>
        </r>
      </text>
    </comment>
  </commentList>
</comments>
</file>

<file path=xl/sharedStrings.xml><?xml version="1.0" encoding="utf-8"?>
<sst xmlns="http://schemas.openxmlformats.org/spreadsheetml/2006/main" count="501" uniqueCount="331">
  <si>
    <t>Fundamentos de seguridad
SEC 1. ¿Cómo opera usted su carga de trabajo de forma segura?</t>
  </si>
  <si>
    <r>
      <rPr>
        <b/>
        <sz val="11"/>
        <color rgb="FF000000"/>
        <rFont val="Montserrat"/>
      </rPr>
      <t>SEC01-BP01</t>
    </r>
    <r>
      <rPr>
        <sz val="11"/>
        <color rgb="FF000000"/>
        <rFont val="Montserrat"/>
      </rPr>
      <t xml:space="preserve"> Cargas de trabajo separadas mediante cuentas</t>
    </r>
  </si>
  <si>
    <t>Establezca barreras de protección y medidas de aislamiento comunes entre los entornos (por ejemplo, producción, desarrollo y pruebas) y las cargas de trabajo mediante una estrategia de varias cuentas. Es muy recomendable que la separación se haga en la cuenta, ya que así se consigue una barrera de aislamiento sólida para gestionar la seguridad, la facturación y el acceso.</t>
  </si>
  <si>
    <t>No</t>
  </si>
  <si>
    <t xml:space="preserve">
- Límites de seguridad débiles: Sin aislamiento entre cargas de trabajo críticas
- Gestión de permisos compleja: Dificultad para aplicar principio de menor privilegio
- Cumplimiento regulatorio: Imposibilidad de segregar datos según requerimientos
- Exposición de bases de datos (BD SeeOn, BD Trinity) junto con servicios públicos
- Amazon Connect y API Gateway sin aislamiento de infraestructura crítica
- Buckets S3 mezclados (amazon-connect, aplicaciones, CloudFormation)</t>
  </si>
  <si>
    <t>Frecuente</t>
  </si>
  <si>
    <t>Moderado</t>
  </si>
  <si>
    <r>
      <rPr>
        <b/>
        <sz val="11"/>
        <color rgb="FF000000"/>
        <rFont val="Montserrat"/>
      </rPr>
      <t>2025/11/21:</t>
    </r>
    <r>
      <rPr>
        <sz val="11"/>
        <color rgb="FF000000"/>
        <rFont val="Montserrat"/>
      </rPr>
      <t xml:space="preserve">
- Cuenta única: Todas las cargas de trabajo están en una sola cuenta (152394311469)
- Sin AWS Organizations: No se detectó implementación de estructura organizacional
 - Mezcla de entornos: Producción, desarrollo y servicios diversos en la misma cuenta</t>
    </r>
  </si>
  <si>
    <t>Implementar estrategia multi-cuenta:
- Cuenta de Producción: Servicios críticos (BD, API Gateway)
- Cuenta de Desarrollo: Entornos de prueba
- Cuenta de Seguridad: Logging, monitoreo, auditoría
- Cuenta de Shared Services: Amazon Connect, S3 compartido</t>
  </si>
  <si>
    <r>
      <rPr>
        <b/>
        <sz val="11"/>
        <color rgb="FF000000"/>
        <rFont val="Montserrat"/>
      </rPr>
      <t>AAAA/MM/DD:</t>
    </r>
    <r>
      <rPr>
        <sz val="11"/>
        <color rgb="FF000000"/>
        <rFont val="Montserrat"/>
      </rPr>
      <t xml:space="preserve">
-</t>
    </r>
  </si>
  <si>
    <r>
      <rPr>
        <b/>
        <sz val="11"/>
        <color rgb="FF000000"/>
        <rFont val="Montserrat"/>
      </rPr>
      <t>SEC01-BP02</t>
    </r>
    <r>
      <rPr>
        <sz val="11"/>
        <color rgb="FF000000"/>
        <rFont val="Montserrat"/>
      </rPr>
      <t xml:space="preserve"> Proteger el usuario raíz de la cuenta y sus propiedades</t>
    </r>
  </si>
  <si>
    <t>El usuario raíz es el usuario con más privilegios de una Cuenta de AWS. Tiene acceso administrativo completo a todos los recursos de la cuenta y, en algunos casos, no se puede limitar con políticas de seguridad. Deshabilitar el acceso programático al usuario raíz, establecer controles apropiados para este usuario y evitar su uso rutinario ayuda a reducir el riesgo de exposición inadvertida de las credenciales raíz y el consiguiente peligro que esto supone para el entorno de la nube.</t>
  </si>
  <si>
    <t>Parcialmente</t>
  </si>
  <si>
    <t>- Múltiples vectores de acceso administrativo
- Sin rotación forzada de credenciales</t>
  </si>
  <si>
    <t>Probable</t>
  </si>
  <si>
    <t>Mayor</t>
  </si>
  <si>
    <r>
      <rPr>
        <b/>
        <sz val="11"/>
        <color rgb="FF000000"/>
        <rFont val="Montserrat"/>
      </rPr>
      <t>2025/11/21:</t>
    </r>
    <r>
      <rPr>
        <sz val="11"/>
        <color rgb="FF000000"/>
        <rFont val="Montserrat"/>
      </rPr>
      <t xml:space="preserve">
- Múltiples usuarios administrativos: Usuario 'jperez' con AdministratorAccess
- Verificar y habilitar MFA en usuario root</t>
    </r>
  </si>
  <si>
    <t xml:space="preserve">Crear alarmas CloudWatch para:
   - Uso de credenciales root
   - Cambios en políticas de cuenta
   - Intentos de login fallidos
- Eliminar AdministratorAccess de usuarios IAM
</t>
  </si>
  <si>
    <r>
      <rPr>
        <b/>
        <sz val="11"/>
        <color rgb="FF000000"/>
        <rFont val="Montserrat"/>
      </rPr>
      <t>AAAA/MM/DD:</t>
    </r>
    <r>
      <rPr>
        <sz val="11"/>
        <color rgb="FF000000"/>
        <rFont val="Montserrat"/>
      </rPr>
      <t xml:space="preserve">
-</t>
    </r>
  </si>
  <si>
    <r>
      <rPr>
        <b/>
        <sz val="11"/>
        <color rgb="FF000000"/>
        <rFont val="Montserrat"/>
      </rPr>
      <t>SEC01-BP03</t>
    </r>
    <r>
      <rPr>
        <sz val="11"/>
        <color rgb="FF000000"/>
        <rFont val="Montserrat"/>
      </rPr>
      <t xml:space="preserve"> Identificar y validar los objetivos de control</t>
    </r>
  </si>
  <si>
    <t>En función de sus requisitos de cumplimiento y los riesgos identificados a partir de su modelo de amenazas, extraiga y valide los objetivos de control y los controles que tiene que aplicar a su carga de trabajo. La validación continua tanto de los objetivos de control como de los controles le ayuda a medir la efectividad de la mitigación de riesgos.</t>
  </si>
  <si>
    <t>- Cambios de configuración sin detección
- Respuesta a incidentes reactiva vs proactiva</t>
  </si>
  <si>
    <r>
      <rPr>
        <b/>
        <sz val="11"/>
        <color rgb="FF000000"/>
        <rFont val="Montserrat"/>
      </rPr>
      <t>2025/11/21:</t>
    </r>
    <r>
      <rPr>
        <sz val="11"/>
        <color rgb="FF000000"/>
        <rFont val="Montserrat"/>
      </rPr>
      <t xml:space="preserve">
- Sin AWS Config: No hay evaluación automática de configuraciones
- Sin Security Hub: Falta centralización de hallazgos de seguridad</t>
    </r>
  </si>
  <si>
    <t xml:space="preserve">Implementar framework de controles:
1. Habilitar AWS Config con reglas de cumplimiento
2. Activar Security Hub para centralizar hallazgos
3. Definir políticas de seguridad documentadas
</t>
  </si>
  <si>
    <r>
      <rPr>
        <b/>
        <sz val="11"/>
        <color rgb="FF000000"/>
        <rFont val="Montserrat"/>
      </rPr>
      <t>AAAA/MM/DD:</t>
    </r>
    <r>
      <rPr>
        <sz val="11"/>
        <color rgb="FF000000"/>
        <rFont val="Montserrat"/>
      </rPr>
      <t xml:space="preserve">
-</t>
    </r>
  </si>
  <si>
    <r>
      <rPr>
        <b/>
        <sz val="11"/>
        <color rgb="FF000000"/>
        <rFont val="Montserrat"/>
      </rPr>
      <t>SEC01-BP04</t>
    </r>
    <r>
      <rPr>
        <sz val="11"/>
        <color rgb="FF000000"/>
        <rFont val="Montserrat"/>
      </rPr>
      <t xml:space="preserve"> Manténgase actualizado con las amenazas y recomendaciones de seguridad </t>
    </r>
  </si>
  <si>
    <t>Para mantenerse al día de las amenazas y mitigaciones más recientes, supervise las publicaciones de inteligencia sobre amenazas del sector y analice las fuentes de datos en busca de actualizaciones. Evalúe las ofertas de servicios administrados que se actualizan automáticamente en función de los datos de amenazas más recientes.</t>
  </si>
  <si>
    <t>El no mantenerse actualizado con las amenazas emergentes y las recomendaciones de seguridad de AWS condena a la plataforma a ser vulnerable a ataques conocidos (Zero-day) que ya tienen parches disponibles o a usar servicios obsoletos, aumentando la superficie de ataque y el riesgo de explotación por malware o ransomware.</t>
  </si>
  <si>
    <t>Crítico</t>
  </si>
  <si>
    <r>
      <rPr>
        <b/>
        <sz val="11"/>
        <color rgb="FF000000"/>
        <rFont val="Montserrat"/>
      </rPr>
      <t>2025/11/21:</t>
    </r>
    <r>
      <rPr>
        <sz val="11"/>
        <color rgb="FF000000"/>
        <rFont val="Montserrat"/>
      </rPr>
      <t xml:space="preserve">
- MySQL expuesto públicamente (práctica desaconsejada desde 2015)
- Uso de t2 instances (generaciones anteriores disponibles)
- Falta de servicios de seguridad modernos (GuardDuty, Inspector)
</t>
    </r>
  </si>
  <si>
    <t>Establecer proceso de actualización:
- Suscribirse a AWS Security Bulletins.
- Implementar revisiones trimestrales de seguridad</t>
  </si>
  <si>
    <r>
      <rPr>
        <b/>
        <sz val="11"/>
        <color rgb="FF000000"/>
        <rFont val="Montserrat"/>
      </rPr>
      <t>AAAA/MM/DD:</t>
    </r>
    <r>
      <rPr>
        <sz val="11"/>
        <color rgb="FF000000"/>
        <rFont val="Montserrat"/>
      </rPr>
      <t xml:space="preserve">
-</t>
    </r>
  </si>
  <si>
    <r>
      <rPr>
        <b/>
        <sz val="11"/>
        <color rgb="FF000000"/>
        <rFont val="Montserrat"/>
      </rPr>
      <t>SEC01-BP05</t>
    </r>
    <r>
      <rPr>
        <sz val="11"/>
        <color rgb="FF000000"/>
        <rFont val="Montserrat"/>
      </rPr>
      <t xml:space="preserve"> Reducir el alcance de la gestión de la seguridad</t>
    </r>
  </si>
  <si>
    <t>Determine si puede reducir su alcance de seguridad mediante el uso de servicios de AWS que transfieran la administración de ciertos controles a AWS (servicios administrados). Estos servicios pueden ayudar a reducir las tareas de mantenimiento de la seguridad, como el aprovisionamiento de infraestructuras, la configuración del software, la aplicación de parches o las copias de seguridad.</t>
  </si>
  <si>
    <t>El no maximizar el uso de servicios gestionados de AWS para transferir la administración de controles de seguridad (ej: patching de SOs), mantiene una alta carga operativa manual y aumenta la probabilidad de fallas humanas en la configuración, generando inconsistencias de seguridad y brechas de cumplimiento.</t>
  </si>
  <si>
    <r>
      <rPr>
        <b/>
        <sz val="11"/>
        <color rgb="FF000000"/>
        <rFont val="Montserrat"/>
      </rPr>
      <t>2025/11/21:</t>
    </r>
    <r>
      <rPr>
        <sz val="11"/>
        <color rgb="FF000000"/>
        <rFont val="Montserrat"/>
      </rPr>
      <t xml:space="preserve">
- Se evidencia el uso de Servicios administrados: S3, API Gateway, Amazon Connect reducen superficie de gestión
- Bases de datos en EC2: Gestión manual de seguridad de BD
- Sin automatización: Configuraciones manuales propensas a errores
- 8 usuarios IAM con diferentes niveles</t>
    </r>
  </si>
  <si>
    <t xml:space="preserve">Plan de reducción de alcance:
- Revisar Migrar bases de datos a RDS/Aurora
- Implementar servicios serverless donde sea apropiado
- Consolidar roles y usuarios IAM
</t>
  </si>
  <si>
    <r>
      <rPr>
        <b/>
        <sz val="11"/>
        <color rgb="FF000000"/>
        <rFont val="Montserrat"/>
      </rPr>
      <t>AAAA/MM/DD:</t>
    </r>
    <r>
      <rPr>
        <sz val="11"/>
        <color rgb="FF000000"/>
        <rFont val="Montserrat"/>
      </rPr>
      <t xml:space="preserve">
-</t>
    </r>
  </si>
  <si>
    <r>
      <rPr>
        <b/>
        <sz val="11"/>
        <color rgb="FF000000"/>
        <rFont val="Montserrat"/>
      </rPr>
      <t xml:space="preserve">SEC01-BP06 </t>
    </r>
    <r>
      <rPr>
        <sz val="11"/>
        <color rgb="FF000000"/>
        <rFont val="Montserrat"/>
      </rPr>
      <t>Automatizar la implementación de controles de seguridad estándar</t>
    </r>
  </si>
  <si>
    <t>Aplique prácticas modernas de DevOps a medida que desarrolle e implemente controles de seguridad estándar en todos sus entornos de AWS.  Defina controles y configuraciones de seguridad estándar mediante plantillas de infraestructura como código (IaC), registre los cambios en un sistema de control de versiones, pruebe los cambios como parte de una canalización de CI/CD y automatice la implementación de los cambios en sus entornos de AWS.</t>
  </si>
  <si>
    <t>El no automatizar la implementación de controles de seguridad y configuraciones estándar (Seguridad como Código) mediante CI/CD, implica que cada cambio de infraestructura es un riesgo potencial de drift de seguridad, resultando en configuraciones inconsistentes y errores manuales que un atacante puede explotar fácilmente.</t>
  </si>
  <si>
    <r>
      <rPr>
        <b/>
        <sz val="11"/>
        <color rgb="FF000000"/>
        <rFont val="Montserrat"/>
      </rPr>
      <t>2025/11/21:</t>
    </r>
    <r>
      <rPr>
        <sz val="11"/>
        <color rgb="FF000000"/>
        <rFont val="Montserrat"/>
      </rPr>
      <t xml:space="preserve">
- Sin Infrastructure como código, configuraciones manuales sin versionado
- Sin pipelines de seguridad, falta integración de controles en CI/CD</t>
    </r>
  </si>
  <si>
    <t xml:space="preserve">Implementar automatización:
- CloudFormation/CDK para Infrastructure como código
- AWS Config Rules para validación automática
- Pipeline de seguridad en CI/CD
</t>
  </si>
  <si>
    <r>
      <rPr>
        <b/>
        <sz val="11"/>
        <color rgb="FF000000"/>
        <rFont val="Montserrat"/>
      </rPr>
      <t>AAAA/MM/DD:</t>
    </r>
    <r>
      <rPr>
        <sz val="11"/>
        <color rgb="FF000000"/>
        <rFont val="Montserrat"/>
      </rPr>
      <t xml:space="preserve">
-</t>
    </r>
  </si>
  <si>
    <r>
      <rPr>
        <b/>
        <sz val="11"/>
        <color rgb="FF000000"/>
        <rFont val="Montserrat"/>
      </rPr>
      <t>SEC01-BP07</t>
    </r>
    <r>
      <rPr>
        <sz val="11"/>
        <color rgb="FF000000"/>
        <rFont val="Montserrat"/>
      </rPr>
      <t xml:space="preserve"> Identify threats and prioritize mitigations using a threat model</t>
    </r>
  </si>
  <si>
    <t>Utilice el modelado de amenazas para identificar y mantener un registro actualizado de las amenazas potenciales y las mitigaciones asociadas para la carga de trabajo. Priorice sus amenazas y adapte sus mitigaciones de controles de seguridad para evitarlas, detectarlas y responder a ellas. Revisite y mantenga todo esto en el contexto de la carga de trabajo y de la evolución del panorama de seguridad.</t>
  </si>
  <si>
    <t>Exposiciones no mapeadas
Respuesta reactiva, sin preparación para escenarios de amenaza</t>
  </si>
  <si>
    <r>
      <rPr>
        <b/>
        <sz val="11"/>
        <color rgb="FF000000"/>
        <rFont val="Montserrat"/>
      </rPr>
      <t>2025/11/21:</t>
    </r>
    <r>
      <rPr>
        <sz val="11"/>
        <color rgb="FF000000"/>
        <rFont val="Montserrat"/>
      </rPr>
      <t xml:space="preserve">
- Sin modelo de amenazas, no hay análisis sistemático de riesgos
- Sin GuardDuty, falta detección de amenazas automatizada
- Exposición de bases de datos: MySQL público sin análisis de riesgo
- Acceso privilegiado: Múltiples usuarios admin sin segregación
- Superficie de red: VPC plana sin segmentación</t>
    </r>
  </si>
  <si>
    <t>Desarrollar modelo de amenazas:
- Mapear activos críticos y flujos de datos
- Identificar vectores de ataque potenciales
- Habilitar GuardDuty para detección automática
- Ajustar accesos usuarios y de red con alto riesgo</t>
  </si>
  <si>
    <r>
      <rPr>
        <b/>
        <sz val="11"/>
        <color rgb="FF000000"/>
        <rFont val="Montserrat"/>
      </rPr>
      <t>AAAA/MM/DD:</t>
    </r>
    <r>
      <rPr>
        <sz val="11"/>
        <color rgb="FF000000"/>
        <rFont val="Montserrat"/>
      </rPr>
      <t xml:space="preserve">
-</t>
    </r>
  </si>
  <si>
    <r>
      <rPr>
        <b/>
        <sz val="11"/>
        <color rgb="FF000000"/>
        <rFont val="Montserrat"/>
      </rPr>
      <t>SEC01-BP08</t>
    </r>
    <r>
      <rPr>
        <sz val="11"/>
        <color rgb="FF000000"/>
        <rFont val="Montserrat"/>
      </rPr>
      <t xml:space="preserve"> Evaluar e implementar nuevos servicios y características de seguridad periódicamente</t>
    </r>
  </si>
  <si>
    <t xml:space="preserve">Evalúe e implemente servicios y características de seguridad de AWS y socios de AWS que le ayuden a desarrollar la postura de seguridad de su carga de trabajo. </t>
  </si>
  <si>
    <t>El no evaluar periódicamente los nuevos servicios y características de seguridad lanzados por AWS impide la optimización de los controles existentes y mantiene la infraestructura anclada a métodos de seguridad menos robustos o más costosos, limitando la capacidad de la empresa para responder de forma ágil a la evolución del panorama de amenazas.</t>
  </si>
  <si>
    <r>
      <rPr>
        <b/>
        <sz val="11"/>
        <color rgb="FF000000"/>
        <rFont val="Montserrat"/>
      </rPr>
      <t>2025/11/21:</t>
    </r>
    <r>
      <rPr>
        <sz val="11"/>
        <color rgb="FF000000"/>
        <rFont val="Montserrat"/>
      </rPr>
      <t xml:space="preserve">
- Servicios de seguridad no adoptados: GuardDuty, Inspector, Security Hub ausentes
- Servicios disponibles no implementados</t>
    </r>
  </si>
  <si>
    <t xml:space="preserve">Establecer proceso de evaluación:
- Revisión trimestral de nuevos servicios
- Adopción de servicios de seguridad
- Métricas de efectividad de controles implementados
</t>
  </si>
  <si>
    <r>
      <rPr>
        <b/>
        <sz val="11"/>
        <color rgb="FF000000"/>
        <rFont val="Montserrat"/>
      </rPr>
      <t>AAAA/MM/DD:</t>
    </r>
    <r>
      <rPr>
        <sz val="11"/>
        <color rgb="FF000000"/>
        <rFont val="Montserrat"/>
      </rPr>
      <t xml:space="preserve">
-</t>
    </r>
  </si>
  <si>
    <t>Gestión de identidad y acceso
SEC 2. ¿Cómo se gestiona la autenticación de personas y máquinas?</t>
  </si>
  <si>
    <r>
      <rPr>
        <sz val="11"/>
        <color rgb="FF000000"/>
        <rFont val="Montserrat"/>
      </rPr>
      <t xml:space="preserve">
</t>
    </r>
    <r>
      <rPr>
        <b/>
        <sz val="11"/>
        <color rgb="FF000000"/>
        <rFont val="Montserrat"/>
      </rPr>
      <t xml:space="preserve">SEC02-BP01 </t>
    </r>
    <r>
      <rPr>
        <sz val="11"/>
        <color rgb="FF000000"/>
        <rFont val="Montserrat"/>
      </rPr>
      <t>Utilizar mecanismos de inicio de sesión fuertes</t>
    </r>
  </si>
  <si>
    <t>Los inicios de sesión (autenticación mediante credenciales de inicio de sesión) pueden presentar riesgos si no se utilizan mecanismos como la autenticación multifactor (MFA), especialmente en situaciones en las que las credenciales de inicio de sesión se han revelado de forma inadvertida o son fáciles de adivinar. Utilice mecanismos de inicio de sesión sólidos para reducir estos riesgos. Para ello, exija que se cumplan políticas de contraseñas sólidas y se utilice MFA.</t>
  </si>
  <si>
    <t xml:space="preserve">
- Compromiso de cuenta administrativa: Sin MFA, una contraseña comprometida da acceso total
- Ataques de fuerza bruta: Sin protección contra intentos de login masivos
- Phishing exitoso: Credenciales simples son más vulnerables a ingeniería social
- Acceso no autorizado: Sin segundo factor de autenticación
</t>
  </si>
  <si>
    <r>
      <rPr>
        <b/>
        <sz val="11"/>
        <color rgb="FF000000"/>
        <rFont val="Montserrat"/>
      </rPr>
      <t>2025/11/21:</t>
    </r>
    <r>
      <rPr>
        <sz val="11"/>
        <color rgb="FF000000"/>
        <rFont val="Montserrat"/>
      </rPr>
      <t xml:space="preserve">
- MFA no habilitado
- Sin políticas de contraseña
- 4 usuarios con claves de acceso programático</t>
    </r>
  </si>
  <si>
    <t>- URGENTE: Habilitar MFA en usuario 'jperez'
- Implementar política de contraseñas robustas
- Configurar alertas de login sospechoso
- Revisar y rotar todas las claves de acceso</t>
  </si>
  <si>
    <r>
      <rPr>
        <b/>
        <sz val="11"/>
        <color rgb="FF000000"/>
        <rFont val="Montserrat"/>
      </rPr>
      <t>AAAA/MM/DD:</t>
    </r>
    <r>
      <rPr>
        <sz val="11"/>
        <color rgb="FF000000"/>
        <rFont val="Montserrat"/>
      </rPr>
      <t xml:space="preserve">
-</t>
    </r>
  </si>
  <si>
    <r>
      <rPr>
        <b/>
        <sz val="11"/>
        <color rgb="FF000000"/>
        <rFont val="Montserrat"/>
      </rPr>
      <t>SEC02-BP02</t>
    </r>
    <r>
      <rPr>
        <sz val="11"/>
        <color rgb="FF000000"/>
        <rFont val="Montserrat"/>
      </rPr>
      <t xml:space="preserve"> Utilizar credenciales temporales</t>
    </r>
  </si>
  <si>
    <t>Al llevar a cabo cualquier tipo de autenticación, es mejor utilizar credenciales temporales en lugar de credenciales de larga duración para reducir o eliminar riesgos. Por ejemplo, que las credenciales se divulguen, compartan o roben de forma inadvertida.</t>
  </si>
  <si>
    <r>
      <rPr>
        <b/>
        <sz val="11"/>
        <color rgb="FF000000"/>
        <rFont val="Montserrat"/>
      </rPr>
      <t>2025/11/21:</t>
    </r>
    <r>
      <rPr>
        <sz val="11"/>
        <color rgb="FF000000"/>
        <rFont val="Montserrat"/>
      </rPr>
      <t xml:space="preserve">
- MFA no habilitado
- Sin políticas de contraseña
- 4 usuarios con claves de acceso programático</t>
    </r>
  </si>
  <si>
    <r>
      <rPr>
        <b/>
        <sz val="11"/>
        <color rgb="FF000000"/>
        <rFont val="Montserrat"/>
      </rPr>
      <t>AAAA/MM/DD:</t>
    </r>
    <r>
      <rPr>
        <sz val="11"/>
        <color rgb="FF000000"/>
        <rFont val="Montserrat"/>
      </rPr>
      <t xml:space="preserve">
-</t>
    </r>
  </si>
  <si>
    <r>
      <rPr>
        <b/>
        <sz val="11"/>
        <color rgb="FF000000"/>
        <rFont val="Montserrat"/>
      </rPr>
      <t>SEC02-BP03</t>
    </r>
    <r>
      <rPr>
        <sz val="11"/>
        <color rgb="FF000000"/>
        <rFont val="Montserrat"/>
      </rPr>
      <t xml:space="preserve"> Almacenar y utilizar secretos de forma segura</t>
    </r>
  </si>
  <si>
    <t>Una carga de trabajo necesita una capacidad automatizada para demostrar su identidad a bases de datos, recursos y servicios de terceros. Para ello, se utilizan credenciales de acceso secretas, como claves de acceso a API, contraseñas y tokens OAuth. El uso de un servicio creado específicamente para almacenar, administrar y rotar estas credenciales ayuda a reducir la probabilidad de que dichas credenciales se vean comprometidas.</t>
  </si>
  <si>
    <t>El no utilizar un servicio de gestión de secretos seguro (ej: AWS Secrets Manager) para las claves de acceso, tokens y API's conduce al hardcoding de credenciales en el código fuente o su almacenamiento en texto plano, garantizando que un atacante que acceda al código o a un log obtenga acceso inmediato a sistemas críticos.</t>
  </si>
  <si>
    <r>
      <rPr>
        <b/>
        <sz val="11"/>
        <color rgb="FF000000"/>
        <rFont val="Montserrat"/>
      </rPr>
      <t>2025/11/21:</t>
    </r>
    <r>
      <rPr>
        <sz val="11"/>
        <color rgb="FF000000"/>
        <rFont val="Montserrat"/>
      </rPr>
      <t xml:space="preserve">
- revisar la implementación en los servicios</t>
    </r>
  </si>
  <si>
    <t>- Migrar todas las credenciales SMTP a Secrets Manager
- Configurar rotación automática de secretos
- Eliminar credenciales en el código</t>
  </si>
  <si>
    <r>
      <rPr>
        <b/>
        <sz val="11"/>
        <color rgb="FF000000"/>
        <rFont val="Montserrat"/>
      </rPr>
      <t>AAAA/MM/DD:</t>
    </r>
    <r>
      <rPr>
        <sz val="11"/>
        <color rgb="FF000000"/>
        <rFont val="Montserrat"/>
      </rPr>
      <t xml:space="preserve">
-</t>
    </r>
  </si>
  <si>
    <r>
      <rPr>
        <b/>
        <sz val="11"/>
        <color rgb="FF000000"/>
        <rFont val="Montserrat"/>
      </rPr>
      <t>SEC02-BP04</t>
    </r>
    <r>
      <rPr>
        <sz val="11"/>
        <color rgb="FF000000"/>
        <rFont val="Montserrat"/>
      </rPr>
      <t xml:space="preserve"> Confíe en un proveedor de identidad centralizado</t>
    </r>
  </si>
  <si>
    <t>Para las identidades de la plantilla (empleados y contratistas), recurra a un proveedor de identidades que le permita administrar las identidades desde un lugar centralizado. De este modo se facilita la administración del acceso en varias aplicaciones y sistemas, pues crea, asigna, administra, revoca y audita el acceso desde un único lugar.</t>
  </si>
  <si>
    <t>N/A</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</si>
  <si>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</si>
  <si>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</si>
  <si>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 xml:space="preserve">SEC02-BP05 </t>
    </r>
    <r>
      <rPr>
        <sz val="11"/>
        <color rgb="FF000000"/>
        <rFont val="Montserrat"/>
      </rPr>
      <t>Auditar y rotar credenciales periódicamente</t>
    </r>
  </si>
  <si>
    <t>Audite y rote las credenciales periódicamente para limitar el tiempo que pueden utilizarse para acceder a los recursos. Las credenciales de larga duración entrañan muchos riesgos, pero estos riesgos pueden reducirse con una rotación frecuente.</t>
  </si>
  <si>
    <t>El no auditar ni rotar periódicamente las credenciales y tokens de larga duración asegura que cualquier clave que haya sido comprometida en el pasado mantenga su validez indefinidamente, permitiendo que un atacante latente acceda a los recursos en cualquier momento sin ser detectado.</t>
  </si>
  <si>
    <r>
      <rPr>
        <b/>
        <sz val="11"/>
        <color rgb="FF000000"/>
        <rFont val="Montserrat"/>
      </rPr>
      <t>2025/11/21:</t>
    </r>
    <r>
      <rPr>
        <sz val="11"/>
        <color rgb="FF000000"/>
        <rFont val="Montserrat"/>
      </rPr>
      <t xml:space="preserve">
- MFA no habilitado
- Sin políticas de contraseña
- 4 usuarios con claves de acceso programático</t>
    </r>
  </si>
  <si>
    <r>
      <rPr>
        <b/>
        <sz val="11"/>
        <color rgb="FF000000"/>
        <rFont val="Montserrat"/>
      </rPr>
      <t>AAAA/MM/DD:</t>
    </r>
    <r>
      <rPr>
        <sz val="11"/>
        <color rgb="FF000000"/>
        <rFont val="Montserrat"/>
      </rPr>
      <t xml:space="preserve">
-</t>
    </r>
  </si>
  <si>
    <r>
      <rPr>
        <b/>
        <sz val="11"/>
        <color rgb="FF000000"/>
        <rFont val="Montserrat"/>
      </rPr>
      <t>SEC02-BP06</t>
    </r>
    <r>
      <rPr>
        <sz val="11"/>
        <color rgb="FF000000"/>
        <rFont val="Montserrat"/>
      </rPr>
      <t xml:space="preserve"> Emplear grupos de usuarios y atributos</t>
    </r>
  </si>
  <si>
    <t>Definir los permisos según los grupos y los atributos de usuarios ayuda a reducir la cantidad y la complejidad de las políticas, lo que facilita la aplicación del principio de privilegio mínimo. Puede emplear los grupos de usuarios para administrar los permisos de muchas personas en un solo lugar según la función que desempeñen en su organización. Los atributos, como el departamento, el proyecto o la ubicación, pueden proporcionar un nivel adicional en el ámbito de los permisos si hay personas que hacen una función similar, pero para diferentes subconjuntos de recursos.</t>
  </si>
  <si>
    <t>Sí</t>
  </si>
  <si>
    <t>El no emplear una definición clara de permisos basada en grupos y atributos (el principio de ABAC), obliga a crear políticas IAM complejas y redundantes para usuarios individuales, aumentando la probabilidad de errores de configuración (Permisos Over-Privileged) que otorgan acceso mayor al necesario.</t>
  </si>
  <si>
    <r>
      <rPr>
        <b/>
        <sz val="11"/>
        <color rgb="FF000000"/>
        <rFont val="Montserrat"/>
      </rPr>
      <t>2025/11/21:</t>
    </r>
    <r>
      <rPr>
        <sz val="11"/>
        <color rgb="FF000000"/>
        <rFont val="Montserrat"/>
      </rPr>
      <t xml:space="preserve">
- 4 grupos IAM configurados con Segregación funcional: Grupos por función (SES, SMS)</t>
    </r>
  </si>
  <si>
    <r>
      <rPr>
        <b/>
        <sz val="11"/>
        <color rgb="FF000000"/>
        <rFont val="Montserrat"/>
      </rPr>
      <t>AAAA/MM/DD:</t>
    </r>
    <r>
      <rPr>
        <sz val="11"/>
        <color rgb="FF000000"/>
        <rFont val="Montserrat"/>
      </rPr>
      <t xml:space="preserve">
-</t>
    </r>
  </si>
  <si>
    <t>Gestión de identidad y acceso
SEC 3. ¿Cómo se gestionan los permisos para personas y máquinas?</t>
  </si>
  <si>
    <r>
      <rPr>
        <b/>
        <sz val="11"/>
        <color rgb="FF000000"/>
        <rFont val="Montserrat"/>
      </rPr>
      <t>SEC03-BP01</t>
    </r>
    <r>
      <rPr>
        <sz val="11"/>
        <color rgb="FF000000"/>
        <rFont val="Montserrat"/>
      </rPr>
      <t xml:space="preserve"> Definir los requisitos de acceso</t>
    </r>
  </si>
  <si>
    <t>Los administradores, los usuarios finales u otros componentes deben acceder a cada componente o recurso de la carga de trabajo. Establezca una definición clara de quién o qué debe tener acceso a cada componente y elija el tipo de identidad y el método de autenticación y autorización adecuados.</t>
  </si>
  <si>
    <t>- Sin clara segregación de responsabilidades
- Acumulación no controlada de accesos
- Dificultad para onboarding y offboarding de usuarios</t>
  </si>
  <si>
    <r>
      <rPr>
        <b/>
        <sz val="11"/>
        <color rgb="FF000000"/>
        <rFont val="Montserrat"/>
      </rPr>
      <t>2025/11/21:</t>
    </r>
    <r>
      <rPr>
        <sz val="11"/>
        <color rgb="FF000000"/>
        <rFont val="Montserrat"/>
      </rPr>
      <t xml:space="preserve">
- No hay evidencia de requisitos de acceso documentados</t>
    </r>
  </si>
  <si>
    <t xml:space="preserve">- Crear matriz de roles y responsabilidades
- Establecer proceso de aprobación de accesos
</t>
  </si>
  <si>
    <r>
      <rPr>
        <b/>
        <sz val="11"/>
        <color rgb="FF000000"/>
        <rFont val="Montserrat"/>
      </rPr>
      <t>AAAA/MM/DD:</t>
    </r>
    <r>
      <rPr>
        <sz val="11"/>
        <color rgb="FF000000"/>
        <rFont val="Montserrat"/>
      </rPr>
      <t xml:space="preserve">
-</t>
    </r>
  </si>
  <si>
    <r>
      <rPr>
        <b/>
        <sz val="11"/>
        <color rgb="FF000000"/>
        <rFont val="Montserrat"/>
      </rPr>
      <t>SEC03-BP02</t>
    </r>
    <r>
      <rPr>
        <sz val="11"/>
        <color rgb="FF000000"/>
        <rFont val="Montserrat"/>
      </rPr>
      <t xml:space="preserve"> Otorgar acceso con privilegios mínimos</t>
    </r>
  </si>
  <si>
    <t>Conceda exclusivamente el acceso que las identidades necesitan para efectuar acciones concretas en recursos específicos en determinadas condiciones. Utilice atributos de grupo y de identidad para configurar dinámicamente los permisos en función de las necesidades en lugar de configurarlos para cada usuario. Por ejemplo, puede conceder acceso a un grupo de desarrolladores para que solamente puedan administrar recursos de su proyecto. De este modo, si un desarrollador abandona el proyecto, su acceso se revoca automáticamente sin cambiar las políticas de acceso subyacentes.</t>
  </si>
  <si>
    <t>- Compromiso de cuenta administrativa afecta todo
- Usuarios pueden otorgarse más permisos
- Permisos excesivos facilitan actividades maliciosas</t>
  </si>
  <si>
    <r>
      <rPr>
        <b/>
        <sz val="11"/>
        <color rgb="FF000000"/>
        <rFont val="Montserrat"/>
      </rPr>
      <t>2025/11/21:</t>
    </r>
    <r>
      <rPr>
        <sz val="11"/>
        <color rgb="FF000000"/>
        <rFont val="Montserrat"/>
      </rPr>
      <t xml:space="preserve">
- SNSFullAccess, S3FullAccess sin restricciones
- Permisos más amplios de lo necesario
- Usuario 'jperez' (IAM) Alcance a Todos los servicios AWS
</t>
    </r>
  </si>
  <si>
    <t xml:space="preserve">- URGENTE, Implementar LIMITES DE PERMISOS
- Crear políticas específicas por función
- Eliminar políticas *FullAccess
- Implementar acceso just-in-time para admin
- Configurar revisión automática de permisos
</t>
  </si>
  <si>
    <r>
      <rPr>
        <b/>
        <sz val="11"/>
        <color rgb="FF000000"/>
        <rFont val="Montserrat"/>
      </rPr>
      <t>AAAA/MM/DD:</t>
    </r>
    <r>
      <rPr>
        <sz val="11"/>
        <color rgb="FF000000"/>
        <rFont val="Montserrat"/>
      </rPr>
      <t xml:space="preserve">
-</t>
    </r>
  </si>
  <si>
    <r>
      <rPr>
        <b/>
        <sz val="11"/>
        <color rgb="FF000000"/>
        <rFont val="Montserrat"/>
      </rPr>
      <t>SEC03-BP03</t>
    </r>
    <r>
      <rPr>
        <sz val="11"/>
        <color rgb="FF000000"/>
        <rFont val="Montserrat"/>
      </rPr>
      <t xml:space="preserve"> Establecer proceso de acceso de emergencia</t>
    </r>
  </si>
  <si>
    <t>Cree un proceso que permita el acceso de emergencia a sus cargas de trabajo en el caso improbable de que se produzca un problema con su proveedor de identidades centralizado.
Debe diseñar procesos para diferentes modos de error que puedan provocar un evento de emergencia. Por ejemplo, en circunstancias normales, los usuarios de la plantilla se federan en la nube mediante un proveedor de identidades centralizado (SEC02-BP04) para administrar sus cargas de trabajo. Sin embargo, si su proveedor de identidades centralizado no responde o se modifica la configuración de la federación en la nube, es posible que los usuarios de la plantilla no puedan federarse en esta. Un proceso de acceso de emergencia permite a los administradores autorizados acceder a los recursos de la nube a través de medios alternativos (como una forma alternativa de federación o acceso directo de los usuarios) para solucionar problemas con la configuración de la federación o las cargas de trabajo. El proceso de acceso de emergencia se utiliza hasta que se restablezca el mecanismo de federación normal.</t>
  </si>
  <si>
    <t>Bajo</t>
  </si>
  <si>
    <r>
      <rPr>
        <b/>
        <sz val="11"/>
        <color rgb="FF000000"/>
        <rFont val="Montserrat"/>
      </rPr>
      <t>2025/11/21:</t>
    </r>
    <r>
      <rPr>
        <sz val="11"/>
        <color rgb="FF000000"/>
        <rFont val="Montserrat"/>
      </rPr>
      <t xml:space="preserve">
- No hay procedimientos de acceso de emergencia</t>
    </r>
  </si>
  <si>
    <t xml:space="preserve">- Crear proceso documentado
- Implementar acceso temporal con aprobación
- Configurar alertas para uso de acceso de emergencia
- Crear roles específicos para diferentes tipos de emergencia
</t>
  </si>
  <si>
    <r>
      <rPr>
        <b/>
        <sz val="11"/>
        <color rgb="FF000000"/>
        <rFont val="Montserrat"/>
      </rPr>
      <t>AAAA/MM/DD:</t>
    </r>
    <r>
      <rPr>
        <sz val="11"/>
        <color rgb="FF000000"/>
        <rFont val="Montserrat"/>
      </rPr>
      <t xml:space="preserve">
-</t>
    </r>
  </si>
  <si>
    <r>
      <rPr>
        <b/>
        <sz val="11"/>
        <color rgb="FF000000"/>
        <rFont val="Montserrat"/>
      </rPr>
      <t>SEC03-BP04</t>
    </r>
    <r>
      <rPr>
        <sz val="11"/>
        <color rgb="FF000000"/>
        <rFont val="Montserrat"/>
      </rPr>
      <t xml:space="preserve"> Reducir permisos continuamente</t>
    </r>
  </si>
  <si>
    <t>A medida que los equipos determinen qué acceso es necesario, elimine los permisos innecesarios y establezca procesos de revisión para conseguir permisos con privilegios mínimos. Supervise y elimine continuamente las identidades y los permisos que no se utilicen, tanto para el acceso humano como para el de las máquinas.
Resultado deseado: las políticas de permisos deben cumplir con el principio de privilegio mínimo. A medida que se definan mejor las responsabilidades y los roles del trabajo, debe revisar sus políticas de permisos para eliminar los permisos innecesarios. Este enfoque reduce el alcance del impacto en caso de que las credenciales se expongan de forma inadvertida o se acceda a ellas sin autorización.</t>
  </si>
  <si>
    <r>
      <rPr>
        <b/>
        <sz val="11"/>
        <color rgb="FF000000"/>
        <rFont val="Montserrat"/>
      </rPr>
      <t>2025/11/21:</t>
    </r>
    <r>
      <rPr>
        <sz val="11"/>
        <color rgb="FF000000"/>
        <rFont val="Montserrat"/>
      </rPr>
      <t xml:space="preserve">
- No hay evidencia de requisitos de acceso documentados</t>
    </r>
  </si>
  <si>
    <r>
      <rPr>
        <b/>
        <sz val="11"/>
        <color rgb="FF000000"/>
        <rFont val="Montserrat"/>
      </rPr>
      <t>AAAA/MM/DD:</t>
    </r>
    <r>
      <rPr>
        <sz val="11"/>
        <color rgb="FF000000"/>
        <rFont val="Montserrat"/>
      </rPr>
      <t xml:space="preserve">
-</t>
    </r>
  </si>
  <si>
    <r>
      <rPr>
        <b/>
        <sz val="11"/>
        <color rgb="FF000000"/>
        <rFont val="Montserrat"/>
      </rPr>
      <t>SEC03-BP05</t>
    </r>
    <r>
      <rPr>
        <sz val="11"/>
        <color rgb="FF000000"/>
        <rFont val="Montserrat"/>
      </rPr>
      <t xml:space="preserve"> Defina las barreras de permisos para su organización</t>
    </r>
  </si>
  <si>
    <t>Utilice las barreras de protección de permisos para reducir el ámbito de los permisos disponibles que se pueden conceder a las entidades principales. La cadena de evaluación de la política de permisos incluye sus barreras de protección para determinar los permisos efectivos de una entidad principal al tomar decisiones de autorización.  Puede definir barreras de protección mediante un enfoque basado en capas. Aplique algunas barreras de protección de manera generalizada en toda la organización y aplique otras de forma específica a las sesiones de acceso temporal.</t>
  </si>
  <si>
    <r>
      <rPr>
        <b/>
        <sz val="11"/>
        <color rgb="FF000000"/>
        <rFont val="Montserrat"/>
      </rPr>
      <t>2025/11/21:</t>
    </r>
    <r>
      <rPr>
        <sz val="11"/>
        <color rgb="FF000000"/>
        <rFont val="Montserrat"/>
      </rPr>
      <t xml:space="preserve">
- No hay evidencia de requisitos de acceso documentados</t>
    </r>
  </si>
  <si>
    <r>
      <rPr>
        <b/>
        <sz val="11"/>
        <color rgb="FF000000"/>
        <rFont val="Montserrat"/>
      </rPr>
      <t>AAAA/MM/DD:</t>
    </r>
    <r>
      <rPr>
        <sz val="11"/>
        <color rgb="FF000000"/>
        <rFont val="Montserrat"/>
      </rPr>
      <t xml:space="preserve">
-</t>
    </r>
  </si>
  <si>
    <r>
      <rPr>
        <b/>
        <sz val="11"/>
        <color rgb="FF000000"/>
        <rFont val="Montserrat"/>
      </rPr>
      <t>SEC03-BP06</t>
    </r>
    <r>
      <rPr>
        <sz val="11"/>
        <color rgb="FF000000"/>
        <rFont val="Montserrat"/>
      </rPr>
      <t xml:space="preserve"> Gestionar el acceso según el ciclo de vida</t>
    </r>
  </si>
  <si>
    <t>Supervise y ajuste los permisos otorgados a sus entidades principales (usuarios, cargos y grupos) a lo largo de su ciclo de vida dentro de su organización. Ajuste la pertenencia a grupos a medida que los usuarios cambien de cargo y elimine el acceso cuando un usuario abandone la organización.</t>
  </si>
  <si>
    <r>
      <rPr>
        <b/>
        <sz val="11"/>
        <color rgb="FF000000"/>
        <rFont val="Montserrat"/>
      </rPr>
      <t>2025/11/21:</t>
    </r>
    <r>
      <rPr>
        <sz val="11"/>
        <color rgb="FF000000"/>
        <rFont val="Montserrat"/>
      </rPr>
      <t xml:space="preserve">
- No hay evidencia de requisitos de acceso documentados</t>
    </r>
  </si>
  <si>
    <r>
      <rPr>
        <b/>
        <sz val="11"/>
        <color rgb="FF000000"/>
        <rFont val="Montserrat"/>
      </rPr>
      <t>AAAA/MM/DD:</t>
    </r>
    <r>
      <rPr>
        <sz val="11"/>
        <color rgb="FF000000"/>
        <rFont val="Montserrat"/>
      </rPr>
      <t xml:space="preserve">
-</t>
    </r>
  </si>
  <si>
    <r>
      <rPr>
        <b/>
        <sz val="11"/>
        <color rgb="FF000000"/>
        <rFont val="Montserrat"/>
      </rPr>
      <t>SEC03-BP07</t>
    </r>
    <r>
      <rPr>
        <sz val="11"/>
        <color rgb="FF000000"/>
        <rFont val="Montserrat"/>
      </rPr>
      <t xml:space="preserve"> Analizar el acceso público y entre cuentas</t>
    </r>
  </si>
  <si>
    <t>Supervise continuamente los resultados que pongan en relieve el acceso público y entre cuentas. Reduzca el acceso público y el acceso entre cuentas solo a los recursos que requieran este tipo de acceso.</t>
  </si>
  <si>
    <r>
      <rPr>
        <b/>
        <sz val="11"/>
        <color rgb="FF000000"/>
        <rFont val="Montserrat"/>
      </rPr>
      <t>2025/11/21:</t>
    </r>
    <r>
      <rPr>
        <sz val="11"/>
        <color rgb="FF000000"/>
        <rFont val="Montserrat"/>
      </rPr>
      <t xml:space="preserve">
- Revisar Un bucket expuesto: 'snsreps' sin protección de acceso público</t>
    </r>
  </si>
  <si>
    <t>- Revisar Un bucket expuesto: 'snsreps' sin protección de acceso público</t>
  </si>
  <si>
    <r>
      <rPr>
        <b/>
        <sz val="11"/>
        <color rgb="FF000000"/>
        <rFont val="Montserrat"/>
      </rPr>
      <t>AAAA/MM/DD:</t>
    </r>
    <r>
      <rPr>
        <sz val="11"/>
        <color rgb="FF000000"/>
        <rFont val="Montserrat"/>
      </rPr>
      <t xml:space="preserve">
-</t>
    </r>
  </si>
  <si>
    <r>
      <rPr>
        <b/>
        <sz val="11"/>
        <color rgb="FF000000"/>
        <rFont val="Montserrat"/>
      </rPr>
      <t>SEC03-BP08</t>
    </r>
    <r>
      <rPr>
        <sz val="11"/>
        <color rgb="FF000000"/>
        <rFont val="Montserrat"/>
      </rPr>
      <t xml:space="preserve"> Comparta recursos de forma segura dentro de su organización</t>
    </r>
  </si>
  <si>
    <t>A medida que el número de cargas de trabajo va aumentando, es posible que necesite compartir el acceso a los recursos de esas cargas de trabajo o aprovisionar los recursos varias veces entre varias cuentas. Es posible que disponga de constructos para compartimentar el entorno, como, por ejemplo, entornos de desarrollo, pruebas y producción. Sin embargo, disponer de constructos de separación no le impide compartir de forma segura. Al compartir componentes que se solapan, puede reducir la sobrecarga operativa y conseguir una experiencia uniforme sin tener que adivinar qué podría haber pasado por alto al crear el mismo recurso varias veces.</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</si>
  <si>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</si>
  <si>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</si>
  <si>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SEC03-BP09</t>
    </r>
    <r>
      <rPr>
        <sz val="11"/>
        <color rgb="FF000000"/>
        <rFont val="Montserrat"/>
      </rPr>
      <t xml:space="preserve"> Compartir recursos de forma segura con un tercero</t>
    </r>
  </si>
  <si>
    <t>La seguridad de su entorno en la nube no se limita a su organización. Su organización puede recurrir a terceros para administrar una parte de sus datos. La administración de permisos para el sistema administrado por terceros debe seguir la práctica del acceso justo a tiempo mediante el principio del privilegio mínimo con credenciales temporales. Si colabora estrechamente con un tercero, podrán reducir juntos el alcance del impacto y el riesgo de un acceso no intencionado.</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</si>
  <si>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</si>
  <si>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</si>
  <si>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t>Detección
SEC 4. ¿Cómo se detectan e investigan los eventos de seguridad?</t>
  </si>
  <si>
    <r>
      <rPr>
        <b/>
        <sz val="11"/>
        <color rgb="FF000000"/>
        <rFont val="Montserrat"/>
      </rPr>
      <t>SEC04-BP01</t>
    </r>
    <r>
      <rPr>
        <sz val="11"/>
        <color rgb="FF000000"/>
        <rFont val="Montserrat"/>
      </rPr>
      <t xml:space="preserve"> Configurar el servicio y el registro de aplicaciones</t>
    </r>
  </si>
  <si>
    <t>Retenga los registros de eventos de seguridad de servicios y aplicaciones. Se trata de un principio fundamental de seguridad en casos de uso de auditoría, investigación y uso operativo, y un requisito de seguridad común basado en las normas, políticas y procedimientos de gobernanza, riesgo y cumplimiento (GRC).</t>
  </si>
  <si>
    <t>- Imposible detectar actividad maliciosa
- Sin auditoría
- Sin visibilidad para respuesta a incidentes
- Modificación de configuraciones AWS
- Exfiltración de datos desde S3
- Ataques de red internos</t>
  </si>
  <si>
    <r>
      <rPr>
        <b/>
        <sz val="11"/>
        <color rgb="FF000000"/>
        <rFont val="Montserrat"/>
      </rPr>
      <t>2025/11/21:</t>
    </r>
    <r>
      <rPr>
        <sz val="11"/>
        <color rgb="FF000000"/>
        <rFont val="Montserrat"/>
      </rPr>
      <t xml:space="preserve">
- CloudTrail NO configurado: Sin auditoría de actividad API
- API Gateway: Sin logging de requests/responses
- S3: Sin access logging configurado
- VPC: Sin Flow Logs habilitados
- Sin Security Hub</t>
    </r>
  </si>
  <si>
    <t>- Habilitar CloudTrail en todas las regiones
- Configurar VPC Flow Logs
- Habilitar S3 Access Logging
- Configurar Security Hub</t>
  </si>
  <si>
    <r>
      <rPr>
        <b/>
        <sz val="11"/>
        <color rgb="FF000000"/>
        <rFont val="Montserrat"/>
      </rPr>
      <t>AAAA/MM/DD:</t>
    </r>
    <r>
      <rPr>
        <sz val="11"/>
        <color rgb="FF000000"/>
        <rFont val="Montserrat"/>
      </rPr>
      <t xml:space="preserve">
-</t>
    </r>
  </si>
  <si>
    <r>
      <rPr>
        <b/>
        <sz val="11"/>
        <color rgb="FF000000"/>
        <rFont val="Montserrat"/>
      </rPr>
      <t>SEC04-BP02</t>
    </r>
    <r>
      <rPr>
        <sz val="11"/>
        <color rgb="FF000000"/>
        <rFont val="Montserrat"/>
      </rPr>
      <t xml:space="preserve"> Capture registros, hallazgos y métricas en ubicaciones estandarizadas</t>
    </r>
  </si>
  <si>
    <t>Los equipos de seguridad se basan en los registros y los resultados para analizar aquellos eventos que podrían indicar una actividad no autorizada o cambios no intencionados. Para agilizar este análisis, recopile los registros de seguridad y los resultados en ubicaciones estandarizadas.  Esto hace que los puntos de datos de interés estén disponibles para su correlación y puede simplificar la integración de herramientas.</t>
  </si>
  <si>
    <r>
      <rPr>
        <b/>
        <sz val="11"/>
        <color rgb="FF000000"/>
        <rFont val="Montserrat"/>
      </rPr>
      <t>2025/11/21:</t>
    </r>
    <r>
      <rPr>
        <sz val="11"/>
        <color rgb="FF000000"/>
        <rFont val="Montserrat"/>
      </rPr>
      <t xml:space="preserve">
- CloudTrail NO configurado: Sin auditoría de actividad API
- API Gateway: Sin logging de requests/responses
- S3: Sin access logging configurado
- VPC: Sin Flow Logs habilitados
- Sin Security Hub</t>
    </r>
  </si>
  <si>
    <r>
      <rPr>
        <b/>
        <sz val="11"/>
        <color rgb="FF000000"/>
        <rFont val="Montserrat"/>
      </rPr>
      <t>AAAA/MM/DD:</t>
    </r>
    <r>
      <rPr>
        <sz val="11"/>
        <color rgb="FF000000"/>
        <rFont val="Montserrat"/>
      </rPr>
      <t xml:space="preserve">
-</t>
    </r>
  </si>
  <si>
    <r>
      <rPr>
        <b/>
        <sz val="11"/>
        <color rgb="FF000000"/>
        <rFont val="Montserrat"/>
      </rPr>
      <t>SEC04-BP03</t>
    </r>
    <r>
      <rPr>
        <sz val="11"/>
        <color rgb="FF000000"/>
        <rFont val="Montserrat"/>
      </rPr>
      <t xml:space="preserve"> Correlaciona y enriquece las alertas de seguridad</t>
    </r>
  </si>
  <si>
    <t>La actividad inesperada puede generar múltiples alertas de seguridad de diferentes fuentes, lo que requiere una mayor correlación y enriquecimiento para comprender el contexto completo. Implemente la correlación y el enriquecimiento automatizados de las alertas de seguridad para ayudar a lograr una identificación y una respuesta a los incidentes más precisas.</t>
  </si>
  <si>
    <r>
      <rPr>
        <b/>
        <sz val="11"/>
        <color rgb="FF000000"/>
        <rFont val="Montserrat"/>
      </rPr>
      <t>2025/11/21:</t>
    </r>
    <r>
      <rPr>
        <sz val="11"/>
        <color rgb="FF000000"/>
        <rFont val="Montserrat"/>
      </rPr>
      <t xml:space="preserve">
- Sin alertas de seguridad
- Sin correlación de eventos, aislados sin análisis de patrones</t>
    </r>
  </si>
  <si>
    <t>- Habilitar CloudTrail en todas las regiones
- Configurar VPC Flow Logs
- Habilitar S3 Access Logging
- Configurar Security Hub
- Correlacionar Eventos
- Habilitar GuardDuty
- Configurar Amazon Detective
- Usar CloudWatch Insigths</t>
  </si>
  <si>
    <r>
      <rPr>
        <b/>
        <sz val="11"/>
        <color rgb="FF000000"/>
        <rFont val="Montserrat"/>
      </rPr>
      <t>AAAA/MM/DD:</t>
    </r>
    <r>
      <rPr>
        <sz val="11"/>
        <color rgb="FF000000"/>
        <rFont val="Montserrat"/>
      </rPr>
      <t xml:space="preserve">
-</t>
    </r>
  </si>
  <si>
    <r>
      <rPr>
        <b/>
        <sz val="11"/>
        <color rgb="FF000000"/>
        <rFont val="Montserrat"/>
      </rPr>
      <t>SEC04-BP04</t>
    </r>
    <r>
      <rPr>
        <sz val="11"/>
        <color rgb="FF000000"/>
        <rFont val="Montserrat"/>
      </rPr>
      <t xml:space="preserve"> Iniciar remediación para recursos no conformes</t>
    </r>
  </si>
  <si>
    <t>Sus controles de detección pueden alertarle sobre la presencia de recursos no conformes con sus requisitos de configuración. Puede iniciar soluciones definidas mediante programación, de forma manual o automática, para corregir estos recursos y ayudar a minimizar los posibles impactos. Al definir las correcciones mediante programación, puede tomar medidas rápidas y coherentes.
Si bien la automatización puede mejorar las operaciones de seguridad, debe implementarla y administrarla con cuidado.  Establezca mecanismos de supervisión y control adecuados para verificar que las respuestas automatizadas sean eficaces, precisas y estén alineadas con las políticas de la organización y la propensión al riesgo.</t>
  </si>
  <si>
    <r>
      <rPr>
        <b/>
        <sz val="11"/>
        <color rgb="FF000000"/>
        <rFont val="Montserrat"/>
      </rPr>
      <t>2025/11/21:</t>
    </r>
    <r>
      <rPr>
        <sz val="11"/>
        <color rgb="FF000000"/>
        <rFont val="Montserrat"/>
      </rPr>
      <t xml:space="preserve">
- No hay detección de configuraciones no conformes
- Sin remediación manual ni  automática</t>
    </r>
  </si>
  <si>
    <t>- Configurar AWS Config con reglas básicas</t>
  </si>
  <si>
    <r>
      <rPr>
        <b/>
        <sz val="11"/>
        <color rgb="FF000000"/>
        <rFont val="Montserrat"/>
      </rPr>
      <t>AAAA/MM/DD:</t>
    </r>
    <r>
      <rPr>
        <sz val="11"/>
        <color rgb="FF000000"/>
        <rFont val="Montserrat"/>
      </rPr>
      <t xml:space="preserve">
-</t>
    </r>
  </si>
  <si>
    <t>Protección de infraestructura
SEC 5. ¿Cómo protege usted los recursos de su red?</t>
  </si>
  <si>
    <r>
      <rPr>
        <b/>
        <sz val="11"/>
        <color rgb="FF000000"/>
        <rFont val="Montserrat"/>
      </rPr>
      <t>SEC05-BP01</t>
    </r>
    <r>
      <rPr>
        <sz val="11"/>
        <color rgb="FF000000"/>
        <rFont val="Montserrat"/>
      </rPr>
      <t xml:space="preserve"> Crear capas de red</t>
    </r>
  </si>
  <si>
    <t>Segmente la topología de red en diferentes capas en función de las agrupaciones lógicas de los componentes de la carga de trabajo según sus requisitos de acceso y la confidencialidad de los datos. Distinga entre los componentes que requieren acceso entrante desde Internet, como los puntos de conexión web públicos, y aquellos que solo necesitan acceso interno, como las bases de datos.</t>
  </si>
  <si>
    <t xml:space="preserve">- Compromiso de una instancia afecta toda la red
- Bases de datos expuestas al mismo nivel que aplicaciones web
- Atacantes pueden moverse libremente entre recursos
- </t>
  </si>
  <si>
    <r>
      <rPr>
        <b/>
        <sz val="11"/>
        <color rgb="FF000000"/>
        <rFont val="Montserrat"/>
      </rPr>
      <t>2025/11/21:</t>
    </r>
    <r>
      <rPr>
        <sz val="11"/>
        <color rgb="FF000000"/>
        <rFont val="Montserrat"/>
      </rPr>
      <t xml:space="preserve">
- Una sola VPC sin segmentación por capas
- Todas las subnets públicas, sin separación entre recursos públicos y privados
- Sin DMZ, Falta zona desmilitarizada para recursos expuestos
- Sin segmentación por función, todos los recursos en el mismo nivel de red
- Imposibilidad de aplicar controles granulares por capa
- Respuesta a incidentes complicada por falta de aislamiento
</t>
    </r>
  </si>
  <si>
    <t xml:space="preserve">. Crear VPC con arquitectura de 3 capas
   - Public Subnet: Load balancers, NAT Gateways
   - Private Subnet: Aplicaciones, APIs
   - Database Subnet: Bases de datos, almacenamiento
- Migrar bases de datos a subnets privadas
- Implementar subnets de gestión separadas
- Crear DMZ para servicios expuestos
</t>
  </si>
  <si>
    <r>
      <rPr>
        <b/>
        <sz val="11"/>
        <color rgb="FF000000"/>
        <rFont val="Montserrat"/>
      </rPr>
      <t>AAAA/MM/DD:</t>
    </r>
    <r>
      <rPr>
        <sz val="11"/>
        <color rgb="FF000000"/>
        <rFont val="Montserrat"/>
      </rPr>
      <t xml:space="preserve">
-</t>
    </r>
  </si>
  <si>
    <r>
      <rPr>
        <b/>
        <sz val="11"/>
        <color rgb="FF000000"/>
        <rFont val="Montserrat"/>
      </rPr>
      <t>SEC05-BP02</t>
    </r>
    <r>
      <rPr>
        <sz val="11"/>
        <color rgb="FF000000"/>
        <rFont val="Montserrat"/>
      </rPr>
      <t xml:space="preserve"> Controle el flujo de tráfico dentro de sus capas de red</t>
    </r>
  </si>
  <si>
    <t>Dentro de las capas de su red, utilice una mayor segmentación para restringir el tráfico únicamente a los flujos necesarios para cada carga de trabajo. En primer lugar, céntrese en controlar el tráfico entre Internet u otros sistemas externos a una carga de trabajo y su entorno (tráfico norte-sur). A continuación, observe los flujos entre los diferentes componentes y sistemas (tráfico de este a oeste).</t>
  </si>
  <si>
    <t>- SIN PROTECCIÓN
- Apertura al ataque directo de los datos y servicios, afectando TODA la infraestructura y efectos que cause en el NEGOCIO</t>
  </si>
  <si>
    <r>
      <rPr>
        <b/>
        <sz val="11"/>
        <color rgb="FF000000"/>
        <rFont val="Montserrat"/>
      </rPr>
      <t>2025/11/21:</t>
    </r>
    <r>
      <rPr>
        <sz val="11"/>
        <color rgb="FF000000"/>
        <rFont val="Montserrat"/>
      </rPr>
      <t xml:space="preserve">
- Security Groups permisivos, HTTP/HTTPS abierto desde cualquier origen
- MySQL público, puerto 3306 abierto a Internet (0.0.0.0/0)
- Sin load balancers, sin WAF, sin FW de salida</t>
    </r>
  </si>
  <si>
    <t xml:space="preserve">CRÍTICO: Restringir acceso MySQL inmediatamente
- Desplegar Application Load Balancers
- Configurar WAF para aplicaciones web
- Implementar VPC Endpoints para servicios AWS
</t>
  </si>
  <si>
    <r>
      <rPr>
        <b/>
        <sz val="11"/>
        <color rgb="FF000000"/>
        <rFont val="Montserrat"/>
      </rPr>
      <t>AAAA/MM/DD:</t>
    </r>
    <r>
      <rPr>
        <sz val="11"/>
        <color rgb="FF000000"/>
        <rFont val="Montserrat"/>
      </rPr>
      <t xml:space="preserve">
-</t>
    </r>
  </si>
  <si>
    <r>
      <rPr>
        <b/>
        <sz val="11"/>
        <color rgb="FF000000"/>
        <rFont val="Montserrat"/>
      </rPr>
      <t>SEC05-BP03</t>
    </r>
    <r>
      <rPr>
        <sz val="11"/>
        <color rgb="FF000000"/>
        <rFont val="Montserrat"/>
      </rPr>
      <t xml:space="preserve"> Implementar protección basada en inspección</t>
    </r>
  </si>
  <si>
    <t>Configure puntos de inspección del tráfico entre las capas de la red para asegurarse de que los datos en tránsito coincidan con las categorías y los patrones esperados.  Analice los flujos de tráfico, los metadatos y los patrones para ayudar a identificar y detectar los eventos y responder a ellos de manera más eficaz.</t>
  </si>
  <si>
    <r>
      <rPr>
        <b/>
        <sz val="11"/>
        <color rgb="FF000000"/>
        <rFont val="Montserrat"/>
      </rPr>
      <t>2025/11/21:</t>
    </r>
    <r>
      <rPr>
        <sz val="11"/>
        <color rgb="FF000000"/>
        <rFont val="Montserrat"/>
      </rPr>
      <t xml:space="preserve">
- Habilitado por defecto (protección básica)
- Sin inspección de contenido HTTP/HTTPS
- Sin filtrado de malware
- Sin detección de patrones de ataque</t>
    </r>
  </si>
  <si>
    <r>
      <rPr>
        <b/>
        <sz val="11"/>
        <color rgb="FF000000"/>
        <rFont val="Montserrat"/>
      </rPr>
      <t>AAAA/MM/DD:</t>
    </r>
    <r>
      <rPr>
        <sz val="11"/>
        <color rgb="FF000000"/>
        <rFont val="Montserrat"/>
      </rPr>
      <t xml:space="preserve">
-</t>
    </r>
  </si>
  <si>
    <r>
      <rPr>
        <b/>
        <sz val="11"/>
        <color rgb="FF000000"/>
        <rFont val="Montserrat"/>
      </rPr>
      <t>SEC05-BP04</t>
    </r>
    <r>
      <rPr>
        <sz val="11"/>
        <color rgb="FF000000"/>
        <rFont val="Montserrat"/>
      </rPr>
      <t xml:space="preserve"> Automatice la protección de la red</t>
    </r>
  </si>
  <si>
    <t xml:space="preserve">Automatice la implementación de las protecciones de su red mediante prácticas de DevOps, como la infraestructura como código (IaC) y las canalizaciones de CI/CD.  Estas prácticas pueden ayudarle a hacer un seguimiento de los cambios en las protecciones de la red a través de un sistema de control de versiones, a reducir el tiempo necesario para implementar los cambios y a detectar si las protecciones de la red se desvían de la configuración deseada.  </t>
  </si>
  <si>
    <t>- Intervención manual retrasa mitigación de eventos
- Errores humanos, configuraciones manuales propensas a errores</t>
  </si>
  <si>
    <r>
      <rPr>
        <b/>
        <sz val="11"/>
        <color rgb="FF000000"/>
        <rFont val="Montserrat"/>
      </rPr>
      <t>2025/11/21:</t>
    </r>
    <r>
      <rPr>
        <sz val="11"/>
        <color rgb="FF000000"/>
        <rFont val="Montserrat"/>
      </rPr>
      <t xml:space="preserve">
- Toda la gestión de seguridad de red es manual</t>
    </r>
  </si>
  <si>
    <t>- Establecer Infrastructure as Code con CloudFormation</t>
  </si>
  <si>
    <r>
      <rPr>
        <b/>
        <sz val="11"/>
        <color rgb="FF000000"/>
        <rFont val="Montserrat"/>
      </rPr>
      <t>AAAA/MM/DD:</t>
    </r>
    <r>
      <rPr>
        <sz val="11"/>
        <color rgb="FF000000"/>
        <rFont val="Montserrat"/>
      </rPr>
      <t xml:space="preserve">
-</t>
    </r>
  </si>
  <si>
    <t>Protección de infraestructura
SEC 6. ¿Cómo protege sus recursos computacionales?</t>
  </si>
  <si>
    <r>
      <rPr>
        <b/>
        <sz val="11"/>
        <color rgb="FF000000"/>
        <rFont val="Montserrat"/>
      </rPr>
      <t>SEC06-BP01</t>
    </r>
    <r>
      <rPr>
        <sz val="11"/>
        <color rgb="FF000000"/>
        <rFont val="Montserrat"/>
      </rPr>
      <t xml:space="preserve"> Realizar gestión de vulnerabilidades</t>
    </r>
  </si>
  <si>
    <t>Analice con frecuencia su código, sus dependencias y su infraestructura en busca de vulnerabilidades, y aplique parches para solucionarlas, para ayudarle a protegerse contra las nuevas amenazas.</t>
  </si>
  <si>
    <t>- Explotación de vulnerabilidades
- Vulnerabilidades pueden permitir acceso elevado
- Instancias vulnerables facilitan movimiento de atacantes</t>
  </si>
  <si>
    <r>
      <rPr>
        <b/>
        <sz val="11"/>
        <color rgb="FF000000"/>
        <rFont val="Montserrat"/>
      </rPr>
      <t>2025/11/21:</t>
    </r>
    <r>
      <rPr>
        <sz val="11"/>
        <color rgb="FF000000"/>
        <rFont val="Montserrat"/>
      </rPr>
      <t xml:space="preserve">
Amazon Inspector habilitado:
- Múltiples instancias con paquetes desactualizados
- Parches de seguridad disponibles pero no aplicados
- Sin cronograma de aplicación de parches
- Sin Systems Manager Agent, Instancias no gestionadas centralmente</t>
    </r>
  </si>
  <si>
    <t xml:space="preserve">- Aplicar parches
- Instalar y configurar Systems Manager Agent
- Establecer proceso de patch management automatizado
- Implementar scanning continuo con Inspector
</t>
  </si>
  <si>
    <r>
      <rPr>
        <b/>
        <sz val="11"/>
        <color rgb="FF000000"/>
        <rFont val="Montserrat"/>
      </rPr>
      <t>AAAA/MM/DD:</t>
    </r>
    <r>
      <rPr>
        <sz val="11"/>
        <color rgb="FF000000"/>
        <rFont val="Montserrat"/>
      </rPr>
      <t xml:space="preserve">
-</t>
    </r>
  </si>
  <si>
    <r>
      <rPr>
        <b/>
        <sz val="11"/>
        <color rgb="FF000000"/>
        <rFont val="Montserrat"/>
      </rPr>
      <t>SEC06-BP02</t>
    </r>
    <r>
      <rPr>
        <sz val="11"/>
        <color rgb="FF000000"/>
        <rFont val="Montserrat"/>
      </rPr>
      <t xml:space="preserve"> Computación de provisión a partir de imágenes endurecidas</t>
    </r>
  </si>
  <si>
    <t>Ofrezca menos oportunidades de acceso no deseado a sus entornos en tiempo de ejecución mediante la implementación desde imágenes reforzadas. Adquiera las dependencias de tiempo de ejecución (como imágenes de contenedores y bibliotecas de aplicaciones) únicamente de registros fiables y verifique sus firmas. Cree sus propios registros privados para almacenar imágenes y bibliotecas confiables para usarlas en sus procesos de desarrollo e implementación.</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</si>
  <si>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</si>
  <si>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</si>
  <si>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SEC06-BP03</t>
    </r>
    <r>
      <rPr>
        <sz val="11"/>
        <color rgb="FF000000"/>
        <rFont val="Montserrat"/>
      </rPr>
      <t xml:space="preserve"> Reducir la gestión manual y el acceso interactivo</t>
    </r>
  </si>
  <si>
    <t>Utilice la automatización para hacer tareas de implementación, configuración, mantenimiento e investigación siempre que sea posible. Plantéese el acceso manual a los recursos de computación en casos de procedimientos de emergencia o en entornos seguros (entornos de pruebas) cuando la automatización no esté disponible.</t>
  </si>
  <si>
    <r>
      <rPr>
        <b/>
        <sz val="11"/>
        <color rgb="FF000000"/>
        <rFont val="Montserrat"/>
      </rPr>
      <t>2025/11/21:</t>
    </r>
    <r>
      <rPr>
        <sz val="11"/>
        <color rgb="FF000000"/>
        <rFont val="Montserrat"/>
      </rPr>
      <t xml:space="preserve">
- Sin Systems Manager
- Acceso SSH directo
- Configuraciones y mantenimiento manuales</t>
    </r>
  </si>
  <si>
    <t xml:space="preserve">- Configurar SSM Agent en todas las instancias
- Automatizar patch management con SSM
</t>
  </si>
  <si>
    <r>
      <rPr>
        <b/>
        <sz val="11"/>
        <color rgb="FF000000"/>
        <rFont val="Montserrat"/>
      </rPr>
      <t>AAAA/MM/DD:</t>
    </r>
    <r>
      <rPr>
        <sz val="11"/>
        <color rgb="FF000000"/>
        <rFont val="Montserrat"/>
      </rPr>
      <t xml:space="preserve">
-</t>
    </r>
  </si>
  <si>
    <r>
      <rPr>
        <b/>
        <sz val="11"/>
        <color rgb="FF000000"/>
        <rFont val="Montserrat"/>
      </rPr>
      <t>SEC06-BP04</t>
    </r>
    <r>
      <rPr>
        <sz val="11"/>
        <color rgb="FF000000"/>
        <rFont val="Montserrat"/>
      </rPr>
      <t xml:space="preserve"> Validar la integridad del software</t>
    </r>
  </si>
  <si>
    <t>Utilice la verificación criptográfica para validar la integridad de los artefactos de software (incluidas las imágenes) que utiliza su carga de trabajo.  Firme criptográficamente su software como protección contra los cambios no autorizados que se ejecuten en sus entornos de computación.</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</si>
  <si>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</si>
  <si>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</si>
  <si>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SEC06-BP05</t>
    </r>
    <r>
      <rPr>
        <sz val="11"/>
        <color rgb="FF000000"/>
        <rFont val="Montserrat"/>
      </rPr>
      <t xml:space="preserve"> Automatice la protección informática</t>
    </r>
  </si>
  <si>
    <t>Automatice las operaciones de protección de computación para reducir la necesidad de intervención humana. Utilice el análisis automatizado para detectar posibles problemas en sus recursos de computación y use respuestas programáticas automatizadas u operaciones de administración de flotas para solucionarlos.  Incorpore la automatización en sus procesos de CI/CD para implementar cargas de trabajo fiables con dependencias actualizadas.</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</si>
  <si>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</si>
  <si>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</si>
  <si>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t>Protección de datos
SEC 7. ¿Cómo clasifica sus datos?</t>
  </si>
  <si>
    <r>
      <rPr>
        <b/>
        <sz val="11"/>
        <color rgb="FF000000"/>
        <rFont val="Montserrat"/>
      </rPr>
      <t>SEC07-BP01</t>
    </r>
    <r>
      <rPr>
        <sz val="11"/>
        <color rgb="FF000000"/>
        <rFont val="Montserrat"/>
      </rPr>
      <t xml:space="preserve"> Comprenda su esquema de clasificación de datos</t>
    </r>
  </si>
  <si>
    <t>Comprenda la clasificación de los datos que procesa su carga de trabajo, los requisitos de su tratamiento, los procesos empresariales asociados, dónde se almacenan los datos y quién es su propietario.  Su esquema de clasificación y tratamiento de datos debe tener en cuenta los requisitos legales y de cumplimiento aplicables a su carga de trabajo y los controles de datos necesarios. La comprensión de los datos es el primer paso en el proceso de clasificación de los datos.</t>
  </si>
  <si>
    <t>- Protección inadecuada, Datos críticos con protección básica
- Respuesta a incidentes deficiente</t>
  </si>
  <si>
    <r>
      <rPr>
        <b/>
        <sz val="11"/>
        <color rgb="FF000000"/>
        <rFont val="Montserrat"/>
      </rPr>
      <t>2025/11/21:</t>
    </r>
    <r>
      <rPr>
        <sz val="11"/>
        <color rgb="FF000000"/>
        <rFont val="Montserrat"/>
      </rPr>
      <t xml:space="preserve">
- S3, snsreps Sin protección de acceso público
- Instancias de Base de Datos: BD SeeOn (r8g.2xlarge), BD Trinity (r8g.4xlarge), Protección Básica (solo Security Groups)
</t>
    </r>
  </si>
  <si>
    <t>- Proteger bucket 'snsreps' inmediatamente
- Habilitar Amazon Macie
- Configurar protección de datos, NO exposición pública</t>
  </si>
  <si>
    <r>
      <rPr>
        <b/>
        <sz val="11"/>
        <color rgb="FF000000"/>
        <rFont val="Montserrat"/>
      </rPr>
      <t>AAAA/MM/DD:</t>
    </r>
    <r>
      <rPr>
        <sz val="11"/>
        <color rgb="FF000000"/>
        <rFont val="Montserrat"/>
      </rPr>
      <t xml:space="preserve">
-</t>
    </r>
  </si>
  <si>
    <r>
      <rPr>
        <b/>
        <sz val="11"/>
        <color rgb="FF000000"/>
        <rFont val="Montserrat"/>
      </rPr>
      <t>SEC07-BP02</t>
    </r>
    <r>
      <rPr>
        <sz val="11"/>
        <color rgb="FF000000"/>
        <rFont val="Montserrat"/>
      </rPr>
      <t xml:space="preserve"> Aplicar controles de protección de datos basados en la sensibilidad de datos</t>
    </r>
  </si>
  <si>
    <t>Aplique controles de protección de datos que proporcionen un nivel de control adecuado para cada clase de datos definida en su política de clasificación.  Esta práctica puede permitirle proteger los datos confidenciales ante el acceso y el uso no autorizados y, al mismo tiempo, preservar la disponibilidad y el uso de los datos.</t>
  </si>
  <si>
    <r>
      <rPr>
        <b/>
        <sz val="11"/>
        <color rgb="FF000000"/>
        <rFont val="Montserrat"/>
      </rPr>
      <t>2025/11/21:</t>
    </r>
    <r>
      <rPr>
        <sz val="11"/>
        <color rgb="FF000000"/>
        <rFont val="Montserrat"/>
      </rPr>
      <t xml:space="preserve">
- S3, snsreps Sin protección de acceso público
- Instancias de Base de Datos: BD SeeOn (r8g.2xlarge), BD Trinity (r8g.4xlarge), Protección Básica (solo Security Groups)
</t>
    </r>
  </si>
  <si>
    <r>
      <rPr>
        <b/>
        <sz val="11"/>
        <color rgb="FF000000"/>
        <rFont val="Montserrat"/>
      </rPr>
      <t>AAAA/MM/DD:</t>
    </r>
    <r>
      <rPr>
        <sz val="11"/>
        <color rgb="FF000000"/>
        <rFont val="Montserrat"/>
      </rPr>
      <t xml:space="preserve">
-</t>
    </r>
  </si>
  <si>
    <r>
      <rPr>
        <b/>
        <sz val="11"/>
        <color rgb="FF000000"/>
        <rFont val="Montserrat"/>
      </rPr>
      <t>SEC07-BP03</t>
    </r>
    <r>
      <rPr>
        <sz val="11"/>
        <color rgb="FF000000"/>
        <rFont val="Montserrat"/>
      </rPr>
      <t xml:space="preserve"> Automatizar la identificación y clasificación</t>
    </r>
  </si>
  <si>
    <t>La automatización de la identificación y clasificación de datos puede ayudarle a implementar los controles correctos. El uso de la automatización para aumentar la determinación manual reduce el riesgo de errores humanos y exposiciones.</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</si>
  <si>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</si>
  <si>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</si>
  <si>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SEC07-BP04</t>
    </r>
    <r>
      <rPr>
        <sz val="11"/>
        <color rgb="FF000000"/>
        <rFont val="Montserrat"/>
      </rPr>
      <t xml:space="preserve"> Definir la gestión escalable del ciclo de vida de los datos</t>
    </r>
  </si>
  <si>
    <t>Comprenda los requisitos del ciclo de vida de sus datos en relación con sus diferentes niveles de clasificación y gestión de datos.  Entre ellos pueden estar la forma de gestionar los datos cuando entran por primera vez en su entorno, la manera de transformarlos y las reglas para su destrucción. Tenga en cuenta factores como los periodos de retención, el acceso, la auditoría y el seguimiento de la procedencia.</t>
  </si>
  <si>
    <t>- Costos Creciente
- Operaciones Manuales</t>
  </si>
  <si>
    <r>
      <rPr>
        <b/>
        <sz val="11"/>
        <color rgb="FF000000"/>
        <rFont val="Montserrat"/>
      </rPr>
      <t>2025/11/21:</t>
    </r>
    <r>
      <rPr>
        <sz val="11"/>
        <color rgb="FF000000"/>
        <rFont val="Montserrat"/>
      </rPr>
      <t xml:space="preserve">
- S3 Lifecycle Policies:
  - Ningún bucket tiene políticas de lifecycle configuradas
  - Sin transición automática a storage classes económicas
  - Sin eliminación automática de datos expirados
  - Sin archivado a Glacier/Deep Archive
Backup y Retención:
  - AWS Backup: NO CONFIGURADO
  - Sin backup plans definidos
  - Sin backup vaults configurados
  - Solo 1/6 buckets con versioning habilitado
Políticas de Retención:
- CloudWatch Logs: Algunas con 30 días, otras sin límite
- S3: Sin políticas de retención definidas
- Bases de datos: Sin backup automatizado visible</t>
    </r>
  </si>
  <si>
    <t>- Crear backup plans por tipo de recurso
- Implementar S3 Lifecycle policies
- Definir políticas de retención</t>
  </si>
  <si>
    <r>
      <rPr>
        <b/>
        <sz val="11"/>
        <color rgb="FF000000"/>
        <rFont val="Montserrat"/>
      </rPr>
      <t>AAAA/MM/DD:</t>
    </r>
    <r>
      <rPr>
        <sz val="11"/>
        <color rgb="FF000000"/>
        <rFont val="Montserrat"/>
      </rPr>
      <t xml:space="preserve">
-</t>
    </r>
  </si>
  <si>
    <t>Protección de datos
SEC 8. ¿Cómo protege sus datos en reposo?</t>
  </si>
  <si>
    <r>
      <rPr>
        <b/>
        <sz val="11"/>
        <color rgb="FF000000"/>
        <rFont val="Montserrat"/>
      </rPr>
      <t>SEC08-BP01</t>
    </r>
    <r>
      <rPr>
        <sz val="11"/>
        <color rgb="FF000000"/>
        <rFont val="Montserrat"/>
      </rPr>
      <t xml:space="preserve"> Implementar la gestión segura de claves</t>
    </r>
  </si>
  <si>
    <t>La administración segura de claves incluye el almacenamiento, la rotación, el control de acceso y la supervisión del material de claves necesario para proteger los datos en reposo para su carga de trabajo.</t>
  </si>
  <si>
    <r>
      <rPr>
        <b/>
        <sz val="11"/>
        <color rgb="FF000000"/>
        <rFont val="Montserrat"/>
      </rPr>
      <t>2025/11/21:</t>
    </r>
    <r>
      <rPr>
        <sz val="11"/>
        <color rgb="FF000000"/>
        <rFont val="Montserrat"/>
      </rPr>
      <t xml:space="preserve">
- 7 KMS keys configuradas
- Rotación automática habilitada
- Políticas específicas por servicio</t>
    </r>
  </si>
  <si>
    <r>
      <rPr>
        <b/>
        <sz val="11"/>
        <color rgb="FF000000"/>
        <rFont val="Montserrat"/>
      </rPr>
      <t>AAAA/MM/DD:</t>
    </r>
    <r>
      <rPr>
        <sz val="11"/>
        <color rgb="FF000000"/>
        <rFont val="Montserrat"/>
      </rPr>
      <t xml:space="preserve">
-</t>
    </r>
  </si>
  <si>
    <r>
      <rPr>
        <b/>
        <sz val="11"/>
        <color rgb="FF000000"/>
        <rFont val="Montserrat"/>
      </rPr>
      <t>SEC08-BP02</t>
    </r>
    <r>
      <rPr>
        <sz val="11"/>
        <color rgb="FF000000"/>
        <rFont val="Montserrat"/>
      </rPr>
      <t xml:space="preserve"> Hacer cumplir el cifrado en reposo</t>
    </r>
  </si>
  <si>
    <t>Cifre los datos privados en reposo para mantener la confidencialidad y proporcionar una capa adicional de protección contra la divulgación o exfiltración de datos no deseada. El cifrado protege los datos para que no sea posible leerlos ni acceder a ellos sin antes descifrarlos. Haga un inventario y lleve un control de los datos no cifrados para mitigar los riesgos asociados a la exposición de los datos.</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</si>
  <si>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</si>
  <si>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</si>
  <si>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SEC08-BP03</t>
    </r>
    <r>
      <rPr>
        <sz val="11"/>
        <color rgb="FF000000"/>
        <rFont val="Montserrat"/>
      </rPr>
      <t xml:space="preserve"> Automatice los datos en reposo protección</t>
    </r>
  </si>
  <si>
    <t>Utilice la automatización para validar y aplicar los controles de datos en reposo.  Utilice el análisis automatizado para detectar errores de configuración de sus soluciones de almacenamiento de datos y, en la medida de lo posible, aplique las correcciones mediante una respuesta programática automatizada.  Incorpore la automatización en sus procesos de CI/CD para detectar errores de configuración del almacenamiento de datos antes de que se implementen en producción.</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</si>
  <si>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</si>
  <si>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</si>
  <si>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SEC08-BP04</t>
    </r>
    <r>
      <rPr>
        <sz val="11"/>
        <color rgb="FF000000"/>
        <rFont val="Montserrat"/>
      </rPr>
      <t xml:space="preserve"> Hacer cumplir el control de acceso</t>
    </r>
  </si>
  <si>
    <t>Para ayudarlo a proteger sus datos en reposo, aplique el control de acceso mediante mecanismos como el aislamiento y el control de versiones. Aplique controles de acceso condicional y de privilegios mínimos. Impida que se conceda acceso público a sus datos.</t>
  </si>
  <si>
    <r>
      <rPr>
        <b/>
        <sz val="11"/>
        <color rgb="FF000000"/>
        <rFont val="Montserrat"/>
      </rPr>
      <t>2025/11/21:</t>
    </r>
    <r>
      <rPr>
        <sz val="11"/>
        <color rgb="FF000000"/>
        <rFont val="Montserrat"/>
      </rPr>
      <t xml:space="preserve">
- 7 KMS keys configuradas
- Rotación automática habilitada
- Políticas específicas por servicio</t>
    </r>
  </si>
  <si>
    <r>
      <rPr>
        <b/>
        <sz val="11"/>
        <color rgb="FF000000"/>
        <rFont val="Montserrat"/>
      </rPr>
      <t>AAAA/MM/DD:</t>
    </r>
    <r>
      <rPr>
        <sz val="11"/>
        <color rgb="FF000000"/>
        <rFont val="Montserrat"/>
      </rPr>
      <t xml:space="preserve">
-</t>
    </r>
  </si>
  <si>
    <t>Protección de datos
SEC 9. ¿Cómo protege sus datos en tránsito?</t>
  </si>
  <si>
    <r>
      <rPr>
        <b/>
        <sz val="11"/>
        <color rgb="FF000000"/>
        <rFont val="Montserrat"/>
      </rPr>
      <t>SEC09-BP01</t>
    </r>
    <r>
      <rPr>
        <sz val="11"/>
        <color rgb="FF000000"/>
        <rFont val="Montserrat"/>
      </rPr>
      <t xml:space="preserve"> Implementar la gestión segura de claves y certificados</t>
    </r>
  </si>
  <si>
    <t>Los certificados de seguridad de la capa de transporte (TLS) se utilizan para proteger las comunicaciones de red y establecer la identidad de los sitios web, los recursos y las cargas de trabajo a través de Internet, así como de las redes privadas.</t>
  </si>
  <si>
    <t>Claves privadas en sistemas locales</t>
  </si>
  <si>
    <r>
      <rPr>
        <b/>
        <sz val="11"/>
        <color rgb="FF000000"/>
        <rFont val="Montserrat"/>
      </rPr>
      <t>2025/11/21:</t>
    </r>
    <r>
      <rPr>
        <sz val="11"/>
        <color rgb="FF000000"/>
        <rFont val="Montserrat"/>
      </rPr>
      <t xml:space="preserve">
- Sin balanceadores implementados</t>
    </r>
  </si>
  <si>
    <t xml:space="preserve">- Configurar balanceador de App y Red de ser necesario 
- Configurar certificado ACM para "coolprop"
- Habilitar TLS 1.2 mínimo
</t>
  </si>
  <si>
    <r>
      <rPr>
        <b/>
        <sz val="11"/>
        <color rgb="FF000000"/>
        <rFont val="Montserrat"/>
      </rPr>
      <t>AAAA/MM/DD:</t>
    </r>
    <r>
      <rPr>
        <sz val="11"/>
        <color rgb="FF000000"/>
        <rFont val="Montserrat"/>
      </rPr>
      <t xml:space="preserve">
-</t>
    </r>
  </si>
  <si>
    <r>
      <rPr>
        <b/>
        <sz val="11"/>
        <color rgb="FF000000"/>
        <rFont val="Montserrat"/>
      </rPr>
      <t>SEC09-BP02</t>
    </r>
    <r>
      <rPr>
        <sz val="11"/>
        <color rgb="FF000000"/>
        <rFont val="Montserrat"/>
      </rPr>
      <t xml:space="preserve"> Hacer cumplir el cifrado en tránsito</t>
    </r>
  </si>
  <si>
    <t>Aplique los requisitos de cifrado definidos en función de las políticas, las obligaciones reglamentarias y las normas de su organización para ayudarle a cumplir los requisitos organizativos, legales y de cumplimiento. Utilice únicamente protocolos con cifrado cuando transmita datos confidenciales fuera de su nube privada virtual (VPC). El cifrado ayuda a mantener la confidencialidad de los datos incluso cuando transitan por redes que no son de confianza.</t>
  </si>
  <si>
    <r>
      <rPr>
        <b/>
        <sz val="11"/>
        <color rgb="FF000000"/>
        <rFont val="Montserrat"/>
      </rPr>
      <t>2025/11/21:</t>
    </r>
    <r>
      <rPr>
        <sz val="11"/>
        <color rgb="FF000000"/>
        <rFont val="Montserrat"/>
      </rPr>
      <t xml:space="preserve">
- Sin balanceadores implementados</t>
    </r>
  </si>
  <si>
    <r>
      <rPr>
        <b/>
        <sz val="11"/>
        <color rgb="FF000000"/>
        <rFont val="Montserrat"/>
      </rPr>
      <t>AAAA/MM/DD:</t>
    </r>
    <r>
      <rPr>
        <sz val="11"/>
        <color rgb="FF000000"/>
        <rFont val="Montserrat"/>
      </rPr>
      <t xml:space="preserve">
-</t>
    </r>
  </si>
  <si>
    <r>
      <rPr>
        <b/>
        <sz val="11"/>
        <color rgb="FF000000"/>
        <rFont val="Montserrat"/>
      </rPr>
      <t>SEC09-BP03</t>
    </r>
    <r>
      <rPr>
        <sz val="11"/>
        <color rgb="FF000000"/>
        <rFont val="Montserrat"/>
      </rPr>
      <t xml:space="preserve"> Autenticar las comunicaciones de red</t>
    </r>
  </si>
  <si>
    <t>Verifique la identidad de las comunicaciones mediante el uso de protocolos que admiten la autenticación, como la seguridad de la capa de transporte (TLS) o IPsec.
Diseñe su carga de trabajo para utilizar protocolos de red seguros y autenticados siempre que haya una comunicación entre servicios, aplicaciones o usuarios. El uso de protocolos de red que admiten autenticación y autorización proporciona un mayor control sobre los flujos de red y reduce la repercusión del acceso no autorizado.</t>
  </si>
  <si>
    <r>
      <rPr>
        <b/>
        <sz val="11"/>
        <color rgb="FF000000"/>
        <rFont val="Montserrat"/>
      </rPr>
      <t>2025/11/21:</t>
    </r>
    <r>
      <rPr>
        <sz val="11"/>
        <color rgb="FF000000"/>
        <rFont val="Montserrat"/>
      </rPr>
      <t xml:space="preserve">
- Sin balanceadores implementados</t>
    </r>
  </si>
  <si>
    <r>
      <rPr>
        <b/>
        <sz val="11"/>
        <color rgb="FF000000"/>
        <rFont val="Montserrat"/>
      </rPr>
      <t>AAAA/MM/DD:</t>
    </r>
    <r>
      <rPr>
        <sz val="11"/>
        <color rgb="FF000000"/>
        <rFont val="Montserrat"/>
      </rPr>
      <t xml:space="preserve">
-</t>
    </r>
  </si>
  <si>
    <t>Respuesta a incidencias
SEC 10. ¿Cómo anticipa, responde y se recupera de los incidentes?</t>
  </si>
  <si>
    <r>
      <rPr>
        <b/>
        <sz val="11"/>
        <color rgb="FF000000"/>
        <rFont val="Montserrat"/>
      </rPr>
      <t>SEC10-BP01</t>
    </r>
    <r>
      <rPr>
        <sz val="11"/>
        <color rgb="FF000000"/>
        <rFont val="Montserrat"/>
      </rPr>
      <t xml:space="preserve"> Identificar personal clave y recursos externos</t>
    </r>
  </si>
  <si>
    <t>Identifique las obligaciones legales, el personal y los recursos internos y externos que puedan ayudar a su organización a responder ante un incidente.</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</si>
  <si>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</si>
  <si>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</si>
  <si>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SEC10-BP02</t>
    </r>
    <r>
      <rPr>
        <sz val="11"/>
        <color rgb="FF000000"/>
        <rFont val="Montserrat"/>
      </rPr>
      <t xml:space="preserve"> Desarrollar planes de gestión de incidentes</t>
    </r>
  </si>
  <si>
    <t>El primer documento que se desarrolla para la respuesta a incidentes es el plan de respuesta a incidentes. El plan de respuesta a incidentes está diseñado para ser la base de su programa y estrategia de respuesta a incidentes.</t>
  </si>
  <si>
    <t>- Respuesta caótica
- Tiempo de recuperación alto
- Daño reputacional
- Pérdidas Financieras</t>
  </si>
  <si>
    <r>
      <rPr>
        <b/>
        <sz val="11"/>
        <color rgb="FF000000"/>
        <rFont val="Montserrat"/>
      </rPr>
      <t>2025/11/21:</t>
    </r>
    <r>
      <rPr>
        <sz val="11"/>
        <color rgb="FF000000"/>
        <rFont val="Montserrat"/>
      </rPr>
      <t xml:space="preserve">
- No se cuenta con Gestión de incidentes procedimientada y/o documentada</t>
    </r>
  </si>
  <si>
    <t>- Realizar procedimiento de Gestión de Incidentes</t>
  </si>
  <si>
    <r>
      <rPr>
        <b/>
        <sz val="11"/>
        <color rgb="FF000000"/>
        <rFont val="Montserrat"/>
      </rPr>
      <t>AAAA/MM/DD:</t>
    </r>
    <r>
      <rPr>
        <sz val="11"/>
        <color rgb="FF000000"/>
        <rFont val="Montserrat"/>
      </rPr>
      <t xml:space="preserve">
-</t>
    </r>
  </si>
  <si>
    <r>
      <rPr>
        <b/>
        <sz val="11"/>
        <color rgb="FF000000"/>
        <rFont val="Montserrat"/>
      </rPr>
      <t>SEC10-BP03</t>
    </r>
    <r>
      <rPr>
        <sz val="11"/>
        <color rgb="FF000000"/>
        <rFont val="Montserrat"/>
      </rPr>
      <t xml:space="preserve"> Preparar capacidades forenses</t>
    </r>
  </si>
  <si>
    <t>Antes de que se produzca un incidente de seguridad, considere la posibilidad de desarrollar capacidades forenses que lo ayuden a investigar los eventos de seguridad.</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</si>
  <si>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</si>
  <si>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</si>
  <si>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SEC10-BP04</t>
    </r>
    <r>
      <rPr>
        <sz val="11"/>
        <color rgb="FF000000"/>
        <rFont val="Montserrat"/>
      </rPr>
      <t xml:space="preserve"> Desarrollar y probar libros de jugadas de respuesta a incidentes de seguridad</t>
    </r>
  </si>
  <si>
    <t>Una parte esencial de la preparación de los procesos de respuesta a incidentes consiste en desarrollar manuales de estrategias. Los manuales de estrategias de respuesta a incidentes ofrecen directrices y pasos prescriptivos que deben seguirse cuando se produce un evento de seguridad. Contar con una estructura y unos pasos claros simplifica la respuesta y reduce la probabilidad de que se produzcan errores humanos.</t>
  </si>
  <si>
    <r>
      <rPr>
        <b/>
        <sz val="11"/>
        <color rgb="FF000000"/>
        <rFont val="Montserrat"/>
      </rPr>
      <t>2025/11/21:</t>
    </r>
    <r>
      <rPr>
        <sz val="11"/>
        <color rgb="FF000000"/>
        <rFont val="Montserrat"/>
      </rPr>
      <t xml:space="preserve">
- No se cuenta con Gestión de incidentes procedimientada y/o documentada</t>
    </r>
  </si>
  <si>
    <r>
      <rPr>
        <b/>
        <sz val="11"/>
        <color rgb="FF000000"/>
        <rFont val="Montserrat"/>
      </rPr>
      <t>AAAA/MM/DD:</t>
    </r>
    <r>
      <rPr>
        <sz val="11"/>
        <color rgb="FF000000"/>
        <rFont val="Montserrat"/>
      </rPr>
      <t xml:space="preserve">
-</t>
    </r>
  </si>
  <si>
    <r>
      <rPr>
        <b/>
        <sz val="11"/>
        <color rgb="FF000000"/>
        <rFont val="Montserrat"/>
      </rPr>
      <t>SEC10-BP05</t>
    </r>
    <r>
      <rPr>
        <sz val="11"/>
        <color rgb="FF000000"/>
        <rFont val="Montserrat"/>
      </rPr>
      <t xml:space="preserve"> Acceso previo a la provisión</t>
    </r>
  </si>
  <si>
    <t>Verifique que haya aprovisionado previamente el acceso correcto a los equipos de intervención de incidentes en AWS para reducir el tiempo necesario de investigación hasta la recuperación.</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</si>
  <si>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</si>
  <si>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</si>
  <si>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SEC10-BP06</t>
    </r>
    <r>
      <rPr>
        <sz val="11"/>
        <color rgb="FF000000"/>
        <rFont val="Montserrat"/>
      </rPr>
      <t xml:space="preserve"> Herramientas de implementación previa</t>
    </r>
  </si>
  <si>
    <t>Asegúrese de que el personal de seguridad implementa las herramientas correctas con anticipación para reducir el plazo de investigación hasta conseguir la recuperación.</t>
  </si>
  <si>
    <t>- Tiempo de respuesta alto
- Análisis básico únicamente
- Respuesta manual:
- Investigación deficiente</t>
  </si>
  <si>
    <r>
      <rPr>
        <b/>
        <sz val="11"/>
        <color rgb="FF000000"/>
        <rFont val="Montserrat"/>
      </rPr>
      <t>2025/11/21:</t>
    </r>
    <r>
      <rPr>
        <sz val="11"/>
        <color rgb="FF000000"/>
        <rFont val="Montserrat"/>
      </rPr>
      <t xml:space="preserve">
CloudWatch Alarms: 4 alarmas básicas configuradas
SNS Topics: Notificaciones básicas
GuardDuty: NO DESPLEGADO
Security Hub: NO CONFIGURADO
Detective: NO HABILITADO
Config: NO IMPLEMENTADO
Macie: NO HABILITADO</t>
    </r>
  </si>
  <si>
    <t xml:space="preserve">Desplegar herramientas básicas
   - Habilitar GuardDuty en todas las regiones
   - Configurar Security Hub como hub central
   - Implementar Detective para análisis
   - Configurar Config para compliance
</t>
  </si>
  <si>
    <r>
      <rPr>
        <b/>
        <sz val="11"/>
        <color rgb="FF000000"/>
        <rFont val="Montserrat"/>
      </rPr>
      <t>AAAA/MM/DD:</t>
    </r>
    <r>
      <rPr>
        <sz val="11"/>
        <color rgb="FF000000"/>
        <rFont val="Montserrat"/>
      </rPr>
      <t xml:space="preserve">
-</t>
    </r>
  </si>
  <si>
    <r>
      <rPr>
        <b/>
        <sz val="11"/>
        <color rgb="FF000000"/>
        <rFont val="Montserrat"/>
      </rPr>
      <t>SEC10-BP07</t>
    </r>
    <r>
      <rPr>
        <sz val="11"/>
        <color rgb="FF000000"/>
        <rFont val="Montserrat"/>
      </rPr>
      <t xml:space="preserve"> Ejecutar simulaciones</t>
    </r>
  </si>
  <si>
    <t>Las organizaciones crecen y evolucionan con el tiempo, pero también las amenazas, por lo que es importante que revise continuamente sus capacidades de respuesta a los incidentes. Ejecutar simulaciones (también conocidas como días de juego) es un buen método para llevar a cabo esta evaluación. En las simulaciones, se utilizan escenarios de eventos de seguridad reales diseñados para imitar las tácticas, técnicas y procedimientos (TTP) del actor de una amenaza y permiten a la organización probar y evaluar sus capacidades de respuesta a los incidentes respondiendo a estos simulacros de ataques cibernéticos tal y como podría ocurrir en la realidad.</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</si>
  <si>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</si>
  <si>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</si>
  <si>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SEC10-BP08</t>
    </r>
    <r>
      <rPr>
        <sz val="11"/>
        <color rgb="FF000000"/>
        <rFont val="Montserrat"/>
      </rPr>
      <t xml:space="preserve"> Establecer un marco para aprender de los incidentes</t>
    </r>
  </si>
  <si>
    <t>La implementación de un marco de trabajo sobre las lecciones aprendidas y una funcionalidad de análisis de la causa raíz no solo puede ayudar a mejorar las capacidades de respuesta a los incidentes, sino también a evitar que el incidente se repita. Al aprender de cada incidente, puede ayudar a evitar que se repitan los mismos errores, exposiciones o configuraciones incorrectas, lo que no solo mejorará el nivel de seguridad, sino también minimizará el tiempo que se pierde en situaciones evitables.</t>
  </si>
  <si>
    <t>El no implementar un marco de aprendizaje post-incidente (Root Cause Analysis) condena a la organización a repetir las mismas brechas de seguridad y errores de configuración, impidiendo la mejora continua del nivel de madurez y la postura de seguridad.</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</si>
  <si>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</si>
  <si>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</si>
  <si>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t>Seguridad de aplicaciónes
SEC 11. ¿Cómo incorpora y valida las propiedades de seguridad de las aplicaciones a lo largo del ciclo de vida de diseño, desarrollo e implementación?</t>
  </si>
  <si>
    <r>
      <rPr>
        <b/>
        <sz val="11"/>
        <color rgb="FF000000"/>
        <rFont val="Montserrat"/>
      </rPr>
      <t>SEC11-BP01</t>
    </r>
    <r>
      <rPr>
        <sz val="11"/>
        <color rgb="FF000000"/>
        <rFont val="Montserrat"/>
      </rPr>
      <t xml:space="preserve"> Tren para seguridad de aplicaciones</t>
    </r>
  </si>
  <si>
    <t>Forme a su equipo en prácticas de desarrollo y funcionamiento seguros, lo que los ayudará a crear software seguro y de alta calidad. Esta práctica ayuda a su equipo a prevenir, detectar y solucionar los problemas de seguridad en una fase temprana del ciclo de vida del desarrollo. Puede plantearse impartir formación sobre el modelado de amenazas, las prácticas de codificación segura y el uso de servicios para una configuración y funcionamiento seguros. Proporcione a su equipo acceso a la formación mediante recursos de autoservicio y recopile periódicamente sus comentarios para mejorar continuamente.</t>
  </si>
  <si>
    <t>El no proveer entrenamiento continuo en seguridad para el equipo de desarrollo conlleva la introducción constante de vulnerabilidades de código comunes (ej. XSS, Inyección SQL) en las aplicaciones, obligando a costosas correcciones tardías y exponiendo a los usuarios a riesgos directos.</t>
  </si>
  <si>
    <r>
      <rPr>
        <b/>
        <sz val="11"/>
        <color rgb="FF000000"/>
        <rFont val="Montserrat"/>
      </rPr>
      <t>2025/11/21:</t>
    </r>
    <r>
      <rPr>
        <sz val="11"/>
        <color rgb="FF000000"/>
        <rFont val="Montserrat"/>
      </rPr>
      <t xml:space="preserve">
- ESPERAR RESPUESTA A PREGUNTAS</t>
    </r>
  </si>
  <si>
    <r>
      <rPr>
        <b/>
        <sz val="11"/>
        <color rgb="FF000000"/>
        <rFont val="Montserrat"/>
      </rPr>
      <t>AAAA/MM/DD:</t>
    </r>
    <r>
      <rPr>
        <sz val="11"/>
        <color rgb="FF000000"/>
        <rFont val="Montserrat"/>
      </rPr>
      <t xml:space="preserve">
-</t>
    </r>
  </si>
  <si>
    <r>
      <rPr>
        <b/>
        <sz val="11"/>
        <color rgb="FF000000"/>
        <rFont val="Montserrat"/>
      </rPr>
      <t>SEC11-BP02</t>
    </r>
    <r>
      <rPr>
        <sz val="11"/>
        <color rgb="FF000000"/>
        <rFont val="Montserrat"/>
      </rPr>
      <t xml:space="preserve"> Automatice las pruebas a lo largo del ciclo de vida de desarrollo y lanzamiento</t>
    </r>
  </si>
  <si>
    <t>Automatice las pruebas de las propiedades de seguridad a lo largo del ciclo de vida de desarrollo y lanzamiento. La automatización facilita la identificación coherente y repetible de posibles problemas en el software antes de su lanzamiento, lo que reduce el riesgo de problemas de seguridad en el software suministrado.</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</si>
  <si>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</si>
  <si>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</si>
  <si>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SEC11-BP03</t>
    </r>
    <r>
      <rPr>
        <sz val="11"/>
        <color rgb="FF000000"/>
        <rFont val="Montserrat"/>
      </rPr>
      <t xml:space="preserve"> Realizar pruebas de penetración regulares</t>
    </r>
  </si>
  <si>
    <t>Lleve a cabo pruebas de penetración periódicas de su software. Este mecanismo ayuda a identificar posibles problemas de software que no pueden detectarse mediante pruebas automatizadas o una revisión manual del código. También puede ayudarle a comprender la eficacia de sus controles de detección. Las pruebas de penetración deben tratar de determinar si se puede hacer que el software lleve a cabo operaciones inesperadas, como exponer datos que deberían estar protegidos o conceder permisos más amplios de lo esperado.</t>
  </si>
  <si>
    <r>
      <rPr>
        <b/>
        <sz val="11"/>
        <color rgb="FF000000"/>
        <rFont val="Montserrat"/>
      </rPr>
      <t>2025/11/21:</t>
    </r>
    <r>
      <rPr>
        <sz val="11"/>
        <color rgb="FF000000"/>
        <rFont val="Montserrat"/>
      </rPr>
      <t xml:space="preserve">
-</t>
    </r>
  </si>
  <si>
    <r>
      <rPr>
        <b/>
        <sz val="11"/>
        <color rgb="FF000000"/>
        <rFont val="Montserrat"/>
      </rPr>
      <t>AAAA/MM/DD:</t>
    </r>
    <r>
      <rPr>
        <sz val="11"/>
        <color rgb="FF000000"/>
        <rFont val="Montserrat"/>
      </rPr>
      <t xml:space="preserve">
-</t>
    </r>
  </si>
  <si>
    <r>
      <rPr>
        <b/>
        <sz val="11"/>
        <color rgb="FF000000"/>
        <rFont val="Montserrat"/>
      </rPr>
      <t>SEC11-BP04</t>
    </r>
    <r>
      <rPr>
        <sz val="11"/>
        <color rgb="FF000000"/>
        <rFont val="Montserrat"/>
      </rPr>
      <t xml:space="preserve"> Realizar revisiones de código</t>
    </r>
  </si>
  <si>
    <t>Implemente revisiones de código para ayudar a verificar la calidad y la seguridad del software que se está desarrollando. En las revisiones del código, otros miembros del equipo, además del autor del código original, revisan el código para detectar posibles problemas o vulnerabilidades y comprobar que cumpla con los estándares y las prácticas recomendadas de codificación. Este proceso ayuda a detectar errores, incoherencias y fallos de seguridad que el desarrollador original podría haber pasado por alto. Use herramientas automatizadas para que lo ayuden con las revisiones del código.</t>
  </si>
  <si>
    <t>El no implementar revisiones de código de seguridad rigurosas y por pares permite que las vulnerabilidades y fallos de lógica de negocio permanezcan en el código, ocasionando que bugs de seguridad se acumulen y se descubran solo cuando un atacante los explota activamente.</t>
  </si>
  <si>
    <r>
      <rPr>
        <b/>
        <sz val="11"/>
        <color rgb="FF000000"/>
        <rFont val="Montserrat"/>
      </rPr>
      <t>2025/11/21:</t>
    </r>
    <r>
      <rPr>
        <sz val="11"/>
        <color rgb="FF000000"/>
        <rFont val="Montserrat"/>
      </rPr>
      <t xml:space="preserve">
- ESPERAR RESPUESTA A PREGUNTAS</t>
    </r>
  </si>
  <si>
    <r>
      <rPr>
        <b/>
        <sz val="11"/>
        <color rgb="FF000000"/>
        <rFont val="Montserrat"/>
      </rPr>
      <t>AAAA/MM/DD:</t>
    </r>
    <r>
      <rPr>
        <sz val="11"/>
        <color rgb="FF000000"/>
        <rFont val="Montserrat"/>
      </rPr>
      <t xml:space="preserve">
-</t>
    </r>
  </si>
  <si>
    <r>
      <rPr>
        <b/>
        <sz val="11"/>
        <color rgb="FF000000"/>
        <rFont val="Montserrat"/>
      </rPr>
      <t>SEC11-BP05</t>
    </r>
    <r>
      <rPr>
        <sz val="11"/>
        <color rgb="FF000000"/>
        <rFont val="Montserrat"/>
      </rPr>
      <t xml:space="preserve"> Centralizar servicios para paquetes y dependencias</t>
    </r>
  </si>
  <si>
    <t>Proporcione servicios centralizados para que sus equipos obtengan paquetes de software y otras dependencias. De este modo, se podrán validar los paquetes antes de incluirlos en el software que escriba y se dispondrá de un origen de datos para el análisis del software que se utiliza en su organización.</t>
  </si>
  <si>
    <t>El no utilizar repositorios centralizados y validados para paquetes y dependencias expone al código a usar librerías de terceros con vulnerabilidades críticas (Log4j, etc.), introduciendo riesgos de Supply Chain Attack sin tener un origen confiable de los componentes.</t>
  </si>
  <si>
    <r>
      <rPr>
        <b/>
        <sz val="11"/>
        <color rgb="FF000000"/>
        <rFont val="Montserrat"/>
      </rPr>
      <t>2025/11/21:</t>
    </r>
    <r>
      <rPr>
        <sz val="11"/>
        <color rgb="FF000000"/>
        <rFont val="Montserrat"/>
      </rPr>
      <t xml:space="preserve">
- ESPERAR RESPUESTA A PREGUNTAS</t>
    </r>
  </si>
  <si>
    <r>
      <rPr>
        <b/>
        <sz val="11"/>
        <color rgb="FF000000"/>
        <rFont val="Montserrat"/>
      </rPr>
      <t>AAAA/MM/DD:</t>
    </r>
    <r>
      <rPr>
        <sz val="11"/>
        <color rgb="FF000000"/>
        <rFont val="Montserrat"/>
      </rPr>
      <t xml:space="preserve">
-</t>
    </r>
  </si>
  <si>
    <r>
      <rPr>
        <b/>
        <sz val="11"/>
        <color rgb="FF000000"/>
        <rFont val="Montserrat"/>
      </rPr>
      <t>SEC11-BP06</t>
    </r>
    <r>
      <rPr>
        <sz val="11"/>
        <color rgb="FF000000"/>
        <rFont val="Montserrat"/>
      </rPr>
      <t xml:space="preserve"> Implementar software programáticamente</t>
    </r>
  </si>
  <si>
    <t>Siempre que sea posible, lleve a cabo las implementaciones de software mediante programación. Con este enfoque se reduce la probabilidad de que se produzca un error en la implementación o de que surja un problema inesperado debido a un error humano.</t>
  </si>
  <si>
    <t>El no enfocarse en reducir la probabilidad de errores de programación en el software mediante prácticas de programación defensiva resulta en la introducción de bugs que pueden causar fallas de seguridad inesperadas o problemas de estabilidad, impactando la confiabilidad y la seguridad del sistema.</t>
  </si>
  <si>
    <r>
      <rPr>
        <b/>
        <sz val="11"/>
        <color rgb="FF000000"/>
        <rFont val="Montserrat"/>
      </rPr>
      <t>2025/11/21:</t>
    </r>
    <r>
      <rPr>
        <sz val="11"/>
        <color rgb="FF000000"/>
        <rFont val="Montserrat"/>
      </rPr>
      <t xml:space="preserve">
- ESPERAR RESPUESTA A PREGUNTAS</t>
    </r>
  </si>
  <si>
    <r>
      <rPr>
        <b/>
        <sz val="11"/>
        <color rgb="FF000000"/>
        <rFont val="Montserrat"/>
      </rPr>
      <t>AAAA/MM/DD:</t>
    </r>
    <r>
      <rPr>
        <sz val="11"/>
        <color rgb="FF000000"/>
        <rFont val="Montserrat"/>
      </rPr>
      <t xml:space="preserve">
-</t>
    </r>
  </si>
  <si>
    <r>
      <rPr>
        <b/>
        <sz val="11"/>
        <color rgb="FF000000"/>
        <rFont val="Montserrat"/>
      </rPr>
      <t>SEC11-BP07</t>
    </r>
    <r>
      <rPr>
        <sz val="11"/>
        <color rgb="FF000000"/>
        <rFont val="Montserrat"/>
      </rPr>
      <t xml:space="preserve"> Evalúa regularmente las propiedades de seguridad de las tuberías</t>
    </r>
  </si>
  <si>
    <t>Aplique los principios del pilar de seguridad de Well-Architected a sus canalizaciones y preste especial atención a la separación de permisos. Evalúe periódicamente las propiedades de seguridad de su infraestructura de canalización. La administración eficaz de la seguridad de las canalizaciones le permite garantizar la seguridad del software que pasa por ellas.</t>
  </si>
  <si>
    <r>
      <rPr>
        <b/>
        <sz val="11"/>
        <color rgb="FF000000"/>
        <rFont val="Montserrat"/>
      </rPr>
      <t>2025/11/21:</t>
    </r>
    <r>
      <rPr>
        <sz val="11"/>
        <color rgb="FF000000"/>
        <rFont val="Montserrat"/>
      </rPr>
      <t xml:space="preserve">
- Toda la gestión de seguridad de red es manual</t>
    </r>
  </si>
  <si>
    <r>
      <rPr>
        <b/>
        <sz val="11"/>
        <color rgb="FF000000"/>
        <rFont val="Montserrat"/>
      </rPr>
      <t>AAAA/MM/DD:</t>
    </r>
    <r>
      <rPr>
        <sz val="11"/>
        <color rgb="FF000000"/>
        <rFont val="Montserrat"/>
      </rPr>
      <t xml:space="preserve">
-</t>
    </r>
  </si>
  <si>
    <r>
      <rPr>
        <b/>
        <sz val="11"/>
        <color rgb="FF000000"/>
        <rFont val="Montserrat"/>
      </rPr>
      <t>SEC11-BP08</t>
    </r>
    <r>
      <rPr>
        <sz val="11"/>
        <color rgb="FF000000"/>
        <rFont val="Montserrat"/>
      </rPr>
      <t xml:space="preserve"> Cree un programa que incorpore la propiedad de seguridad en los equipos de carga de trabajo</t>
    </r>
  </si>
  <si>
    <t>Elabore un programa o un mecanismo que permita a los equipos de creadores tomar decisiones de seguridad sobre el software que crean. Aun así, su equipo de seguridad debe validar estas decisiones durante una revisión, pero integrar la propiedad de la seguridad en los equipos de creadores permite crear cargas de trabajo más rápidas y seguras. Este mecanismo también fomenta una cultura de propiedad que repercute positivamente en el funcionamiento de los sistemas que se crean.</t>
  </si>
  <si>
    <t>El no establecer un mecanismo que incorpore la propiedad de las decisiones de seguridad en los equipos creadores impide el escalamiento rápido de la seguridad y el desarrollo ágil, frenando la integración de nuevas medidas y manteniendo una cultura donde la seguridad es responsabilidad exclusiva de un tercero.</t>
  </si>
  <si>
    <r>
      <rPr>
        <b/>
        <sz val="11"/>
        <color rgb="FF000000"/>
        <rFont val="Montserrat"/>
      </rPr>
      <t>2025/11/21:</t>
    </r>
    <r>
      <rPr>
        <sz val="11"/>
        <color rgb="FF000000"/>
        <rFont val="Montserrat"/>
      </rPr>
      <t xml:space="preserve">
- ESPERAR RESPUESTA A PREGUNTAS</t>
    </r>
  </si>
  <si>
    <r>
      <rPr>
        <b/>
        <sz val="11"/>
        <color rgb="FF000000"/>
        <rFont val="Montserrat"/>
      </rPr>
      <t>AAAA/MM/DD:</t>
    </r>
    <r>
      <rPr>
        <sz val="11"/>
        <color rgb="FF000000"/>
        <rFont val="Montserrat"/>
      </rPr>
      <t xml:space="preserve">
-</t>
    </r>
  </si>
  <si>
    <t>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</si>
</sst>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9" x14ac:knownFonts="1">
    <font>
      <sz val="10"/>
      <color rgb="FF000000"/>
      <name val="Arial"/>
      <scheme val="minor"/>
    </font>
    <font>
      <b/>
      <sz val="11"/>
      <color rgb="FFFFFFFF"/>
      <name val="Montserrat"/>
    </font>
    <font>
      <sz val="11"/>
      <color rgb="FF000000"/>
      <name val="Montserrat"/>
    </font>
    <font>
      <sz val="11"/>
      <color theme="1"/>
      <name val="Montserrat"/>
    </font>
    <font>
      <b/>
      <i/>
      <sz val="11"/>
      <color rgb="FF000000"/>
      <name val="Montserrat"/>
    </font>
    <font>
      <sz val="10"/>
      <color theme="1"/>
      <name val="Montserrat"/>
    </font>
    <font>
      <sz val="10"/>
      <color theme="1"/>
      <name val="Arial"/>
      <scheme val="minor"/>
    </font>
    <font>
      <b/>
      <sz val="16"/>
      <color rgb="FFFFFFFF"/>
      <name val="Montserrat"/>
    </font>
    <font>
      <b/>
      <sz val="11"/>
      <color rgb="FF000000"/>
      <name val="Montserrat"/>
    </font>
  </fonts>
  <fills count="4">
    <fill>
      <patternFill patternType="none"/>
    </fill>
    <fill>
      <patternFill patternType="gray125"/>
    </fill>
    <fill>
      <patternFill patternType="solid">
        <fgColor rgb="FF253B5C"/>
        <bgColor rgb="FF253B5C"/>
      </patternFill>
    </fill>
    <fill>
      <patternFill patternType="solid">
        <fgColor rgb="FFFFFFFF"/>
        <bgColor rgb="FFFFFFFF"/>
      </patternFill>
    </fill>
  </fills>
  <borders count="11">
    <border>
      <left/>
      <right/>
      <top/>
      <bottom/>
      <diagonal/>
    </border>
    <border>
      <left style="thin">
        <color rgb="FFFFFFFF"/>
      </left>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EFEFEF"/>
      </left>
      <right/>
      <top style="thin">
        <color rgb="FFEFEFEF"/>
      </top>
      <bottom style="thin">
        <color rgb="FFEFEFEF"/>
      </bottom>
      <diagonal/>
    </border>
    <border>
      <left/>
      <right style="thin">
        <color rgb="FFEFEFEF"/>
      </right>
      <top style="thin">
        <color rgb="FFEFEFEF"/>
      </top>
      <bottom style="thin">
        <color rgb="FFEFEFEF"/>
      </bottom>
      <diagonal/>
    </border>
    <border>
      <left style="thin">
        <color rgb="FFEFEFEF"/>
      </left>
      <right style="thin">
        <color rgb="FFEFEFEF"/>
      </right>
      <top style="thin">
        <color rgb="FFEFEFEF"/>
      </top>
      <bottom style="thin">
        <color rgb="FFEFEFEF"/>
      </bottom>
      <diagonal/>
    </border>
    <border>
      <left style="thin">
        <color rgb="FFEFEFEF"/>
      </left>
      <right style="thin">
        <color rgb="FFEFEFEF"/>
      </right>
      <top style="thin">
        <color rgb="FFEFEFEF"/>
      </top>
      <bottom/>
      <diagonal/>
    </border>
    <border>
      <left style="thin">
        <color rgb="FFEFEFEF"/>
      </left>
      <right/>
      <top style="thin">
        <color rgb="FFEFEFEF"/>
      </top>
      <bottom/>
      <diagonal/>
    </border>
    <border>
      <left/>
      <right/>
      <top style="thin">
        <color rgb="FFEFEFEF"/>
      </top>
      <bottom/>
      <diagonal/>
    </border>
    <border>
      <left style="thin">
        <color rgb="FFFFFFFF"/>
      </left>
      <right/>
      <top/>
      <bottom/>
      <diagonal/>
    </border>
  </borders>
  <cellStyleXfs count="1">
    <xf numFmtId="0" fontId="0" fillId="0" borderId="0"/>
  </cellStyleXfs>
  <cellXfs count="36">
    <xf numFmtId="0" fontId="0" fillId="0" borderId="0" xfId="0"/>
    <xf numFmtId="0" fontId="1" fillId="2" borderId="3" xfId="0" applyFont="1" applyFill="1" applyBorder="1" applyAlignment="1">
      <alignment horizontal="center" vertical="center" wrapText="1"/>
    </xf>
    <xf numFmtId="10"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horizontal="left" vertical="center" wrapText="1"/>
    </xf>
    <xf numFmtId="164" fontId="1" fillId="2" borderId="2" xfId="0" applyNumberFormat="1" applyFont="1" applyFill="1" applyBorder="1" applyAlignment="1">
      <alignment horizontal="center" vertical="center" wrapText="1"/>
    </xf>
    <xf numFmtId="0" fontId="2" fillId="3" borderId="6" xfId="0" applyFont="1" applyFill="1" applyBorder="1" applyAlignment="1">
      <alignment horizontal="left" vertical="center" wrapText="1"/>
    </xf>
    <xf numFmtId="0" fontId="2" fillId="3" borderId="6"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6" xfId="0" applyFont="1" applyFill="1" applyBorder="1" applyAlignment="1">
      <alignment horizontal="left" vertical="center" wrapText="1"/>
    </xf>
    <xf numFmtId="0" fontId="4" fillId="3" borderId="6" xfId="0" applyFont="1" applyFill="1" applyBorder="1" applyAlignment="1">
      <alignment horizontal="center" vertical="center" wrapText="1"/>
    </xf>
    <xf numFmtId="164" fontId="4" fillId="3" borderId="6" xfId="0" applyNumberFormat="1" applyFont="1" applyFill="1" applyBorder="1" applyAlignment="1">
      <alignment horizontal="center" vertical="center" wrapText="1"/>
    </xf>
    <xf numFmtId="164" fontId="4" fillId="3"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3" fontId="4" fillId="3" borderId="0" xfId="0" applyNumberFormat="1" applyFont="1" applyFill="1" applyAlignment="1">
      <alignment horizontal="center" vertical="center" wrapText="1"/>
    </xf>
    <xf numFmtId="164" fontId="5" fillId="0" borderId="0" xfId="0" applyNumberFormat="1" applyFont="1" applyAlignment="1">
      <alignment horizontal="center" vertical="center" wrapText="1"/>
    </xf>
    <xf numFmtId="164" fontId="4" fillId="3" borderId="0" xfId="0" applyNumberFormat="1" applyFont="1" applyFill="1" applyAlignment="1">
      <alignment horizontal="center" vertical="center" wrapText="1"/>
    </xf>
    <xf numFmtId="165" fontId="4" fillId="3" borderId="0" xfId="0" applyNumberFormat="1" applyFont="1" applyFill="1" applyAlignment="1">
      <alignment horizontal="center" vertical="center" wrapText="1"/>
    </xf>
    <xf numFmtId="0" fontId="2" fillId="3" borderId="5" xfId="0" applyFont="1" applyFill="1" applyBorder="1" applyAlignment="1">
      <alignment horizontal="center" vertical="center"/>
    </xf>
    <xf numFmtId="0" fontId="2" fillId="3" borderId="7" xfId="0" applyFont="1" applyFill="1" applyBorder="1" applyAlignment="1">
      <alignment horizontal="left" vertical="center" wrapText="1"/>
    </xf>
    <xf numFmtId="0" fontId="4" fillId="3" borderId="4" xfId="0" applyFont="1" applyFill="1" applyBorder="1" applyAlignment="1">
      <alignment horizontal="center" vertical="center" wrapText="1"/>
    </xf>
    <xf numFmtId="164" fontId="4" fillId="3" borderId="8" xfId="0" applyNumberFormat="1" applyFont="1" applyFill="1" applyBorder="1" applyAlignment="1">
      <alignment horizontal="center" vertical="center" wrapText="1"/>
    </xf>
    <xf numFmtId="164" fontId="4" fillId="3" borderId="9"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3" fillId="0" borderId="6" xfId="0" applyFont="1" applyBorder="1" applyAlignment="1">
      <alignment horizontal="center" vertical="center"/>
    </xf>
    <xf numFmtId="0" fontId="3" fillId="3" borderId="6" xfId="0" applyFont="1" applyFill="1" applyBorder="1" applyAlignment="1">
      <alignment horizontal="center" vertical="center"/>
    </xf>
    <xf numFmtId="0" fontId="6" fillId="0" borderId="0" xfId="0" applyFont="1"/>
    <xf numFmtId="0" fontId="3" fillId="3" borderId="6" xfId="0" applyFont="1" applyFill="1" applyBorder="1" applyAlignment="1">
      <alignment horizontal="center" wrapText="1"/>
    </xf>
    <xf numFmtId="0" fontId="2" fillId="0" borderId="6" xfId="0" applyFont="1" applyBorder="1" applyAlignment="1">
      <alignment horizontal="left" vertical="center" wrapText="1"/>
    </xf>
    <xf numFmtId="0" fontId="3" fillId="3" borderId="6" xfId="0" applyFont="1" applyFill="1" applyBorder="1" applyAlignment="1">
      <alignment horizontal="center"/>
    </xf>
    <xf numFmtId="0" fontId="2" fillId="3" borderId="4" xfId="0" applyFont="1" applyFill="1" applyBorder="1" applyAlignment="1">
      <alignment vertical="center" wrapText="1"/>
    </xf>
    <xf numFmtId="0" fontId="1" fillId="2" borderId="1" xfId="0" applyFont="1" applyFill="1" applyBorder="1" applyAlignment="1">
      <alignment vertical="center" wrapText="1"/>
    </xf>
    <xf numFmtId="0" fontId="7" fillId="2" borderId="10" xfId="0" applyFont="1" applyFill="1" applyBorder="1" applyAlignment="1">
      <alignment vertical="center" wrapText="1"/>
    </xf>
    <xf numFmtId="0" fontId="2" fillId="3" borderId="0" xfId="0" applyFont="1" applyFill="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aws.amazon.com/en_us/wellarchitected/latest/framework/sec_permissions_share_securely_third_party.html" TargetMode="External"/><Relationship Id="rId21" Type="http://schemas.openxmlformats.org/officeDocument/2006/relationships/hyperlink" Target="https://docs.aws.amazon.com/en_us/wellarchitected/latest/framework/sec_permissions_continuous_reduction.html" TargetMode="External"/><Relationship Id="rId42" Type="http://schemas.openxmlformats.org/officeDocument/2006/relationships/hyperlink" Target="https://docs.aws.amazon.com/en_us/wellarchitected/latest/framework/sec_protect_compute_auto_protection.html" TargetMode="External"/><Relationship Id="rId47" Type="http://schemas.openxmlformats.org/officeDocument/2006/relationships/hyperlink" Target="https://docs.aws.amazon.com/en_us/wellarchitected/latest/framework/sec_data_classification_lifecycle_management.html" TargetMode="External"/><Relationship Id="rId63" Type="http://schemas.openxmlformats.org/officeDocument/2006/relationships/hyperlink" Target="https://docs.aws.amazon.com/en_us/wellarchitected/latest/framework/sec_incident_response_pre_deploy_tools.html" TargetMode="External"/><Relationship Id="rId68" Type="http://schemas.openxmlformats.org/officeDocument/2006/relationships/hyperlink" Target="https://docs.aws.amazon.com/en_us/wellarchitected/latest/framework/sec_appsec_automate_testing_throughout_lifecycle.html" TargetMode="External"/><Relationship Id="rId2" Type="http://schemas.openxmlformats.org/officeDocument/2006/relationships/hyperlink" Target="https://docs.aws.amazon.com/en_us/wellarchitected/latest/framework/sec_securely_operate_multi_accounts.html" TargetMode="External"/><Relationship Id="rId16" Type="http://schemas.openxmlformats.org/officeDocument/2006/relationships/hyperlink" Target="https://docs.aws.amazon.com/en_us/wellarchitected/latest/framework/sec_identities_groups_attributes.html" TargetMode="External"/><Relationship Id="rId29" Type="http://schemas.openxmlformats.org/officeDocument/2006/relationships/hyperlink" Target="https://docs.aws.amazon.com/en_us/wellarchitected/latest/framework/sec_detect_investigate_events_logs.html" TargetMode="External"/><Relationship Id="rId11" Type="http://schemas.openxmlformats.org/officeDocument/2006/relationships/hyperlink" Target="https://docs.aws.amazon.com/en_us/wellarchitected/latest/framework/sec_identities_enforce_mechanisms.html" TargetMode="External"/><Relationship Id="rId24" Type="http://schemas.openxmlformats.org/officeDocument/2006/relationships/hyperlink" Target="https://docs.aws.amazon.com/en_us/wellarchitected/latest/framework/sec_permissions_analyze_cross_account.html" TargetMode="External"/><Relationship Id="rId32" Type="http://schemas.openxmlformats.org/officeDocument/2006/relationships/hyperlink" Target="https://docs.aws.amazon.com/en_us/wellarchitected/latest/framework/sec-05.html" TargetMode="External"/><Relationship Id="rId37" Type="http://schemas.openxmlformats.org/officeDocument/2006/relationships/hyperlink" Target="https://docs.aws.amazon.com/en_us/wellarchitected/latest/framework/sec-06.html" TargetMode="External"/><Relationship Id="rId40" Type="http://schemas.openxmlformats.org/officeDocument/2006/relationships/hyperlink" Target="https://docs.aws.amazon.com/en_us/wellarchitected/latest/framework/sec_protect_compute_reduce_manual_management.html" TargetMode="External"/><Relationship Id="rId45" Type="http://schemas.openxmlformats.org/officeDocument/2006/relationships/hyperlink" Target="https://docs.aws.amazon.com/en_us/wellarchitected/latest/framework/sec_data_classification_define_protection.html" TargetMode="External"/><Relationship Id="rId53" Type="http://schemas.openxmlformats.org/officeDocument/2006/relationships/hyperlink" Target="https://docs.aws.amazon.com/en_us/wellarchitected/latest/framework/sec-08.html" TargetMode="External"/><Relationship Id="rId58" Type="http://schemas.openxmlformats.org/officeDocument/2006/relationships/hyperlink" Target="https://docs.aws.amazon.com/en_us/wellarchitected/latest/framework/sec_incident_response_identify_personnel.html" TargetMode="External"/><Relationship Id="rId66" Type="http://schemas.openxmlformats.org/officeDocument/2006/relationships/hyperlink" Target="https://docs.aws.amazon.com/en_us/wellarchitected/latest/framework/sec-11.html" TargetMode="External"/><Relationship Id="rId74" Type="http://schemas.openxmlformats.org/officeDocument/2006/relationships/hyperlink" Target="https://docs.aws.amazon.com/en_us/wellarchitected/latest/framework/sec_appsec_build_program_that_embeds_security_ownership_in_teams.html" TargetMode="External"/><Relationship Id="rId5" Type="http://schemas.openxmlformats.org/officeDocument/2006/relationships/hyperlink" Target="https://docs.aws.amazon.com/en_us/wellarchitected/latest/framework/sec_securely_operate_updated_threats.html" TargetMode="External"/><Relationship Id="rId61" Type="http://schemas.openxmlformats.org/officeDocument/2006/relationships/hyperlink" Target="https://docs.aws.amazon.com/en_us/wellarchitected/latest/framework/sec_incident_response_playbooks.html" TargetMode="External"/><Relationship Id="rId19" Type="http://schemas.openxmlformats.org/officeDocument/2006/relationships/hyperlink" Target="https://docs.aws.amazon.com/en_us/wellarchitected/latest/framework/sec_permissions_least_privileges.html" TargetMode="External"/><Relationship Id="rId14" Type="http://schemas.openxmlformats.org/officeDocument/2006/relationships/hyperlink" Target="https://docs.aws.amazon.com/en_us/wellarchitected/latest/framework/sec_identities_identity_provider.html" TargetMode="External"/><Relationship Id="rId22" Type="http://schemas.openxmlformats.org/officeDocument/2006/relationships/hyperlink" Target="https://docs.aws.amazon.com/en_us/wellarchitected/latest/framework/sec_permissions_define_guardrails.html" TargetMode="External"/><Relationship Id="rId27" Type="http://schemas.openxmlformats.org/officeDocument/2006/relationships/hyperlink" Target="https://docs.aws.amazon.com/en_us/wellarchitected/latest/framework/sec-04.html" TargetMode="External"/><Relationship Id="rId30" Type="http://schemas.openxmlformats.org/officeDocument/2006/relationships/hyperlink" Target="https://docs.aws.amazon.com/en_us/wellarchitected/latest/framework/sec_detect_investigate_events_security_alerts.html" TargetMode="External"/><Relationship Id="rId35" Type="http://schemas.openxmlformats.org/officeDocument/2006/relationships/hyperlink" Target="https://docs.aws.amazon.com/en_us/wellarchitected/latest/framework/sec_network_protection_inspection.html" TargetMode="External"/><Relationship Id="rId43" Type="http://schemas.openxmlformats.org/officeDocument/2006/relationships/hyperlink" Target="https://docs.aws.amazon.com/en_us/wellarchitected/latest/framework/sec-07.html" TargetMode="External"/><Relationship Id="rId48" Type="http://schemas.openxmlformats.org/officeDocument/2006/relationships/hyperlink" Target="https://docs.aws.amazon.com/en_us/wellarchitected/latest/framework/sec-07.html" TargetMode="External"/><Relationship Id="rId56" Type="http://schemas.openxmlformats.org/officeDocument/2006/relationships/hyperlink" Target="https://docs.aws.amazon.com/en_us/wellarchitected/latest/framework/sec_protect_data_transit_authentication.html" TargetMode="External"/><Relationship Id="rId64" Type="http://schemas.openxmlformats.org/officeDocument/2006/relationships/hyperlink" Target="https://docs.aws.amazon.com/en_us/wellarchitected/latest/framework/sec_incident_response_run_game_days.html" TargetMode="External"/><Relationship Id="rId69" Type="http://schemas.openxmlformats.org/officeDocument/2006/relationships/hyperlink" Target="https://docs.aws.amazon.com/en_us/wellarchitected/latest/framework/sec_appsec_perform_regular_penetration_testing.html" TargetMode="External"/><Relationship Id="rId8" Type="http://schemas.openxmlformats.org/officeDocument/2006/relationships/hyperlink" Target="https://docs.aws.amazon.com/en_us/wellarchitected/latest/framework/sec_securely_operate_threat_model.html" TargetMode="External"/><Relationship Id="rId51" Type="http://schemas.openxmlformats.org/officeDocument/2006/relationships/hyperlink" Target="https://docs.aws.amazon.com/en_us/wellarchitected/latest/framework/sec_protect_data_rest_automate_protection.html" TargetMode="External"/><Relationship Id="rId72" Type="http://schemas.openxmlformats.org/officeDocument/2006/relationships/hyperlink" Target="https://docs.aws.amazon.com/en_us/wellarchitected/latest/framework/sec_appsec_deploy_software_programmatically.html" TargetMode="External"/><Relationship Id="rId3" Type="http://schemas.openxmlformats.org/officeDocument/2006/relationships/hyperlink" Target="https://docs.aws.amazon.com/en_us/wellarchitected/latest/framework/sec_securely_operate_aws_account.html" TargetMode="External"/><Relationship Id="rId12" Type="http://schemas.openxmlformats.org/officeDocument/2006/relationships/hyperlink" Target="https://docs.aws.amazon.com/en_us/wellarchitected/latest/framework/sec_identities_unique.html" TargetMode="External"/><Relationship Id="rId17" Type="http://schemas.openxmlformats.org/officeDocument/2006/relationships/hyperlink" Target="https://docs.aws.amazon.com/en_us/wellarchitected/latest/framework/sec-03.html" TargetMode="External"/><Relationship Id="rId25" Type="http://schemas.openxmlformats.org/officeDocument/2006/relationships/hyperlink" Target="https://docs.aws.amazon.com/en_us/wellarchitected/latest/framework/sec_permissions_share_securely.html" TargetMode="External"/><Relationship Id="rId33" Type="http://schemas.openxmlformats.org/officeDocument/2006/relationships/hyperlink" Target="https://docs.aws.amazon.com/en_us/wellarchitected/latest/framework/sec_network_protection_create_layers.html" TargetMode="External"/><Relationship Id="rId38" Type="http://schemas.openxmlformats.org/officeDocument/2006/relationships/hyperlink" Target="https://docs.aws.amazon.com/en_us/wellarchitected/latest/framework/sec_protect_compute_vulnerability_management.html" TargetMode="External"/><Relationship Id="rId46" Type="http://schemas.openxmlformats.org/officeDocument/2006/relationships/hyperlink" Target="https://docs.aws.amazon.com/en_us/wellarchitected/latest/framework/sec_data_classification_auto_classification.html" TargetMode="External"/><Relationship Id="rId59" Type="http://schemas.openxmlformats.org/officeDocument/2006/relationships/hyperlink" Target="https://docs.aws.amazon.com/en_us/wellarchitected/latest/framework/sec_incident_response_develop_management_plans.html" TargetMode="External"/><Relationship Id="rId67" Type="http://schemas.openxmlformats.org/officeDocument/2006/relationships/hyperlink" Target="https://docs.aws.amazon.com/en_us/wellarchitected/latest/framework/sec_appsec_train_for_application_security.html" TargetMode="External"/><Relationship Id="rId20" Type="http://schemas.openxmlformats.org/officeDocument/2006/relationships/hyperlink" Target="https://docs.aws.amazon.com/en_us/wellarchitected/latest/framework/sec_permissions_emergency_process.html" TargetMode="External"/><Relationship Id="rId41" Type="http://schemas.openxmlformats.org/officeDocument/2006/relationships/hyperlink" Target="https://docs.aws.amazon.com/en_us/wellarchitected/latest/framework/sec_protect_compute_validate_software_integrity.html" TargetMode="External"/><Relationship Id="rId54" Type="http://schemas.openxmlformats.org/officeDocument/2006/relationships/hyperlink" Target="https://docs.aws.amazon.com/en_us/wellarchitected/latest/framework/sec_protect_data_transit_key_cert_mgmt.html" TargetMode="External"/><Relationship Id="rId62" Type="http://schemas.openxmlformats.org/officeDocument/2006/relationships/hyperlink" Target="https://docs.aws.amazon.com/en_us/wellarchitected/latest/framework/sec_incident_response_pre_provision_access.html" TargetMode="External"/><Relationship Id="rId70" Type="http://schemas.openxmlformats.org/officeDocument/2006/relationships/hyperlink" Target="https://docs.aws.amazon.com/en_us/wellarchitected/latest/framework/sec_appsec_manual_code_reviews.html" TargetMode="External"/><Relationship Id="rId75" Type="http://schemas.openxmlformats.org/officeDocument/2006/relationships/vmlDrawing" Target="../drawings/vmlDrawing1.vml"/><Relationship Id="rId1" Type="http://schemas.openxmlformats.org/officeDocument/2006/relationships/hyperlink" Target="https://docs.aws.amazon.com/en_us/wellarchitected/latest/framework/sec-01.html" TargetMode="External"/><Relationship Id="rId6" Type="http://schemas.openxmlformats.org/officeDocument/2006/relationships/hyperlink" Target="https://docs.aws.amazon.com/en_us/wellarchitected/latest/framework/sec_securely_operate_reduce_management_scope.html" TargetMode="External"/><Relationship Id="rId15" Type="http://schemas.openxmlformats.org/officeDocument/2006/relationships/hyperlink" Target="https://docs.aws.amazon.com/en_us/wellarchitected/latest/framework/sec_identities_audit.html" TargetMode="External"/><Relationship Id="rId23" Type="http://schemas.openxmlformats.org/officeDocument/2006/relationships/hyperlink" Target="https://docs.aws.amazon.com/en_us/wellarchitected/latest/framework/sec_permissions_lifecycle.html" TargetMode="External"/><Relationship Id="rId28" Type="http://schemas.openxmlformats.org/officeDocument/2006/relationships/hyperlink" Target="https://docs.aws.amazon.com/en_us/wellarchitected/latest/framework/sec_detect_investigate_events_app_service_logging.html" TargetMode="External"/><Relationship Id="rId36" Type="http://schemas.openxmlformats.org/officeDocument/2006/relationships/hyperlink" Target="https://docs.aws.amazon.com/en_us/wellarchitected/latest/framework/sec_network_auto_protect.html" TargetMode="External"/><Relationship Id="rId49" Type="http://schemas.openxmlformats.org/officeDocument/2006/relationships/hyperlink" Target="https://docs.aws.amazon.com/en_us/wellarchitected/latest/framework/sec_protect_data_rest_key_mgmt.html" TargetMode="External"/><Relationship Id="rId57" Type="http://schemas.openxmlformats.org/officeDocument/2006/relationships/hyperlink" Target="https://docs.aws.amazon.com/en_us/wellarchitected/latest/framework/sec-10.html" TargetMode="External"/><Relationship Id="rId10" Type="http://schemas.openxmlformats.org/officeDocument/2006/relationships/hyperlink" Target="https://docs.aws.amazon.com/en_us/wellarchitected/latest/framework/sec-02.html" TargetMode="External"/><Relationship Id="rId31" Type="http://schemas.openxmlformats.org/officeDocument/2006/relationships/hyperlink" Target="https://docs.aws.amazon.com/en_us/wellarchitected/latest/framework/sec_detect_investigate_events_noncompliant_resources.html" TargetMode="External"/><Relationship Id="rId44" Type="http://schemas.openxmlformats.org/officeDocument/2006/relationships/hyperlink" Target="https://docs.aws.amazon.com/en_us/wellarchitected/latest/framework/sec_data_classification_identify_data.html" TargetMode="External"/><Relationship Id="rId52" Type="http://schemas.openxmlformats.org/officeDocument/2006/relationships/hyperlink" Target="https://docs.aws.amazon.com/en_us/wellarchitected/latest/framework/sec_protect_data_rest_access_control.html" TargetMode="External"/><Relationship Id="rId60" Type="http://schemas.openxmlformats.org/officeDocument/2006/relationships/hyperlink" Target="https://docs.aws.amazon.com/en_us/wellarchitected/latest/framework/sec_incident_response_prepare_forensic.html" TargetMode="External"/><Relationship Id="rId65" Type="http://schemas.openxmlformats.org/officeDocument/2006/relationships/hyperlink" Target="https://docs.aws.amazon.com/en_us/wellarchitected/latest/framework/sec_incident_response_establish_incident_framework.html" TargetMode="External"/><Relationship Id="rId73" Type="http://schemas.openxmlformats.org/officeDocument/2006/relationships/hyperlink" Target="https://docs.aws.amazon.com/en_us/wellarchitected/latest/framework/sec_appsec_regularly_assess_security_properties_of_pipelines.html" TargetMode="External"/><Relationship Id="rId4" Type="http://schemas.openxmlformats.org/officeDocument/2006/relationships/hyperlink" Target="https://docs.aws.amazon.com/en_us/wellarchitected/latest/framework/sec_securely_operate_control_objectives.html" TargetMode="External"/><Relationship Id="rId9" Type="http://schemas.openxmlformats.org/officeDocument/2006/relationships/hyperlink" Target="https://docs.aws.amazon.com/en_us/wellarchitected/latest/framework/sec_securely_operate_implement_services_features.html" TargetMode="External"/><Relationship Id="rId13" Type="http://schemas.openxmlformats.org/officeDocument/2006/relationships/hyperlink" Target="https://docs.aws.amazon.com/en_us/wellarchitected/latest/framework/sec_identities_secrets.html" TargetMode="External"/><Relationship Id="rId18" Type="http://schemas.openxmlformats.org/officeDocument/2006/relationships/hyperlink" Target="https://docs.aws.amazon.com/en_us/wellarchitected/latest/framework/sec_permissions_define.html" TargetMode="External"/><Relationship Id="rId39" Type="http://schemas.openxmlformats.org/officeDocument/2006/relationships/hyperlink" Target="https://docs.aws.amazon.com/en_us/wellarchitected/latest/framework/sec_protect_compute_hardened_images.html" TargetMode="External"/><Relationship Id="rId34" Type="http://schemas.openxmlformats.org/officeDocument/2006/relationships/hyperlink" Target="https://docs.aws.amazon.com/en_us/wellarchitected/latest/framework/sec_network_protection_layered.html" TargetMode="External"/><Relationship Id="rId50" Type="http://schemas.openxmlformats.org/officeDocument/2006/relationships/hyperlink" Target="https://docs.aws.amazon.com/en_us/wellarchitected/latest/framework/sec_protect_data_rest_encrypt.html" TargetMode="External"/><Relationship Id="rId55" Type="http://schemas.openxmlformats.org/officeDocument/2006/relationships/hyperlink" Target="https://docs.aws.amazon.com/en_us/wellarchitected/latest/framework/sec_protect_data_transit_encrypt.html" TargetMode="External"/><Relationship Id="rId76" Type="http://schemas.openxmlformats.org/officeDocument/2006/relationships/comments" Target="../comments1.xml"/><Relationship Id="rId7" Type="http://schemas.openxmlformats.org/officeDocument/2006/relationships/hyperlink" Target="https://docs.aws.amazon.com/en_us/wellarchitected/latest/framework/sec_securely_operate_automate_security_controls.html" TargetMode="External"/><Relationship Id="rId71" Type="http://schemas.openxmlformats.org/officeDocument/2006/relationships/hyperlink" Target="https://docs.aws.amazon.com/en_us/wellarchitected/latest/framework/sec_appsec_centralize_services_for_packages_and_dependencie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outlinePr summaryBelow="0" summaryRight="0"/>
  </sheetPr>
  <dimension ref="A1:AC75"/>
  <sheetViews>
    <sheetView tabSelected="1" workbookViewId="0">
      <pane ySplit="1" topLeftCell="A2" activePane="bottomLeft" state="frozen"/>
      <selection pane="bottomLeft" activeCell="E2" sqref="E2"/>
    </sheetView>
  </sheetViews>
  <sheetFormatPr baseColWidth="10" defaultColWidth="12.5703125" defaultRowHeight="15.75" customHeight="1" outlineLevelRow="1" x14ac:dyDescent="0.2"/>
  <cols>
    <col min="1" max="1" width="41.140625" style="35" customWidth="1"/>
    <col min="2" max="2" width="74.5703125" customWidth="1"/>
    <col min="3" max="3" width="16.28515625" customWidth="1"/>
    <col min="4" max="4" width="12" customWidth="1"/>
    <col min="5" max="5" width="40.42578125" customWidth="1"/>
    <col min="6" max="6" width="16.5703125" customWidth="1"/>
    <col min="7" max="7" width="12" hidden="1" customWidth="1"/>
    <col min="8" max="8" width="12" customWidth="1"/>
    <col min="9" max="9" width="12" hidden="1" customWidth="1"/>
    <col min="10" max="10" width="14.140625" customWidth="1"/>
    <col min="11" max="11" width="12" hidden="1" customWidth="1"/>
    <col min="12" max="13" width="46" customWidth="1"/>
    <col min="14" max="14" width="7.7109375" hidden="1" customWidth="1"/>
    <col min="15" max="25" width="15.5703125" hidden="1" customWidth="1"/>
    <col min="26" max="26" width="16.42578125" hidden="1" customWidth="1"/>
    <col min="27" max="27" width="14.85546875" hidden="1" customWidth="1"/>
    <col min="28" max="28" width="46" hidden="1" customWidth="1"/>
  </cols>
  <sheetData>
    <row r="1" spans="1:28" ht="90" customHeight="1" x14ac:dyDescent="0.2">
      <c r="A1" s="32" t="s">
        <v>0</v>
      </c>
      <c r="B1" s="1" t="str">
        <f>CONCATENATE("Fundamentos de seguridad: ",COUNTIF(B2:B9,"&lt;&gt;0"))</f>
        <v>Fundamentos de seguridad: 8</v>
      </c>
      <c r="C1" s="2">
        <f>(COUNTIF(C2:C9,"Sí")*1 + COUNTIF(C2:C9, "Parcialmente")*0.5) / ((COUNTA(C2:C9) - (COUNTIF(C2:C9, "N/A") + COUNTIF(C2:C9, "N/E"))))</f>
        <v>0.125</v>
      </c>
      <c r="D1" s="3">
        <f>COUNTIF(D2:D9,"true")</f>
        <v>0</v>
      </c>
      <c r="E1" s="4"/>
      <c r="F1" s="3"/>
      <c r="G1" s="3"/>
      <c r="H1" s="3"/>
      <c r="I1" s="3"/>
      <c r="J1" s="3" t="str">
        <f ca="1">CONCATENATE("Extremo: ", COUNTIF(J2:J3, "Extremo"), CHAR(10), "Alto: ", COUNTIF(J2:J3, "Alto"), CHAR(10), "Moderado: ", COUNTIF(J2:J3, "Medio"), CHAR(10), "Bajo: ", COUNTIF(J2:J3, "Bajo"))</f>
        <v>Extremo: 0
Alto: 0
Moderado: 0
Bajo: 0</v>
      </c>
      <c r="K1" s="3"/>
      <c r="L1" s="3" t="str">
        <f ca="1">IFERROR(__xludf.DUMMYFUNCTION("CONCATENATE(""Cantidad de notas: "", COUNTIF(FLATTEN(SPLIT(TEXTJOIN(CHAR(10), TRUE, M6), CHAR(10))), ""*-?*""))"),"Cantidad de notas: 3")</f>
        <v>Cantidad de notas: 3</v>
      </c>
      <c r="M1" s="3"/>
      <c r="N1" s="3">
        <f>SUM(N2:N9)</f>
        <v>0</v>
      </c>
      <c r="O1" s="5">
        <f>MIN(O2:O9)</f>
        <v>0</v>
      </c>
      <c r="P1" s="5">
        <f>MAX(P2:P9)</f>
        <v>0</v>
      </c>
      <c r="Q1" s="3"/>
      <c r="R1" s="3"/>
      <c r="S1" s="3"/>
      <c r="T1" s="3"/>
      <c r="U1" s="3"/>
      <c r="V1" s="3"/>
      <c r="W1" s="3"/>
      <c r="X1" s="3"/>
      <c r="Y1" s="3"/>
      <c r="Z1" s="3" t="str">
        <f>CONCATENATE("GFourmis: ", COUNTIF(Z2:Z9, "GFourmis"), CHAR(10), "Cliente: ", COUNTIF(Z2:Z9, "Cliente"), CHAR(10), "Tercero: ", COUNTIF(Z2:Z9, "Tercero"))</f>
        <v>GFourmis: 0
Cliente: 0
Tercero: 0</v>
      </c>
      <c r="AA1" s="2" t="e">
        <f>(COUNTIF(AA2:AA9,"Sí")*1 + COUNTIF(AA2:AA9, "Parcialmente")*0.5) / ((COUNTA(AA2:AA9) - (COUNTIF(AA2:AA9, "N/A") + COUNTIF(AA2:AA9, "N/E"))))</f>
        <v>#DIV/0!</v>
      </c>
      <c r="AB1" s="3" t="str">
        <f ca="1">IFERROR(__xludf.DUMMYFUNCTION("CONCATENATE(""Cantidad de notas: "", COUNTIF(FLATTEN(SPLIT(TEXTJOIN(CHAR(10), TRUE, AC6), CHAR(10))), ""*-?*""))"),"Cantidad de notas: 0")</f>
        <v>Cantidad de notas: 0</v>
      </c>
    </row>
    <row r="2" spans="1:28" ht="342" outlineLevel="1" x14ac:dyDescent="0.2">
      <c r="A2" s="31" t="s">
        <v>1</v>
      </c>
      <c r="B2" s="6" t="s">
        <v>2</v>
      </c>
      <c r="C2" s="7" t="s">
        <v>3</v>
      </c>
      <c r="D2" s="8" t="b">
        <v>1</v>
      </c>
      <c r="E2" s="9" t="s">
        <v>4</v>
      </c>
      <c r="F2" s="7" t="s">
        <v>5</v>
      </c>
      <c r="G2" s="7" t="e">
        <f t="shared" ref="G2:G9" ca="1" si="0">_xludf.IFS(F2 = "Frecuente", 5, F2 = "Probable", 4, F2 = "Moderado", 3, F2 = "Bajo", 2, F2 = "Rara vez", 1)</f>
        <v>#NAME?</v>
      </c>
      <c r="H2" s="7" t="s">
        <v>6</v>
      </c>
      <c r="I2" s="7" t="e">
        <f t="shared" ref="I2:I9" ca="1" si="1">_xludf.IFS(H2 = "Crítico", 625, H2 = "Mayor", 125, H2 = "Moderado", 25, H2 = "Menor", 5, H2 = "Inferior", 1)</f>
        <v>#NAME?</v>
      </c>
      <c r="J2" s="6" t="e">
        <f t="shared" ref="J2:J9" ca="1" si="2">_xludf.IFS(K2 &lt;= 10, "Bajo", AND(K2 &gt; 10, K2 &lt;= 75), "Moderado", AND(K2 &gt; 75, K2 &lt;= 500), "Alto", AND(K2 &gt; 500, K2 &lt;= 3125), "Extremo")</f>
        <v>#NAME?</v>
      </c>
      <c r="K2" s="6" t="e">
        <f t="shared" ref="K2:K9" ca="1" si="3">G2*I2</f>
        <v>#NAME?</v>
      </c>
      <c r="L2" s="6" t="s">
        <v>7</v>
      </c>
      <c r="M2" s="6" t="s">
        <v>8</v>
      </c>
      <c r="N2" s="10">
        <v>0</v>
      </c>
      <c r="O2" s="11"/>
      <c r="P2" s="12"/>
      <c r="Q2" s="13"/>
      <c r="R2" s="14"/>
      <c r="S2" s="15" t="e">
        <f t="shared" ref="S2:S9" ca="1" si="4">_xludf.IFS(R2 = "Alta", 3, R2 = "Media", 2, R2 = "Baja", 1)</f>
        <v>#NAME?</v>
      </c>
      <c r="T2" s="16"/>
      <c r="U2" s="15" t="e">
        <f t="shared" ref="U2:U9" ca="1" si="5">_xludf.IFS(T2 = "Alta", 3, T2 = "Media", 2, T2 = "Baja", 1)</f>
        <v>#NAME?</v>
      </c>
      <c r="V2" s="14"/>
      <c r="W2" s="15" t="e">
        <f t="shared" ref="W2:W9" ca="1" si="6">_xludf.IFS(V2 = "Alta", 3, V2 = "Media", 2, V2 = "Baja", 1)</f>
        <v>#NAME?</v>
      </c>
      <c r="X2" s="17" t="e">
        <f t="shared" ref="X2:X9" ca="1" si="7">_xludf.IFS(Y2 &lt; 2, "Baja", AND(Y2 &gt;= 2, Y2 &lt;= 2.49), "Media", AND(Y2 &gt;= 2.5), "Alta")</f>
        <v>#NAME?</v>
      </c>
      <c r="Y2" s="18" t="e">
        <f t="shared" ref="Y2:Y9" ca="1" si="8">(N2 *0.25)+(S2*0.3)+(U2*0.3)+(W2*0.15)</f>
        <v>#NAME?</v>
      </c>
      <c r="Z2" s="19"/>
      <c r="AA2" s="7"/>
      <c r="AB2" s="6" t="s">
        <v>9</v>
      </c>
    </row>
    <row r="3" spans="1:28" ht="144" outlineLevel="1" x14ac:dyDescent="0.2">
      <c r="A3" s="31" t="s">
        <v>10</v>
      </c>
      <c r="B3" s="6" t="s">
        <v>11</v>
      </c>
      <c r="C3" s="7" t="s">
        <v>12</v>
      </c>
      <c r="D3" s="8" t="b">
        <v>1</v>
      </c>
      <c r="E3" s="9" t="s">
        <v>13</v>
      </c>
      <c r="F3" s="7" t="s">
        <v>14</v>
      </c>
      <c r="G3" s="7" t="e">
        <f t="shared" ca="1" si="0"/>
        <v>#NAME?</v>
      </c>
      <c r="H3" s="7" t="s">
        <v>15</v>
      </c>
      <c r="I3" s="7" t="e">
        <f t="shared" ca="1" si="1"/>
        <v>#NAME?</v>
      </c>
      <c r="J3" s="6" t="e">
        <f t="shared" ca="1" si="2"/>
        <v>#NAME?</v>
      </c>
      <c r="K3" s="6" t="e">
        <f t="shared" ca="1" si="3"/>
        <v>#NAME?</v>
      </c>
      <c r="L3" s="6" t="s">
        <v>16</v>
      </c>
      <c r="M3" s="6" t="s">
        <v>17</v>
      </c>
      <c r="N3" s="10">
        <v>0</v>
      </c>
      <c r="O3" s="11"/>
      <c r="P3" s="12"/>
      <c r="Q3" s="13"/>
      <c r="R3" s="14"/>
      <c r="S3" s="15" t="e">
        <f t="shared" ca="1" si="4"/>
        <v>#NAME?</v>
      </c>
      <c r="T3" s="16"/>
      <c r="U3" s="15" t="e">
        <f t="shared" ca="1" si="5"/>
        <v>#NAME?</v>
      </c>
      <c r="V3" s="14"/>
      <c r="W3" s="15" t="e">
        <f t="shared" ca="1" si="6"/>
        <v>#NAME?</v>
      </c>
      <c r="X3" s="17" t="e">
        <f t="shared" ca="1" si="7"/>
        <v>#NAME?</v>
      </c>
      <c r="Y3" s="18" t="e">
        <f t="shared" ca="1" si="8"/>
        <v>#NAME?</v>
      </c>
      <c r="Z3" s="19"/>
      <c r="AA3" s="7"/>
      <c r="AB3" s="6" t="s">
        <v>18</v>
      </c>
    </row>
    <row r="4" spans="1:28" ht="144" outlineLevel="1" x14ac:dyDescent="0.2">
      <c r="A4" s="31" t="s">
        <v>19</v>
      </c>
      <c r="B4" s="20" t="s">
        <v>20</v>
      </c>
      <c r="C4" s="7" t="s">
        <v>3</v>
      </c>
      <c r="D4" s="8" t="b">
        <v>1</v>
      </c>
      <c r="E4" s="9" t="s">
        <v>21</v>
      </c>
      <c r="F4" s="7" t="s">
        <v>14</v>
      </c>
      <c r="G4" s="7" t="e">
        <f t="shared" ca="1" si="0"/>
        <v>#NAME?</v>
      </c>
      <c r="H4" s="7" t="s">
        <v>15</v>
      </c>
      <c r="I4" s="7" t="e">
        <f t="shared" ca="1" si="1"/>
        <v>#NAME?</v>
      </c>
      <c r="J4" s="6" t="e">
        <f t="shared" ca="1" si="2"/>
        <v>#NAME?</v>
      </c>
      <c r="K4" s="6" t="e">
        <f t="shared" ca="1" si="3"/>
        <v>#NAME?</v>
      </c>
      <c r="L4" s="6" t="s">
        <v>22</v>
      </c>
      <c r="M4" s="6" t="s">
        <v>23</v>
      </c>
      <c r="N4" s="10">
        <v>0</v>
      </c>
      <c r="O4" s="11"/>
      <c r="P4" s="12"/>
      <c r="Q4" s="13"/>
      <c r="R4" s="14"/>
      <c r="S4" s="15" t="e">
        <f t="shared" ca="1" si="4"/>
        <v>#NAME?</v>
      </c>
      <c r="T4" s="16"/>
      <c r="U4" s="15" t="e">
        <f t="shared" ca="1" si="5"/>
        <v>#NAME?</v>
      </c>
      <c r="V4" s="14"/>
      <c r="W4" s="15" t="e">
        <f t="shared" ca="1" si="6"/>
        <v>#NAME?</v>
      </c>
      <c r="X4" s="17" t="e">
        <f t="shared" ca="1" si="7"/>
        <v>#NAME?</v>
      </c>
      <c r="Y4" s="18" t="e">
        <f t="shared" ca="1" si="8"/>
        <v>#NAME?</v>
      </c>
      <c r="Z4" s="19"/>
      <c r="AA4" s="7"/>
      <c r="AB4" s="6" t="s">
        <v>24</v>
      </c>
    </row>
    <row r="5" spans="1:28" ht="198" outlineLevel="1" x14ac:dyDescent="0.2">
      <c r="A5" s="31" t="s">
        <v>25</v>
      </c>
      <c r="B5" s="20" t="s">
        <v>26</v>
      </c>
      <c r="C5" s="7" t="s">
        <v>3</v>
      </c>
      <c r="D5" s="8" t="b">
        <v>1</v>
      </c>
      <c r="E5" s="9" t="s">
        <v>27</v>
      </c>
      <c r="F5" s="7" t="s">
        <v>14</v>
      </c>
      <c r="G5" s="7" t="e">
        <f t="shared" ca="1" si="0"/>
        <v>#NAME?</v>
      </c>
      <c r="H5" s="7" t="s">
        <v>28</v>
      </c>
      <c r="I5" s="7" t="e">
        <f t="shared" ca="1" si="1"/>
        <v>#NAME?</v>
      </c>
      <c r="J5" s="6" t="e">
        <f t="shared" ca="1" si="2"/>
        <v>#NAME?</v>
      </c>
      <c r="K5" s="6" t="e">
        <f t="shared" ca="1" si="3"/>
        <v>#NAME?</v>
      </c>
      <c r="L5" s="6" t="s">
        <v>29</v>
      </c>
      <c r="M5" s="6" t="s">
        <v>30</v>
      </c>
      <c r="N5" s="10">
        <v>0</v>
      </c>
      <c r="O5" s="11"/>
      <c r="P5" s="12"/>
      <c r="Q5" s="13"/>
      <c r="R5" s="14"/>
      <c r="S5" s="15" t="e">
        <f t="shared" ca="1" si="4"/>
        <v>#NAME?</v>
      </c>
      <c r="T5" s="16"/>
      <c r="U5" s="15" t="e">
        <f t="shared" ca="1" si="5"/>
        <v>#NAME?</v>
      </c>
      <c r="V5" s="14"/>
      <c r="W5" s="15" t="e">
        <f t="shared" ca="1" si="6"/>
        <v>#NAME?</v>
      </c>
      <c r="X5" s="17" t="e">
        <f t="shared" ca="1" si="7"/>
        <v>#NAME?</v>
      </c>
      <c r="Y5" s="18" t="e">
        <f t="shared" ca="1" si="8"/>
        <v>#NAME?</v>
      </c>
      <c r="Z5" s="19"/>
      <c r="AA5" s="7"/>
      <c r="AB5" s="6" t="s">
        <v>31</v>
      </c>
    </row>
    <row r="6" spans="1:28" ht="180" outlineLevel="1" x14ac:dyDescent="0.2">
      <c r="A6" s="31" t="s">
        <v>32</v>
      </c>
      <c r="B6" s="20" t="s">
        <v>33</v>
      </c>
      <c r="C6" s="7" t="s">
        <v>12</v>
      </c>
      <c r="D6" s="8" t="b">
        <v>1</v>
      </c>
      <c r="E6" s="9" t="s">
        <v>34</v>
      </c>
      <c r="F6" s="7" t="s">
        <v>6</v>
      </c>
      <c r="G6" s="7" t="e">
        <f t="shared" ca="1" si="0"/>
        <v>#NAME?</v>
      </c>
      <c r="H6" s="7" t="s">
        <v>6</v>
      </c>
      <c r="I6" s="7" t="e">
        <f t="shared" ca="1" si="1"/>
        <v>#NAME?</v>
      </c>
      <c r="J6" s="6" t="e">
        <f t="shared" ca="1" si="2"/>
        <v>#NAME?</v>
      </c>
      <c r="K6" s="6" t="e">
        <f t="shared" ca="1" si="3"/>
        <v>#NAME?</v>
      </c>
      <c r="L6" s="6" t="s">
        <v>35</v>
      </c>
      <c r="M6" s="6" t="s">
        <v>36</v>
      </c>
      <c r="N6" s="10">
        <v>0</v>
      </c>
      <c r="O6" s="10"/>
      <c r="P6" s="21"/>
      <c r="Q6" s="13"/>
      <c r="R6" s="14"/>
      <c r="S6" s="15" t="e">
        <f t="shared" ca="1" si="4"/>
        <v>#NAME?</v>
      </c>
      <c r="T6" s="16"/>
      <c r="U6" s="15" t="e">
        <f t="shared" ca="1" si="5"/>
        <v>#NAME?</v>
      </c>
      <c r="V6" s="14"/>
      <c r="W6" s="15" t="e">
        <f t="shared" ca="1" si="6"/>
        <v>#NAME?</v>
      </c>
      <c r="X6" s="17" t="e">
        <f t="shared" ca="1" si="7"/>
        <v>#NAME?</v>
      </c>
      <c r="Y6" s="18" t="e">
        <f t="shared" ca="1" si="8"/>
        <v>#NAME?</v>
      </c>
      <c r="Z6" s="19"/>
      <c r="AA6" s="7"/>
      <c r="AB6" s="6" t="s">
        <v>37</v>
      </c>
    </row>
    <row r="7" spans="1:28" ht="198" outlineLevel="1" x14ac:dyDescent="0.2">
      <c r="A7" s="31" t="s">
        <v>38</v>
      </c>
      <c r="B7" s="20" t="s">
        <v>39</v>
      </c>
      <c r="C7" s="7" t="s">
        <v>3</v>
      </c>
      <c r="D7" s="8" t="b">
        <v>1</v>
      </c>
      <c r="E7" s="9" t="s">
        <v>40</v>
      </c>
      <c r="F7" s="7" t="s">
        <v>6</v>
      </c>
      <c r="G7" s="7" t="e">
        <f t="shared" ca="1" si="0"/>
        <v>#NAME?</v>
      </c>
      <c r="H7" s="7" t="s">
        <v>6</v>
      </c>
      <c r="I7" s="7" t="e">
        <f t="shared" ca="1" si="1"/>
        <v>#NAME?</v>
      </c>
      <c r="J7" s="6" t="e">
        <f t="shared" ca="1" si="2"/>
        <v>#NAME?</v>
      </c>
      <c r="K7" s="6" t="e">
        <f t="shared" ca="1" si="3"/>
        <v>#NAME?</v>
      </c>
      <c r="L7" s="6" t="s">
        <v>41</v>
      </c>
      <c r="M7" s="6" t="s">
        <v>42</v>
      </c>
      <c r="N7" s="10">
        <v>0</v>
      </c>
      <c r="O7" s="11"/>
      <c r="P7" s="12"/>
      <c r="Q7" s="13"/>
      <c r="R7" s="14"/>
      <c r="S7" s="15" t="e">
        <f t="shared" ca="1" si="4"/>
        <v>#NAME?</v>
      </c>
      <c r="T7" s="16"/>
      <c r="U7" s="15" t="e">
        <f t="shared" ca="1" si="5"/>
        <v>#NAME?</v>
      </c>
      <c r="V7" s="14"/>
      <c r="W7" s="15" t="e">
        <f t="shared" ca="1" si="6"/>
        <v>#NAME?</v>
      </c>
      <c r="X7" s="17" t="e">
        <f t="shared" ca="1" si="7"/>
        <v>#NAME?</v>
      </c>
      <c r="Y7" s="18" t="e">
        <f t="shared" ca="1" si="8"/>
        <v>#NAME?</v>
      </c>
      <c r="Z7" s="19"/>
      <c r="AA7" s="7"/>
      <c r="AB7" s="6" t="s">
        <v>43</v>
      </c>
    </row>
    <row r="8" spans="1:28" ht="198" outlineLevel="1" x14ac:dyDescent="0.2">
      <c r="A8" s="31" t="s">
        <v>44</v>
      </c>
      <c r="B8" s="20" t="s">
        <v>45</v>
      </c>
      <c r="C8" s="7" t="s">
        <v>3</v>
      </c>
      <c r="D8" s="8" t="b">
        <v>1</v>
      </c>
      <c r="E8" s="9" t="s">
        <v>46</v>
      </c>
      <c r="F8" s="7" t="s">
        <v>14</v>
      </c>
      <c r="G8" s="7" t="e">
        <f t="shared" ca="1" si="0"/>
        <v>#NAME?</v>
      </c>
      <c r="H8" s="7" t="s">
        <v>28</v>
      </c>
      <c r="I8" s="7" t="e">
        <f t="shared" ca="1" si="1"/>
        <v>#NAME?</v>
      </c>
      <c r="J8" s="6" t="e">
        <f t="shared" ca="1" si="2"/>
        <v>#NAME?</v>
      </c>
      <c r="K8" s="6" t="e">
        <f t="shared" ca="1" si="3"/>
        <v>#NAME?</v>
      </c>
      <c r="L8" s="6" t="s">
        <v>47</v>
      </c>
      <c r="M8" s="6" t="s">
        <v>48</v>
      </c>
      <c r="N8" s="10">
        <v>0</v>
      </c>
      <c r="O8" s="11"/>
      <c r="P8" s="12"/>
      <c r="Q8" s="13"/>
      <c r="R8" s="14"/>
      <c r="S8" s="15" t="e">
        <f t="shared" ca="1" si="4"/>
        <v>#NAME?</v>
      </c>
      <c r="T8" s="16"/>
      <c r="U8" s="15" t="e">
        <f t="shared" ca="1" si="5"/>
        <v>#NAME?</v>
      </c>
      <c r="V8" s="14"/>
      <c r="W8" s="15" t="e">
        <f t="shared" ca="1" si="6"/>
        <v>#NAME?</v>
      </c>
      <c r="X8" s="17" t="e">
        <f t="shared" ca="1" si="7"/>
        <v>#NAME?</v>
      </c>
      <c r="Y8" s="18" t="e">
        <f t="shared" ca="1" si="8"/>
        <v>#NAME?</v>
      </c>
      <c r="Z8" s="19"/>
      <c r="AA8" s="7"/>
      <c r="AB8" s="6" t="s">
        <v>49</v>
      </c>
    </row>
    <row r="9" spans="1:28" ht="216" outlineLevel="1" x14ac:dyDescent="0.2">
      <c r="A9" s="31" t="s">
        <v>50</v>
      </c>
      <c r="B9" s="20" t="s">
        <v>51</v>
      </c>
      <c r="C9" s="7" t="s">
        <v>3</v>
      </c>
      <c r="D9" s="8" t="b">
        <v>1</v>
      </c>
      <c r="E9" s="9" t="s">
        <v>52</v>
      </c>
      <c r="F9" s="7" t="s">
        <v>5</v>
      </c>
      <c r="G9" s="7" t="e">
        <f t="shared" ca="1" si="0"/>
        <v>#NAME?</v>
      </c>
      <c r="H9" s="7" t="s">
        <v>15</v>
      </c>
      <c r="I9" s="7" t="e">
        <f t="shared" ca="1" si="1"/>
        <v>#NAME?</v>
      </c>
      <c r="J9" s="6" t="e">
        <f t="shared" ca="1" si="2"/>
        <v>#NAME?</v>
      </c>
      <c r="K9" s="6" t="e">
        <f t="shared" ca="1" si="3"/>
        <v>#NAME?</v>
      </c>
      <c r="L9" s="6" t="s">
        <v>53</v>
      </c>
      <c r="M9" s="6" t="s">
        <v>54</v>
      </c>
      <c r="N9" s="10">
        <v>0</v>
      </c>
      <c r="O9" s="22"/>
      <c r="P9" s="23"/>
      <c r="Q9" s="13"/>
      <c r="R9" s="14"/>
      <c r="S9" s="15" t="e">
        <f t="shared" ca="1" si="4"/>
        <v>#NAME?</v>
      </c>
      <c r="T9" s="16"/>
      <c r="U9" s="15" t="e">
        <f t="shared" ca="1" si="5"/>
        <v>#NAME?</v>
      </c>
      <c r="V9" s="14"/>
      <c r="W9" s="15" t="e">
        <f t="shared" ca="1" si="6"/>
        <v>#NAME?</v>
      </c>
      <c r="X9" s="17" t="e">
        <f t="shared" ca="1" si="7"/>
        <v>#NAME?</v>
      </c>
      <c r="Y9" s="18" t="e">
        <f t="shared" ca="1" si="8"/>
        <v>#NAME?</v>
      </c>
      <c r="Z9" s="19"/>
      <c r="AA9" s="7"/>
      <c r="AB9" s="6" t="s">
        <v>55</v>
      </c>
    </row>
    <row r="10" spans="1:28" ht="54" customHeight="1" x14ac:dyDescent="0.2">
      <c r="A10" s="32" t="s">
        <v>56</v>
      </c>
      <c r="B10" s="3" t="str">
        <f>CONCATENATE("Gestión de identidad y acceso: ",COUNTIF(B11:B16,"&lt;&gt;0"))</f>
        <v>Gestión de identidad y acceso: 6</v>
      </c>
      <c r="C10" s="2">
        <f>(COUNTIF(C11:C16,"Sí")*1 + COUNTIF(C11:C16, "Parcialmente")*0.5) / (COUNTIF(C11:C16,"&lt;&gt;0") - ((COUNTIF(C11:C16, "N/A") + COUNTIF(C11:C16, "N/E"))))</f>
        <v>0.2</v>
      </c>
      <c r="D10" s="3">
        <f>COUNTIF(D11:D16,"true")</f>
        <v>0</v>
      </c>
      <c r="E10" s="4"/>
      <c r="F10" s="3"/>
      <c r="G10" s="3"/>
      <c r="H10" s="3"/>
      <c r="I10" s="3"/>
      <c r="J10" s="3"/>
      <c r="K10" s="3"/>
      <c r="L10" s="3" t="str">
        <f ca="1">IFERROR(__xludf.DUMMYFUNCTION("CONCATENATE(""Cantidad de notas: "", COUNTIF(FLATTEN(SPLIT(TEXTJOIN(CHAR(10), TRUE, M15:M20), CHAR(10))), ""*-?*""))"),"Cantidad de notas: 11")</f>
        <v>Cantidad de notas: 11</v>
      </c>
      <c r="M10" s="3"/>
      <c r="N10" s="3">
        <f>SUM(N11:N16)</f>
        <v>0</v>
      </c>
      <c r="O10" s="24">
        <f>MIN(O11:O16)</f>
        <v>0</v>
      </c>
      <c r="P10" s="24">
        <f>MAX(P11:P16)</f>
        <v>0</v>
      </c>
      <c r="Q10" s="1"/>
      <c r="R10" s="1"/>
      <c r="S10" s="1"/>
      <c r="T10" s="1"/>
      <c r="U10" s="1"/>
      <c r="V10" s="1"/>
      <c r="W10" s="1"/>
      <c r="X10" s="1"/>
      <c r="Y10" s="1"/>
      <c r="Z10" s="3" t="str">
        <f>CONCATENATE("GFourmis: ", COUNTIF(Z11:Z16, "GFourmis"), CHAR(10), "Cliente: ", COUNTIF(Z11:Z16, "Cliente"), CHAR(10), "Tercero: ", COUNTIF(Z11:Z16, "Tercero"))</f>
        <v>GFourmis: 0
Cliente: 0
Tercero: 0</v>
      </c>
      <c r="AA10" s="2" t="e">
        <f>(COUNTIF(AA11:AA16,"Sí")*1 + COUNTIF(AA11:AA16, "Parcialmente")*0.5) / ((COUNTA(AA11:AA16) - (COUNTIF(AA11:AA16, "N/A") + COUNTIF(AA11:AA16, "N/E"))))</f>
        <v>#DIV/0!</v>
      </c>
      <c r="AB10" s="3" t="str">
        <f ca="1">IFERROR(__xludf.DUMMYFUNCTION("CONCATENATE(""Cantidad de notas: "", COUNTIF(FLATTEN(SPLIT(TEXTJOIN(CHAR(10), TRUE, AC15:AC20), CHAR(10))), ""*-?*""))"),"Cantidad de notas: 0")</f>
        <v>Cantidad de notas: 0</v>
      </c>
    </row>
    <row r="11" spans="1:28" ht="252" outlineLevel="1" x14ac:dyDescent="0.2">
      <c r="A11" s="31" t="s">
        <v>57</v>
      </c>
      <c r="B11" s="20" t="s">
        <v>58</v>
      </c>
      <c r="C11" s="7" t="s">
        <v>3</v>
      </c>
      <c r="D11" s="8" t="b">
        <v>1</v>
      </c>
      <c r="E11" s="9" t="s">
        <v>59</v>
      </c>
      <c r="F11" s="7" t="s">
        <v>5</v>
      </c>
      <c r="G11" s="7" t="e">
        <f t="shared" ref="G11:G16" ca="1" si="9">_xludf.IFS(F11 = "Frecuente", 5, F11 = "Probable", 4, F11 = "Moderado", 3, F11 = "Bajo", 2, F11 = "Rara vez", 1)</f>
        <v>#NAME?</v>
      </c>
      <c r="H11" s="7" t="s">
        <v>28</v>
      </c>
      <c r="I11" s="7" t="e">
        <f t="shared" ref="I11:I16" ca="1" si="10">_xludf.IFS(H11 = "Crítico", 625, H11 = "Mayor", 125, H11 = "Moderado", 25, H11 = "Menor", 5, H11 = "Inferior", 1)</f>
        <v>#NAME?</v>
      </c>
      <c r="J11" s="6" t="e">
        <f t="shared" ref="J11:J16" ca="1" si="11">_xludf.IFS(K11 &lt;= 10, "Bajo", AND(K11 &gt; 10, K11 &lt;= 75), "Moderado", AND(K11 &gt; 75, K11 &lt;= 500), "Alto", AND(K11 &gt; 500, K11 &lt;= 3125), "Extremo")</f>
        <v>#NAME?</v>
      </c>
      <c r="K11" s="6" t="e">
        <f t="shared" ref="K11:K16" ca="1" si="12">G11*I11</f>
        <v>#NAME?</v>
      </c>
      <c r="L11" s="6" t="s">
        <v>60</v>
      </c>
      <c r="M11" s="6" t="s">
        <v>61</v>
      </c>
      <c r="N11" s="10">
        <v>0</v>
      </c>
      <c r="O11" s="11"/>
      <c r="P11" s="11"/>
      <c r="Q11" s="13"/>
      <c r="R11" s="14"/>
      <c r="S11" s="15" t="e">
        <f t="shared" ref="S11:S16" ca="1" si="13">_xludf.IFS(R11 = "Alta", 3, R11 = "Media", 2, R11 = "Baja", 1)</f>
        <v>#NAME?</v>
      </c>
      <c r="T11" s="16"/>
      <c r="U11" s="15" t="e">
        <f t="shared" ref="U11:U16" ca="1" si="14">_xludf.IFS(T11 = "Alta", 3, T11 = "Media", 2, T11 = "Baja", 1)</f>
        <v>#NAME?</v>
      </c>
      <c r="V11" s="14"/>
      <c r="W11" s="15" t="e">
        <f t="shared" ref="W11:W16" ca="1" si="15">_xludf.IFS(V11 = "Alta", 3, V11 = "Media", 2, V11 = "Baja", 1)</f>
        <v>#NAME?</v>
      </c>
      <c r="X11" s="17" t="e">
        <f t="shared" ref="X11:X16" ca="1" si="16">_xludf.IFS(Y11 &lt; 2, "Baja", AND(Y11 &gt;= 2, Y11 &lt;= 2.49), "Media", AND(Y11 &gt;= 2.5), "Alta")</f>
        <v>#NAME?</v>
      </c>
      <c r="Y11" s="18" t="e">
        <f t="shared" ref="Y11:Y16" ca="1" si="17">(N11 *0.25)+(S11*0.3)+(U11*0.3)+(W11*0.15)</f>
        <v>#NAME?</v>
      </c>
      <c r="Z11" s="7"/>
      <c r="AA11" s="7"/>
      <c r="AB11" s="6" t="s">
        <v>62</v>
      </c>
    </row>
    <row r="12" spans="1:28" ht="252" outlineLevel="1" x14ac:dyDescent="0.2">
      <c r="A12" s="31" t="s">
        <v>63</v>
      </c>
      <c r="B12" s="20" t="s">
        <v>64</v>
      </c>
      <c r="C12" s="7" t="s">
        <v>3</v>
      </c>
      <c r="D12" s="8" t="b">
        <v>1</v>
      </c>
      <c r="E12" s="9" t="s">
        <v>59</v>
      </c>
      <c r="F12" s="7" t="s">
        <v>5</v>
      </c>
      <c r="G12" s="7" t="e">
        <f t="shared" ca="1" si="9"/>
        <v>#NAME?</v>
      </c>
      <c r="H12" s="7" t="s">
        <v>28</v>
      </c>
      <c r="I12" s="7" t="e">
        <f t="shared" ca="1" si="10"/>
        <v>#NAME?</v>
      </c>
      <c r="J12" s="6" t="e">
        <f t="shared" ca="1" si="11"/>
        <v>#NAME?</v>
      </c>
      <c r="K12" s="6" t="e">
        <f t="shared" ca="1" si="12"/>
        <v>#NAME?</v>
      </c>
      <c r="L12" s="6" t="s">
        <v>65</v>
      </c>
      <c r="M12" s="6" t="s">
        <v>61</v>
      </c>
      <c r="N12" s="10">
        <v>0</v>
      </c>
      <c r="O12" s="11"/>
      <c r="P12" s="11"/>
      <c r="Q12" s="13"/>
      <c r="R12" s="14"/>
      <c r="S12" s="15" t="e">
        <f t="shared" ca="1" si="13"/>
        <v>#NAME?</v>
      </c>
      <c r="T12" s="16"/>
      <c r="U12" s="15" t="e">
        <f t="shared" ca="1" si="14"/>
        <v>#NAME?</v>
      </c>
      <c r="V12" s="14"/>
      <c r="W12" s="15" t="e">
        <f t="shared" ca="1" si="15"/>
        <v>#NAME?</v>
      </c>
      <c r="X12" s="17" t="e">
        <f t="shared" ca="1" si="16"/>
        <v>#NAME?</v>
      </c>
      <c r="Y12" s="18" t="e">
        <f t="shared" ca="1" si="17"/>
        <v>#NAME?</v>
      </c>
      <c r="Z12" s="7"/>
      <c r="AA12" s="7"/>
      <c r="AB12" s="6" t="s">
        <v>66</v>
      </c>
    </row>
    <row r="13" spans="1:28" ht="198" outlineLevel="1" x14ac:dyDescent="0.2">
      <c r="A13" s="31" t="s">
        <v>67</v>
      </c>
      <c r="B13" s="20" t="s">
        <v>68</v>
      </c>
      <c r="C13" s="7" t="s">
        <v>3</v>
      </c>
      <c r="D13" s="8" t="b">
        <v>1</v>
      </c>
      <c r="E13" s="9" t="s">
        <v>69</v>
      </c>
      <c r="F13" s="7" t="s">
        <v>6</v>
      </c>
      <c r="G13" s="7" t="e">
        <f t="shared" ca="1" si="9"/>
        <v>#NAME?</v>
      </c>
      <c r="H13" s="7" t="s">
        <v>6</v>
      </c>
      <c r="I13" s="7" t="e">
        <f t="shared" ca="1" si="10"/>
        <v>#NAME?</v>
      </c>
      <c r="J13" s="6" t="e">
        <f t="shared" ca="1" si="11"/>
        <v>#NAME?</v>
      </c>
      <c r="K13" s="6" t="e">
        <f t="shared" ca="1" si="12"/>
        <v>#NAME?</v>
      </c>
      <c r="L13" s="6" t="s">
        <v>70</v>
      </c>
      <c r="M13" s="6" t="s">
        <v>71</v>
      </c>
      <c r="N13" s="10">
        <v>0</v>
      </c>
      <c r="O13" s="11"/>
      <c r="P13" s="11"/>
      <c r="Q13" s="13"/>
      <c r="R13" s="14"/>
      <c r="S13" s="15" t="e">
        <f t="shared" ca="1" si="13"/>
        <v>#NAME?</v>
      </c>
      <c r="T13" s="16"/>
      <c r="U13" s="15" t="e">
        <f t="shared" ca="1" si="14"/>
        <v>#NAME?</v>
      </c>
      <c r="V13" s="14"/>
      <c r="W13" s="15" t="e">
        <f t="shared" ca="1" si="15"/>
        <v>#NAME?</v>
      </c>
      <c r="X13" s="17" t="e">
        <f t="shared" ca="1" si="16"/>
        <v>#NAME?</v>
      </c>
      <c r="Y13" s="18" t="e">
        <f t="shared" ca="1" si="17"/>
        <v>#NAME?</v>
      </c>
      <c r="Z13" s="7"/>
      <c r="AA13" s="7"/>
      <c r="AB13" s="6" t="s">
        <v>72</v>
      </c>
    </row>
    <row r="14" spans="1:28" ht="108" outlineLevel="1" x14ac:dyDescent="0.2">
      <c r="A14" s="31" t="s">
        <v>73</v>
      </c>
      <c r="B14" s="20" t="s">
        <v>74</v>
      </c>
      <c r="C14" s="7" t="s">
        <v>75</v>
      </c>
      <c r="D14" s="8" t="b">
        <v>0</v>
      </c>
      <c r="E14" s="9"/>
      <c r="F14" s="7"/>
      <c r="G14" s="7" t="e">
        <f t="shared" ca="1" si="9"/>
        <v>#NAME?</v>
      </c>
      <c r="H14" s="7"/>
      <c r="I14" s="7" t="e">
        <f t="shared" ca="1" si="10"/>
        <v>#NAME?</v>
      </c>
      <c r="J14" s="6" t="e">
        <f t="shared" ca="1" si="11"/>
        <v>#NAME?</v>
      </c>
      <c r="K14" s="6" t="e">
        <f t="shared" ca="1" si="12"/>
        <v>#NAME?</v>
      </c>
      <c r="L14" s="6" t="s">
        <v>76</v>
      </c>
      <c r="M14" s="6"/>
      <c r="N14" s="10">
        <v>0</v>
      </c>
      <c r="O14" s="11"/>
      <c r="P14" s="11"/>
      <c r="Q14" s="13"/>
      <c r="R14" s="14"/>
      <c r="S14" s="15" t="e">
        <f t="shared" ca="1" si="13"/>
        <v>#NAME?</v>
      </c>
      <c r="T14" s="16"/>
      <c r="U14" s="15" t="e">
        <f t="shared" ca="1" si="14"/>
        <v>#NAME?</v>
      </c>
      <c r="V14" s="14"/>
      <c r="W14" s="15" t="e">
        <f t="shared" ca="1" si="15"/>
        <v>#NAME?</v>
      </c>
      <c r="X14" s="17" t="e">
        <f t="shared" ca="1" si="16"/>
        <v>#NAME?</v>
      </c>
      <c r="Y14" s="18" t="e">
        <f t="shared" ca="1" si="17"/>
        <v>#NAME?</v>
      </c>
      <c r="Z14" s="7"/>
      <c r="AA14" s="7"/>
      <c r="AB14" s="6" t="s">
        <v>77</v>
      </c>
    </row>
    <row r="15" spans="1:28" ht="180" outlineLevel="1" x14ac:dyDescent="0.2">
      <c r="A15" s="31" t="s">
        <v>78</v>
      </c>
      <c r="B15" s="20" t="s">
        <v>79</v>
      </c>
      <c r="C15" s="7" t="s">
        <v>3</v>
      </c>
      <c r="D15" s="8" t="b">
        <v>1</v>
      </c>
      <c r="E15" s="9" t="s">
        <v>80</v>
      </c>
      <c r="F15" s="7" t="s">
        <v>5</v>
      </c>
      <c r="G15" s="7" t="e">
        <f t="shared" ca="1" si="9"/>
        <v>#NAME?</v>
      </c>
      <c r="H15" s="7" t="s">
        <v>28</v>
      </c>
      <c r="I15" s="7" t="e">
        <f t="shared" ca="1" si="10"/>
        <v>#NAME?</v>
      </c>
      <c r="J15" s="6" t="e">
        <f t="shared" ca="1" si="11"/>
        <v>#NAME?</v>
      </c>
      <c r="K15" s="6" t="e">
        <f t="shared" ca="1" si="12"/>
        <v>#NAME?</v>
      </c>
      <c r="L15" s="6" t="s">
        <v>81</v>
      </c>
      <c r="M15" s="6" t="s">
        <v>61</v>
      </c>
      <c r="N15" s="10">
        <v>0</v>
      </c>
      <c r="O15" s="11"/>
      <c r="P15" s="11"/>
      <c r="Q15" s="13"/>
      <c r="R15" s="14"/>
      <c r="S15" s="15" t="e">
        <f t="shared" ca="1" si="13"/>
        <v>#NAME?</v>
      </c>
      <c r="T15" s="16"/>
      <c r="U15" s="15" t="e">
        <f t="shared" ca="1" si="14"/>
        <v>#NAME?</v>
      </c>
      <c r="V15" s="14"/>
      <c r="W15" s="15" t="e">
        <f t="shared" ca="1" si="15"/>
        <v>#NAME?</v>
      </c>
      <c r="X15" s="17" t="e">
        <f t="shared" ca="1" si="16"/>
        <v>#NAME?</v>
      </c>
      <c r="Y15" s="18" t="e">
        <f t="shared" ca="1" si="17"/>
        <v>#NAME?</v>
      </c>
      <c r="Z15" s="7"/>
      <c r="AA15" s="7"/>
      <c r="AB15" s="6" t="s">
        <v>82</v>
      </c>
    </row>
    <row r="16" spans="1:28" ht="180" outlineLevel="1" x14ac:dyDescent="0.2">
      <c r="A16" s="31" t="s">
        <v>83</v>
      </c>
      <c r="B16" s="20" t="s">
        <v>84</v>
      </c>
      <c r="C16" s="7" t="s">
        <v>85</v>
      </c>
      <c r="D16" s="8" t="b">
        <v>0</v>
      </c>
      <c r="E16" s="9" t="s">
        <v>86</v>
      </c>
      <c r="F16" s="7" t="s">
        <v>5</v>
      </c>
      <c r="G16" s="7" t="e">
        <f t="shared" ca="1" si="9"/>
        <v>#NAME?</v>
      </c>
      <c r="H16" s="7" t="s">
        <v>15</v>
      </c>
      <c r="I16" s="7" t="e">
        <f t="shared" ca="1" si="10"/>
        <v>#NAME?</v>
      </c>
      <c r="J16" s="6" t="e">
        <f t="shared" ca="1" si="11"/>
        <v>#NAME?</v>
      </c>
      <c r="K16" s="6" t="e">
        <f t="shared" ca="1" si="12"/>
        <v>#NAME?</v>
      </c>
      <c r="L16" s="6" t="s">
        <v>87</v>
      </c>
      <c r="M16" s="6"/>
      <c r="N16" s="10">
        <v>0</v>
      </c>
      <c r="O16" s="11"/>
      <c r="P16" s="11"/>
      <c r="Q16" s="13"/>
      <c r="R16" s="14"/>
      <c r="S16" s="15" t="e">
        <f t="shared" ca="1" si="13"/>
        <v>#NAME?</v>
      </c>
      <c r="T16" s="16"/>
      <c r="U16" s="15" t="e">
        <f t="shared" ca="1" si="14"/>
        <v>#NAME?</v>
      </c>
      <c r="V16" s="14"/>
      <c r="W16" s="15" t="e">
        <f t="shared" ca="1" si="15"/>
        <v>#NAME?</v>
      </c>
      <c r="X16" s="17" t="e">
        <f t="shared" ca="1" si="16"/>
        <v>#NAME?</v>
      </c>
      <c r="Y16" s="18" t="e">
        <f t="shared" ca="1" si="17"/>
        <v>#NAME?</v>
      </c>
      <c r="Z16" s="7"/>
      <c r="AA16" s="7"/>
      <c r="AB16" s="6" t="s">
        <v>88</v>
      </c>
    </row>
    <row r="17" spans="1:28" ht="54" customHeight="1" x14ac:dyDescent="0.2">
      <c r="A17" s="32" t="s">
        <v>89</v>
      </c>
      <c r="B17" s="3" t="str">
        <f>CONCATENATE("Gestión de identidad y acceso: ",COUNTIF(B18:B26,"&lt;&gt;0"))</f>
        <v>Gestión de identidad y acceso: 9</v>
      </c>
      <c r="C17" s="2">
        <f>(COUNTIF(C18:C26,"Sí")*1 + COUNTIF(C18:C26, "Parcialmente")*0.5) / ((COUNTA(C18:C26) - (COUNTIF(C18:C26, "N/A") + COUNTIF(C18:C26, "N/E"))))</f>
        <v>0.3125</v>
      </c>
      <c r="D17" s="3">
        <f>COUNTIF(D18:D26,"true")</f>
        <v>0</v>
      </c>
      <c r="E17" s="4"/>
      <c r="F17" s="3"/>
      <c r="G17" s="3"/>
      <c r="H17" s="3"/>
      <c r="I17" s="3"/>
      <c r="J17" s="3"/>
      <c r="K17" s="3"/>
      <c r="L17" s="3" t="str">
        <f ca="1">IFERROR(__xludf.DUMMYFUNCTION("CONCATENATE(""Cantidad de notas: "", COUNTIF(FLATTEN(SPLIT(TEXTJOIN(CHAR(10), TRUE, M22:M30), CHAR(10))), ""*-?*""))"),"Cantidad de notas: 9")</f>
        <v>Cantidad de notas: 9</v>
      </c>
      <c r="M17" s="3"/>
      <c r="N17" s="3">
        <f>SUM(N18:N26)</f>
        <v>0</v>
      </c>
      <c r="O17" s="5">
        <f>MIN(O18:O26)</f>
        <v>0</v>
      </c>
      <c r="P17" s="5">
        <f>MAX(P18:P26)</f>
        <v>0</v>
      </c>
      <c r="Q17" s="5"/>
      <c r="R17" s="5"/>
      <c r="S17" s="5"/>
      <c r="T17" s="5"/>
      <c r="U17" s="5"/>
      <c r="V17" s="5"/>
      <c r="W17" s="5"/>
      <c r="X17" s="5"/>
      <c r="Y17" s="5"/>
      <c r="Z17" s="3" t="str">
        <f>CONCATENATE("GFourmis: ", COUNTIF(Z18:Z26, "GFourmis"), CHAR(10), "Cliente: ", COUNTIF(Z18:Z26, "Cliente"), CHAR(10), "Tercero: ", COUNTIF(Z18:Z26, "Tercero"))</f>
        <v>GFourmis: 0
Cliente: 0
Tercero: 0</v>
      </c>
      <c r="AA17" s="2" t="e">
        <f>(COUNTIF(AA18:AA26,"Sí")*1 + COUNTIF(AA18:AA36, "Parcialmente")*0.5) / ((COUNTA(AA18:AA26) - (COUNTIF(AA18:AA26, "N/A") + COUNTIF(AA18:AA26, "N/E"))))</f>
        <v>#DIV/0!</v>
      </c>
      <c r="AB17" s="3" t="str">
        <f ca="1">IFERROR(__xludf.DUMMYFUNCTION("CONCATENATE(""Cantidad de notas: "", COUNTIF(FLATTEN(SPLIT(TEXTJOIN(CHAR(10), TRUE, AC22:AC30), CHAR(10))), ""*-?*""))"),"Cantidad de notas: 0")</f>
        <v>Cantidad de notas: 0</v>
      </c>
    </row>
    <row r="18" spans="1:28" ht="108" outlineLevel="1" x14ac:dyDescent="0.2">
      <c r="A18" s="31" t="s">
        <v>90</v>
      </c>
      <c r="B18" s="20" t="s">
        <v>91</v>
      </c>
      <c r="C18" s="7" t="s">
        <v>3</v>
      </c>
      <c r="D18" s="8" t="b">
        <v>1</v>
      </c>
      <c r="E18" s="9" t="s">
        <v>92</v>
      </c>
      <c r="F18" s="25" t="s">
        <v>5</v>
      </c>
      <c r="G18" s="26" t="e">
        <f t="shared" ref="G18:G26" ca="1" si="18">_xludf.IFS(F18 = "Frecuente", 5, F18 = "Probable", 4, F18 = "Moderado", 3, F18 = "Bajo", 2, F18 = "Rara vez", 1)</f>
        <v>#NAME?</v>
      </c>
      <c r="H18" s="25" t="s">
        <v>15</v>
      </c>
      <c r="I18" s="7" t="e">
        <f t="shared" ref="I18:I26" ca="1" si="19">_xludf.IFS(H18 = "Crítico", 625, H18 = "Mayor", 125, H18 = "Moderado", 25, H18 = "Menor", 5, H18 = "Inferior", 1)</f>
        <v>#NAME?</v>
      </c>
      <c r="J18" s="6" t="e">
        <f t="shared" ref="J18:J26" ca="1" si="20">_xludf.IFS(K18 &lt;= 10, "Bajo", AND(K18 &gt; 10, K18 &lt;= 75), "Moderado", AND(K18 &gt; 75, K18 &lt;= 500), "Alto", AND(K18 &gt; 500, K18 &lt;= 3125), "Extremo")</f>
        <v>#NAME?</v>
      </c>
      <c r="K18" s="6" t="e">
        <f t="shared" ref="K18:K26" ca="1" si="21">G18*I18</f>
        <v>#NAME?</v>
      </c>
      <c r="L18" s="6" t="s">
        <v>93</v>
      </c>
      <c r="M18" s="6" t="s">
        <v>94</v>
      </c>
      <c r="N18" s="10">
        <v>0</v>
      </c>
      <c r="O18" s="11"/>
      <c r="P18" s="11"/>
      <c r="Q18" s="13"/>
      <c r="R18" s="14"/>
      <c r="S18" s="15" t="e">
        <f t="shared" ref="S18:S26" ca="1" si="22">_xludf.IFS(R18 = "Alta", 3, R18 = "Media", 2, R18 = "Baja", 1)</f>
        <v>#NAME?</v>
      </c>
      <c r="T18" s="16"/>
      <c r="U18" s="15" t="e">
        <f t="shared" ref="U18:U26" ca="1" si="23">_xludf.IFS(T18 = "Alta", 3, T18 = "Media", 2, T18 = "Baja", 1)</f>
        <v>#NAME?</v>
      </c>
      <c r="V18" s="14"/>
      <c r="W18" s="15" t="e">
        <f t="shared" ref="W18:W26" ca="1" si="24">_xludf.IFS(V18 = "Alta", 3, V18 = "Media", 2, V18 = "Baja", 1)</f>
        <v>#NAME?</v>
      </c>
      <c r="X18" s="17" t="e">
        <f t="shared" ref="X18:X26" ca="1" si="25">_xludf.IFS(Y18 &lt; 2, "Baja", AND(Y18 &gt;= 2, Y18 &lt;= 2.49), "Media", AND(Y18 &gt;= 2.5), "Alta")</f>
        <v>#NAME?</v>
      </c>
      <c r="Y18" s="18" t="e">
        <f t="shared" ref="Y18:Y26" ca="1" si="26">(N18 *0.25)+(S18*0.3)+(U18*0.3)+(W18*0.15)</f>
        <v>#NAME?</v>
      </c>
      <c r="Z18" s="7"/>
      <c r="AA18" s="7"/>
      <c r="AB18" s="6" t="s">
        <v>95</v>
      </c>
    </row>
    <row r="19" spans="1:28" ht="180" outlineLevel="1" x14ac:dyDescent="0.2">
      <c r="A19" s="31" t="s">
        <v>96</v>
      </c>
      <c r="B19" s="20" t="s">
        <v>97</v>
      </c>
      <c r="C19" s="7" t="s">
        <v>12</v>
      </c>
      <c r="D19" s="8" t="b">
        <v>1</v>
      </c>
      <c r="E19" s="9" t="s">
        <v>98</v>
      </c>
      <c r="F19" s="25" t="s">
        <v>14</v>
      </c>
      <c r="G19" s="26" t="e">
        <f t="shared" ca="1" si="18"/>
        <v>#NAME?</v>
      </c>
      <c r="H19" s="25" t="s">
        <v>28</v>
      </c>
      <c r="I19" s="7" t="e">
        <f t="shared" ca="1" si="19"/>
        <v>#NAME?</v>
      </c>
      <c r="J19" s="6" t="e">
        <f t="shared" ca="1" si="20"/>
        <v>#NAME?</v>
      </c>
      <c r="K19" s="6" t="e">
        <f t="shared" ca="1" si="21"/>
        <v>#NAME?</v>
      </c>
      <c r="L19" s="6" t="s">
        <v>99</v>
      </c>
      <c r="M19" s="6" t="s">
        <v>100</v>
      </c>
      <c r="N19" s="10">
        <v>0</v>
      </c>
      <c r="O19" s="11"/>
      <c r="P19" s="11"/>
      <c r="Q19" s="13"/>
      <c r="R19" s="14"/>
      <c r="S19" s="15" t="e">
        <f t="shared" ca="1" si="22"/>
        <v>#NAME?</v>
      </c>
      <c r="T19" s="16"/>
      <c r="U19" s="15" t="e">
        <f t="shared" ca="1" si="23"/>
        <v>#NAME?</v>
      </c>
      <c r="V19" s="14"/>
      <c r="W19" s="15" t="e">
        <f t="shared" ca="1" si="24"/>
        <v>#NAME?</v>
      </c>
      <c r="X19" s="17" t="e">
        <f t="shared" ca="1" si="25"/>
        <v>#NAME?</v>
      </c>
      <c r="Y19" s="18" t="e">
        <f t="shared" ca="1" si="26"/>
        <v>#NAME?</v>
      </c>
      <c r="Z19" s="7"/>
      <c r="AA19" s="7"/>
      <c r="AB19" s="6" t="s">
        <v>101</v>
      </c>
    </row>
    <row r="20" spans="1:28" ht="342" outlineLevel="1" x14ac:dyDescent="0.2">
      <c r="A20" s="31" t="s">
        <v>102</v>
      </c>
      <c r="B20" s="20" t="s">
        <v>103</v>
      </c>
      <c r="C20" s="7" t="s">
        <v>3</v>
      </c>
      <c r="D20" s="8" t="b">
        <v>1</v>
      </c>
      <c r="E20" s="9" t="s">
        <v>92</v>
      </c>
      <c r="F20" s="25" t="s">
        <v>104</v>
      </c>
      <c r="G20" s="26" t="e">
        <f t="shared" ca="1" si="18"/>
        <v>#NAME?</v>
      </c>
      <c r="H20" s="25" t="s">
        <v>28</v>
      </c>
      <c r="I20" s="7" t="e">
        <f t="shared" ca="1" si="19"/>
        <v>#NAME?</v>
      </c>
      <c r="J20" s="6" t="e">
        <f t="shared" ca="1" si="20"/>
        <v>#NAME?</v>
      </c>
      <c r="K20" s="6" t="e">
        <f t="shared" ca="1" si="21"/>
        <v>#NAME?</v>
      </c>
      <c r="L20" s="6" t="s">
        <v>105</v>
      </c>
      <c r="M20" s="6" t="s">
        <v>106</v>
      </c>
      <c r="N20" s="10">
        <v>0</v>
      </c>
      <c r="O20" s="11"/>
      <c r="P20" s="11"/>
      <c r="Q20" s="13"/>
      <c r="R20" s="14"/>
      <c r="S20" s="15" t="e">
        <f t="shared" ca="1" si="22"/>
        <v>#NAME?</v>
      </c>
      <c r="T20" s="16"/>
      <c r="U20" s="15" t="e">
        <f t="shared" ca="1" si="23"/>
        <v>#NAME?</v>
      </c>
      <c r="V20" s="14"/>
      <c r="W20" s="15" t="e">
        <f t="shared" ca="1" si="24"/>
        <v>#NAME?</v>
      </c>
      <c r="X20" s="17" t="e">
        <f t="shared" ca="1" si="25"/>
        <v>#NAME?</v>
      </c>
      <c r="Y20" s="18" t="e">
        <f t="shared" ca="1" si="26"/>
        <v>#NAME?</v>
      </c>
      <c r="Z20" s="7"/>
      <c r="AA20" s="7"/>
      <c r="AB20" s="6" t="s">
        <v>107</v>
      </c>
    </row>
    <row r="21" spans="1:28" ht="234" outlineLevel="1" x14ac:dyDescent="0.2">
      <c r="A21" s="31" t="s">
        <v>108</v>
      </c>
      <c r="B21" s="20" t="s">
        <v>109</v>
      </c>
      <c r="C21" s="7" t="s">
        <v>3</v>
      </c>
      <c r="D21" s="8" t="b">
        <v>1</v>
      </c>
      <c r="E21" s="9" t="s">
        <v>92</v>
      </c>
      <c r="F21" s="25" t="s">
        <v>5</v>
      </c>
      <c r="G21" s="26" t="e">
        <f t="shared" ca="1" si="18"/>
        <v>#NAME?</v>
      </c>
      <c r="H21" s="25" t="s">
        <v>15</v>
      </c>
      <c r="I21" s="7" t="e">
        <f t="shared" ca="1" si="19"/>
        <v>#NAME?</v>
      </c>
      <c r="J21" s="6" t="e">
        <f t="shared" ca="1" si="20"/>
        <v>#NAME?</v>
      </c>
      <c r="K21" s="6" t="e">
        <f t="shared" ca="1" si="21"/>
        <v>#NAME?</v>
      </c>
      <c r="L21" s="6" t="s">
        <v>110</v>
      </c>
      <c r="M21" s="6" t="s">
        <v>94</v>
      </c>
      <c r="N21" s="10">
        <v>0</v>
      </c>
      <c r="O21" s="11"/>
      <c r="P21" s="11"/>
      <c r="Q21" s="13"/>
      <c r="R21" s="14"/>
      <c r="S21" s="15" t="e">
        <f t="shared" ca="1" si="22"/>
        <v>#NAME?</v>
      </c>
      <c r="T21" s="16"/>
      <c r="U21" s="15" t="e">
        <f t="shared" ca="1" si="23"/>
        <v>#NAME?</v>
      </c>
      <c r="V21" s="14"/>
      <c r="W21" s="15" t="e">
        <f t="shared" ca="1" si="24"/>
        <v>#NAME?</v>
      </c>
      <c r="X21" s="17" t="e">
        <f t="shared" ca="1" si="25"/>
        <v>#NAME?</v>
      </c>
      <c r="Y21" s="18" t="e">
        <f t="shared" ca="1" si="26"/>
        <v>#NAME?</v>
      </c>
      <c r="Z21" s="7"/>
      <c r="AA21" s="7"/>
      <c r="AB21" s="6" t="s">
        <v>111</v>
      </c>
    </row>
    <row r="22" spans="1:28" ht="162" outlineLevel="1" x14ac:dyDescent="0.2">
      <c r="A22" s="31" t="s">
        <v>112</v>
      </c>
      <c r="B22" s="20" t="s">
        <v>113</v>
      </c>
      <c r="C22" s="7" t="s">
        <v>3</v>
      </c>
      <c r="D22" s="8" t="b">
        <v>1</v>
      </c>
      <c r="E22" s="9" t="s">
        <v>92</v>
      </c>
      <c r="F22" s="25" t="s">
        <v>6</v>
      </c>
      <c r="G22" s="26" t="e">
        <f t="shared" ca="1" si="18"/>
        <v>#NAME?</v>
      </c>
      <c r="H22" s="25" t="s">
        <v>15</v>
      </c>
      <c r="I22" s="7" t="e">
        <f t="shared" ca="1" si="19"/>
        <v>#NAME?</v>
      </c>
      <c r="J22" s="6" t="e">
        <f t="shared" ca="1" si="20"/>
        <v>#NAME?</v>
      </c>
      <c r="K22" s="6" t="e">
        <f t="shared" ca="1" si="21"/>
        <v>#NAME?</v>
      </c>
      <c r="L22" s="6" t="s">
        <v>114</v>
      </c>
      <c r="M22" s="6" t="s">
        <v>94</v>
      </c>
      <c r="N22" s="10">
        <v>0</v>
      </c>
      <c r="O22" s="11"/>
      <c r="P22" s="11"/>
      <c r="Q22" s="13"/>
      <c r="R22" s="14"/>
      <c r="S22" s="15" t="e">
        <f t="shared" ca="1" si="22"/>
        <v>#NAME?</v>
      </c>
      <c r="T22" s="16"/>
      <c r="U22" s="15" t="e">
        <f t="shared" ca="1" si="23"/>
        <v>#NAME?</v>
      </c>
      <c r="V22" s="14"/>
      <c r="W22" s="15" t="e">
        <f t="shared" ca="1" si="24"/>
        <v>#NAME?</v>
      </c>
      <c r="X22" s="17" t="e">
        <f t="shared" ca="1" si="25"/>
        <v>#NAME?</v>
      </c>
      <c r="Y22" s="18" t="e">
        <f t="shared" ca="1" si="26"/>
        <v>#NAME?</v>
      </c>
      <c r="Z22" s="7"/>
      <c r="AA22" s="7"/>
      <c r="AB22" s="6" t="s">
        <v>115</v>
      </c>
    </row>
    <row r="23" spans="1:28" ht="108" outlineLevel="1" x14ac:dyDescent="0.2">
      <c r="A23" s="31" t="s">
        <v>116</v>
      </c>
      <c r="B23" s="20" t="s">
        <v>117</v>
      </c>
      <c r="C23" s="7" t="s">
        <v>3</v>
      </c>
      <c r="D23" s="8" t="b">
        <v>1</v>
      </c>
      <c r="E23" s="9" t="s">
        <v>92</v>
      </c>
      <c r="F23" s="25" t="s">
        <v>6</v>
      </c>
      <c r="G23" s="26" t="e">
        <f t="shared" ca="1" si="18"/>
        <v>#NAME?</v>
      </c>
      <c r="H23" s="25" t="s">
        <v>28</v>
      </c>
      <c r="I23" s="7" t="e">
        <f t="shared" ca="1" si="19"/>
        <v>#NAME?</v>
      </c>
      <c r="J23" s="6" t="e">
        <f t="shared" ca="1" si="20"/>
        <v>#NAME?</v>
      </c>
      <c r="K23" s="6" t="e">
        <f t="shared" ca="1" si="21"/>
        <v>#NAME?</v>
      </c>
      <c r="L23" s="6" t="s">
        <v>118</v>
      </c>
      <c r="M23" s="6" t="s">
        <v>94</v>
      </c>
      <c r="N23" s="10">
        <v>0</v>
      </c>
      <c r="O23" s="11"/>
      <c r="P23" s="11"/>
      <c r="Q23" s="13"/>
      <c r="R23" s="14"/>
      <c r="S23" s="15" t="e">
        <f t="shared" ca="1" si="22"/>
        <v>#NAME?</v>
      </c>
      <c r="T23" s="16"/>
      <c r="U23" s="15" t="e">
        <f t="shared" ca="1" si="23"/>
        <v>#NAME?</v>
      </c>
      <c r="V23" s="14"/>
      <c r="W23" s="15" t="e">
        <f t="shared" ca="1" si="24"/>
        <v>#NAME?</v>
      </c>
      <c r="X23" s="17" t="e">
        <f t="shared" ca="1" si="25"/>
        <v>#NAME?</v>
      </c>
      <c r="Y23" s="18" t="e">
        <f t="shared" ca="1" si="26"/>
        <v>#NAME?</v>
      </c>
      <c r="Z23" s="7"/>
      <c r="AA23" s="7"/>
      <c r="AB23" s="6" t="s">
        <v>119</v>
      </c>
    </row>
    <row r="24" spans="1:28" ht="72" outlineLevel="1" x14ac:dyDescent="0.2">
      <c r="A24" s="31" t="s">
        <v>120</v>
      </c>
      <c r="B24" s="20" t="s">
        <v>121</v>
      </c>
      <c r="C24" s="7" t="s">
        <v>85</v>
      </c>
      <c r="D24" s="8" t="b">
        <v>1</v>
      </c>
      <c r="E24" s="9"/>
      <c r="F24" s="7" t="s">
        <v>6</v>
      </c>
      <c r="G24" s="7" t="e">
        <f t="shared" ca="1" si="18"/>
        <v>#NAME?</v>
      </c>
      <c r="H24" s="7" t="s">
        <v>15</v>
      </c>
      <c r="I24" s="7" t="e">
        <f t="shared" ca="1" si="19"/>
        <v>#NAME?</v>
      </c>
      <c r="J24" s="6" t="e">
        <f t="shared" ca="1" si="20"/>
        <v>#NAME?</v>
      </c>
      <c r="K24" s="6" t="e">
        <f t="shared" ca="1" si="21"/>
        <v>#NAME?</v>
      </c>
      <c r="L24" s="6" t="s">
        <v>122</v>
      </c>
      <c r="M24" s="6" t="s">
        <v>123</v>
      </c>
      <c r="N24" s="10">
        <v>0</v>
      </c>
      <c r="O24" s="11"/>
      <c r="P24" s="11"/>
      <c r="Q24" s="13"/>
      <c r="R24" s="14"/>
      <c r="S24" s="15" t="e">
        <f t="shared" ca="1" si="22"/>
        <v>#NAME?</v>
      </c>
      <c r="T24" s="16"/>
      <c r="U24" s="15" t="e">
        <f t="shared" ca="1" si="23"/>
        <v>#NAME?</v>
      </c>
      <c r="V24" s="14"/>
      <c r="W24" s="15" t="e">
        <f t="shared" ca="1" si="24"/>
        <v>#NAME?</v>
      </c>
      <c r="X24" s="17" t="e">
        <f t="shared" ca="1" si="25"/>
        <v>#NAME?</v>
      </c>
      <c r="Y24" s="18" t="e">
        <f t="shared" ca="1" si="26"/>
        <v>#NAME?</v>
      </c>
      <c r="Z24" s="7"/>
      <c r="AA24" s="7"/>
      <c r="AB24" s="6" t="s">
        <v>124</v>
      </c>
    </row>
    <row r="25" spans="1:28" ht="198" outlineLevel="1" x14ac:dyDescent="0.2">
      <c r="A25" s="31" t="s">
        <v>125</v>
      </c>
      <c r="B25" s="20" t="s">
        <v>126</v>
      </c>
      <c r="C25" s="7" t="s">
        <v>75</v>
      </c>
      <c r="D25" s="8" t="b">
        <v>0</v>
      </c>
      <c r="E25" s="9"/>
      <c r="F25" s="7"/>
      <c r="G25" s="7" t="e">
        <f t="shared" ca="1" si="18"/>
        <v>#NAME?</v>
      </c>
      <c r="H25" s="7"/>
      <c r="I25" s="7" t="e">
        <f t="shared" ca="1" si="19"/>
        <v>#NAME?</v>
      </c>
      <c r="J25" s="6" t="e">
        <f t="shared" ca="1" si="20"/>
        <v>#NAME?</v>
      </c>
      <c r="K25" s="6" t="e">
        <f t="shared" ca="1" si="21"/>
        <v>#NAME?</v>
      </c>
      <c r="L25" s="6" t="s">
        <v>127</v>
      </c>
      <c r="M25" s="6"/>
      <c r="N25" s="10">
        <v>0</v>
      </c>
      <c r="O25" s="11"/>
      <c r="P25" s="11"/>
      <c r="Q25" s="13"/>
      <c r="R25" s="14"/>
      <c r="S25" s="15" t="e">
        <f t="shared" ca="1" si="22"/>
        <v>#NAME?</v>
      </c>
      <c r="T25" s="16"/>
      <c r="U25" s="15" t="e">
        <f t="shared" ca="1" si="23"/>
        <v>#NAME?</v>
      </c>
      <c r="V25" s="14"/>
      <c r="W25" s="15" t="e">
        <f t="shared" ca="1" si="24"/>
        <v>#NAME?</v>
      </c>
      <c r="X25" s="17" t="e">
        <f t="shared" ca="1" si="25"/>
        <v>#NAME?</v>
      </c>
      <c r="Y25" s="18" t="e">
        <f t="shared" ca="1" si="26"/>
        <v>#NAME?</v>
      </c>
      <c r="Z25" s="7"/>
      <c r="AA25" s="7"/>
      <c r="AB25" s="6" t="s">
        <v>128</v>
      </c>
    </row>
    <row r="26" spans="1:28" ht="144" outlineLevel="1" x14ac:dyDescent="0.2">
      <c r="A26" s="31" t="s">
        <v>129</v>
      </c>
      <c r="B26" s="20" t="s">
        <v>130</v>
      </c>
      <c r="C26" s="7" t="s">
        <v>85</v>
      </c>
      <c r="D26" s="8" t="b">
        <v>0</v>
      </c>
      <c r="E26" s="9"/>
      <c r="F26" s="7"/>
      <c r="G26" s="7" t="e">
        <f t="shared" ca="1" si="18"/>
        <v>#NAME?</v>
      </c>
      <c r="H26" s="7"/>
      <c r="I26" s="7" t="e">
        <f t="shared" ca="1" si="19"/>
        <v>#NAME?</v>
      </c>
      <c r="J26" s="6" t="e">
        <f t="shared" ca="1" si="20"/>
        <v>#NAME?</v>
      </c>
      <c r="K26" s="6" t="e">
        <f t="shared" ca="1" si="21"/>
        <v>#NAME?</v>
      </c>
      <c r="L26" s="6" t="s">
        <v>131</v>
      </c>
      <c r="M26" s="6"/>
      <c r="N26" s="10">
        <v>0</v>
      </c>
      <c r="O26" s="11"/>
      <c r="P26" s="11"/>
      <c r="Q26" s="13"/>
      <c r="R26" s="14"/>
      <c r="S26" s="15" t="e">
        <f t="shared" ca="1" si="22"/>
        <v>#NAME?</v>
      </c>
      <c r="T26" s="16"/>
      <c r="U26" s="15" t="e">
        <f t="shared" ca="1" si="23"/>
        <v>#NAME?</v>
      </c>
      <c r="V26" s="14"/>
      <c r="W26" s="15" t="e">
        <f t="shared" ca="1" si="24"/>
        <v>#NAME?</v>
      </c>
      <c r="X26" s="17" t="e">
        <f t="shared" ca="1" si="25"/>
        <v>#NAME?</v>
      </c>
      <c r="Y26" s="18" t="e">
        <f t="shared" ca="1" si="26"/>
        <v>#NAME?</v>
      </c>
      <c r="Z26" s="7"/>
      <c r="AA26" s="7"/>
      <c r="AB26" s="6" t="s">
        <v>132</v>
      </c>
    </row>
    <row r="27" spans="1:28" ht="54" customHeight="1" x14ac:dyDescent="0.2">
      <c r="A27" s="32" t="s">
        <v>133</v>
      </c>
      <c r="B27" s="3" t="str">
        <f>CONCATENATE("Detección: ",COUNTIF(B28:B31,"&lt;&gt;0"))</f>
        <v>Detección: 4</v>
      </c>
      <c r="C27" s="2">
        <f>(COUNTIF(C28:C31,"Sí")*1 + COUNTIF(C28:C31, "Parcialmente")*0.5) / ((COUNTA(C28:C31) - (COUNTIF(C28:C31, "N/A") + COUNTIF(C28:C31, "N/E"))))</f>
        <v>0</v>
      </c>
      <c r="D27" s="3">
        <f>COUNTIF(D28:D31,"true")</f>
        <v>0</v>
      </c>
      <c r="E27" s="4"/>
      <c r="F27" s="3"/>
      <c r="G27" s="3"/>
      <c r="H27" s="3"/>
      <c r="I27" s="3"/>
      <c r="J27" s="3"/>
      <c r="K27" s="3"/>
      <c r="L27" s="3" t="str">
        <f ca="1">IFERROR(__xludf.DUMMYFUNCTION("CONCATENATE(""Cantidad de notas: "", COUNTIF(FLATTEN(SPLIT(TEXTJOIN(CHAR(10), TRUE, M32:M35), CHAR(10))), ""*-?*""))"),"Cantidad de notas: 14")</f>
        <v>Cantidad de notas: 14</v>
      </c>
      <c r="M27" s="3"/>
      <c r="N27" s="3">
        <f>SUM(N28:N31)</f>
        <v>0</v>
      </c>
      <c r="O27" s="5">
        <f>MIN(O28:O31)</f>
        <v>0</v>
      </c>
      <c r="P27" s="5">
        <f>MAX(P28:P31)</f>
        <v>0</v>
      </c>
      <c r="Q27" s="5"/>
      <c r="R27" s="5"/>
      <c r="S27" s="5"/>
      <c r="T27" s="5"/>
      <c r="U27" s="5"/>
      <c r="V27" s="5"/>
      <c r="W27" s="5"/>
      <c r="X27" s="5"/>
      <c r="Y27" s="5"/>
      <c r="Z27" s="3" t="str">
        <f>CONCATENATE("GFourmis: ", COUNTIF(Z28:Z31, "GFourmis"), CHAR(10), "Cliente: ", COUNTIF(Z28:Z31, "Cliente"), CHAR(10), "Tercero: ", COUNTIF(Z28:Z31, "Tercero"))</f>
        <v>GFourmis: 0
Cliente: 0
Tercero: 0</v>
      </c>
      <c r="AA27" s="2" t="e">
        <f>(COUNTIF(AA28:AA31,"Sí")*1 + COUNTIF(AA28:AA31, "Parcialmente")*0.5) / ((COUNTA(AA28:AA31) - (COUNTIF(AA28:AA31, "N/A") + COUNTIF(AA28:AA31, "N/E"))))</f>
        <v>#DIV/0!</v>
      </c>
      <c r="AB27" s="3" t="str">
        <f ca="1">IFERROR(__xludf.DUMMYFUNCTION("CONCATENATE(""Cantidad de notas: "", COUNTIF(FLATTEN(SPLIT(TEXTJOIN(CHAR(10), TRUE, AC32:AC35), CHAR(10))), ""*-?*""))"),"Cantidad de notas: 0")</f>
        <v>Cantidad de notas: 0</v>
      </c>
    </row>
    <row r="28" spans="1:28" ht="162" outlineLevel="1" x14ac:dyDescent="0.2">
      <c r="A28" s="31" t="s">
        <v>134</v>
      </c>
      <c r="B28" s="9" t="s">
        <v>135</v>
      </c>
      <c r="C28" s="7" t="s">
        <v>3</v>
      </c>
      <c r="D28" s="8" t="b">
        <v>1</v>
      </c>
      <c r="E28" s="9" t="s">
        <v>136</v>
      </c>
      <c r="F28" s="7" t="s">
        <v>5</v>
      </c>
      <c r="G28" s="7" t="e">
        <f t="shared" ref="G28:G31" ca="1" si="27">_xludf.IFS(F28 = "Frecuente", 5, F28 = "Probable", 4, F28 = "Moderado", 3, F28 = "Bajo", 2, F28 = "Rara vez", 1)</f>
        <v>#NAME?</v>
      </c>
      <c r="H28" s="7" t="s">
        <v>15</v>
      </c>
      <c r="I28" s="7" t="e">
        <f t="shared" ref="I28:I31" ca="1" si="28">_xludf.IFS(H28 = "Crítico", 625, H28 = "Mayor", 125, H28 = "Moderado", 25, H28 = "Menor", 5, H28 = "Inferior", 1)</f>
        <v>#NAME?</v>
      </c>
      <c r="J28" s="6" t="e">
        <f t="shared" ref="J28:J31" ca="1" si="29">_xludf.IFS(K28 &lt;= 10, "Bajo", AND(K28 &gt; 10, K28 &lt;= 75), "Moderado", AND(K28 &gt; 75, K28 &lt;= 500), "Alto", AND(K28 &gt; 500, K28 &lt;= 3125), "Extremo")</f>
        <v>#NAME?</v>
      </c>
      <c r="K28" s="6" t="e">
        <f t="shared" ref="K28:K31" ca="1" si="30">G28*I28</f>
        <v>#NAME?</v>
      </c>
      <c r="L28" s="6" t="s">
        <v>137</v>
      </c>
      <c r="M28" s="6" t="s">
        <v>138</v>
      </c>
      <c r="N28" s="10">
        <v>0</v>
      </c>
      <c r="O28" s="11"/>
      <c r="P28" s="11"/>
      <c r="Q28" s="13"/>
      <c r="R28" s="14"/>
      <c r="S28" s="15" t="e">
        <f t="shared" ref="S28:S31" ca="1" si="31">_xludf.IFS(R28 = "Alta", 3, R28 = "Media", 2, R28 = "Baja", 1)</f>
        <v>#NAME?</v>
      </c>
      <c r="T28" s="16"/>
      <c r="U28" s="15" t="e">
        <f t="shared" ref="U28:U31" ca="1" si="32">_xludf.IFS(T28 = "Alta", 3, T28 = "Media", 2, T28 = "Baja", 1)</f>
        <v>#NAME?</v>
      </c>
      <c r="V28" s="14"/>
      <c r="W28" s="15" t="e">
        <f t="shared" ref="W28:W31" ca="1" si="33">_xludf.IFS(V28 = "Alta", 3, V28 = "Media", 2, V28 = "Baja", 1)</f>
        <v>#NAME?</v>
      </c>
      <c r="X28" s="17" t="e">
        <f t="shared" ref="X28:X31" ca="1" si="34">_xludf.IFS(Y28 &lt; 2, "Baja", AND(Y28 &gt;= 2, Y28 &lt;= 2.49), "Media", AND(Y28 &gt;= 2.5), "Alta")</f>
        <v>#NAME?</v>
      </c>
      <c r="Y28" s="18" t="e">
        <f t="shared" ref="Y28:Y31" ca="1" si="35">(N28 *0.25)+(S28*0.3)+(U28*0.3)+(W28*0.15)</f>
        <v>#NAME?</v>
      </c>
      <c r="Z28" s="7"/>
      <c r="AA28" s="7"/>
      <c r="AB28" s="6" t="s">
        <v>139</v>
      </c>
    </row>
    <row r="29" spans="1:28" ht="162" outlineLevel="1" x14ac:dyDescent="0.2">
      <c r="A29" s="31" t="s">
        <v>140</v>
      </c>
      <c r="B29" s="6" t="s">
        <v>141</v>
      </c>
      <c r="C29" s="7" t="s">
        <v>3</v>
      </c>
      <c r="D29" s="8" t="b">
        <v>1</v>
      </c>
      <c r="E29" s="9" t="s">
        <v>136</v>
      </c>
      <c r="F29" s="7" t="s">
        <v>5</v>
      </c>
      <c r="G29" s="7" t="e">
        <f t="shared" ca="1" si="27"/>
        <v>#NAME?</v>
      </c>
      <c r="H29" s="7" t="s">
        <v>15</v>
      </c>
      <c r="I29" s="7" t="e">
        <f t="shared" ca="1" si="28"/>
        <v>#NAME?</v>
      </c>
      <c r="J29" s="6" t="e">
        <f t="shared" ca="1" si="29"/>
        <v>#NAME?</v>
      </c>
      <c r="K29" s="6" t="e">
        <f t="shared" ca="1" si="30"/>
        <v>#NAME?</v>
      </c>
      <c r="L29" s="6" t="s">
        <v>142</v>
      </c>
      <c r="M29" s="6" t="s">
        <v>138</v>
      </c>
      <c r="N29" s="10">
        <v>0</v>
      </c>
      <c r="O29" s="11"/>
      <c r="P29" s="11"/>
      <c r="Q29" s="13"/>
      <c r="R29" s="14"/>
      <c r="S29" s="15" t="e">
        <f t="shared" ca="1" si="31"/>
        <v>#NAME?</v>
      </c>
      <c r="T29" s="16"/>
      <c r="U29" s="15" t="e">
        <f t="shared" ca="1" si="32"/>
        <v>#NAME?</v>
      </c>
      <c r="V29" s="14"/>
      <c r="W29" s="15" t="e">
        <f t="shared" ca="1" si="33"/>
        <v>#NAME?</v>
      </c>
      <c r="X29" s="17" t="e">
        <f t="shared" ca="1" si="34"/>
        <v>#NAME?</v>
      </c>
      <c r="Y29" s="18" t="e">
        <f t="shared" ca="1" si="35"/>
        <v>#NAME?</v>
      </c>
      <c r="Z29" s="7"/>
      <c r="AA29" s="7"/>
      <c r="AB29" s="6" t="s">
        <v>143</v>
      </c>
    </row>
    <row r="30" spans="1:28" ht="162" outlineLevel="1" x14ac:dyDescent="0.2">
      <c r="A30" s="31" t="s">
        <v>144</v>
      </c>
      <c r="B30" s="6" t="s">
        <v>145</v>
      </c>
      <c r="C30" s="7" t="s">
        <v>3</v>
      </c>
      <c r="D30" s="8" t="b">
        <v>1</v>
      </c>
      <c r="E30" s="9" t="s">
        <v>136</v>
      </c>
      <c r="F30" s="7" t="s">
        <v>5</v>
      </c>
      <c r="G30" s="7" t="e">
        <f t="shared" ca="1" si="27"/>
        <v>#NAME?</v>
      </c>
      <c r="H30" s="7" t="s">
        <v>15</v>
      </c>
      <c r="I30" s="7" t="e">
        <f t="shared" ca="1" si="28"/>
        <v>#NAME?</v>
      </c>
      <c r="J30" s="6" t="e">
        <f t="shared" ca="1" si="29"/>
        <v>#NAME?</v>
      </c>
      <c r="K30" s="6" t="e">
        <f t="shared" ca="1" si="30"/>
        <v>#NAME?</v>
      </c>
      <c r="L30" s="6" t="s">
        <v>146</v>
      </c>
      <c r="M30" s="6" t="s">
        <v>147</v>
      </c>
      <c r="N30" s="10">
        <v>0</v>
      </c>
      <c r="O30" s="11"/>
      <c r="P30" s="11"/>
      <c r="Q30" s="13"/>
      <c r="R30" s="14"/>
      <c r="S30" s="15" t="e">
        <f t="shared" ca="1" si="31"/>
        <v>#NAME?</v>
      </c>
      <c r="T30" s="16"/>
      <c r="U30" s="15" t="e">
        <f t="shared" ca="1" si="32"/>
        <v>#NAME?</v>
      </c>
      <c r="V30" s="14"/>
      <c r="W30" s="15" t="e">
        <f t="shared" ca="1" si="33"/>
        <v>#NAME?</v>
      </c>
      <c r="X30" s="17" t="e">
        <f t="shared" ca="1" si="34"/>
        <v>#NAME?</v>
      </c>
      <c r="Y30" s="18" t="e">
        <f t="shared" ca="1" si="35"/>
        <v>#NAME?</v>
      </c>
      <c r="Z30" s="7"/>
      <c r="AA30" s="7"/>
      <c r="AB30" s="6" t="s">
        <v>148</v>
      </c>
    </row>
    <row r="31" spans="1:28" ht="252" outlineLevel="1" x14ac:dyDescent="0.2">
      <c r="A31" s="31" t="s">
        <v>149</v>
      </c>
      <c r="B31" s="6" t="s">
        <v>150</v>
      </c>
      <c r="C31" s="7" t="s">
        <v>3</v>
      </c>
      <c r="D31" s="8" t="b">
        <v>1</v>
      </c>
      <c r="E31" s="9" t="s">
        <v>136</v>
      </c>
      <c r="F31" s="7" t="s">
        <v>5</v>
      </c>
      <c r="G31" s="7" t="e">
        <f t="shared" ca="1" si="27"/>
        <v>#NAME?</v>
      </c>
      <c r="H31" s="7" t="s">
        <v>15</v>
      </c>
      <c r="I31" s="7" t="e">
        <f t="shared" ca="1" si="28"/>
        <v>#NAME?</v>
      </c>
      <c r="J31" s="6" t="e">
        <f t="shared" ca="1" si="29"/>
        <v>#NAME?</v>
      </c>
      <c r="K31" s="6" t="e">
        <f t="shared" ca="1" si="30"/>
        <v>#NAME?</v>
      </c>
      <c r="L31" s="6" t="s">
        <v>151</v>
      </c>
      <c r="M31" s="6" t="s">
        <v>152</v>
      </c>
      <c r="N31" s="10">
        <v>0</v>
      </c>
      <c r="O31" s="11"/>
      <c r="P31" s="11"/>
      <c r="Q31" s="13"/>
      <c r="R31" s="14"/>
      <c r="S31" s="15" t="e">
        <f t="shared" ca="1" si="31"/>
        <v>#NAME?</v>
      </c>
      <c r="T31" s="16"/>
      <c r="U31" s="15" t="e">
        <f t="shared" ca="1" si="32"/>
        <v>#NAME?</v>
      </c>
      <c r="V31" s="14"/>
      <c r="W31" s="15" t="e">
        <f t="shared" ca="1" si="33"/>
        <v>#NAME?</v>
      </c>
      <c r="X31" s="17" t="e">
        <f t="shared" ca="1" si="34"/>
        <v>#NAME?</v>
      </c>
      <c r="Y31" s="18" t="e">
        <f t="shared" ca="1" si="35"/>
        <v>#NAME?</v>
      </c>
      <c r="Z31" s="7"/>
      <c r="AA31" s="7"/>
      <c r="AB31" s="6" t="s">
        <v>153</v>
      </c>
    </row>
    <row r="32" spans="1:28" ht="54" customHeight="1" x14ac:dyDescent="0.2">
      <c r="A32" s="32" t="s">
        <v>154</v>
      </c>
      <c r="B32" s="3" t="str">
        <f>CONCATENATE("Protección de infraestructura: ",COUNTIF(B33:B36,"&lt;&gt;0"))</f>
        <v>Protección de infraestructura: 4</v>
      </c>
      <c r="C32" s="2">
        <f>(COUNTIF(C33:C36,"Sí")*1 + COUNTIF(C33:C36, "Parcialmente")*0.5) / ((COUNTA(C33:C36) - (COUNTIF(C33:C36, "N/A") + COUNTIF(C33:C36, "N/E"))))</f>
        <v>0.125</v>
      </c>
      <c r="D32" s="3">
        <f>COUNTIF(D33:D36,"true")</f>
        <v>0</v>
      </c>
      <c r="E32" s="4"/>
      <c r="F32" s="3"/>
      <c r="G32" s="3"/>
      <c r="H32" s="3"/>
      <c r="I32" s="3"/>
      <c r="J32" s="3"/>
      <c r="K32" s="3"/>
      <c r="L32" s="3" t="str">
        <f ca="1">IFERROR(__xludf.DUMMYFUNCTION("CONCATENATE(""Cantidad de notas: "", COUNTIF(FLATTEN(SPLIT(TEXTJOIN(CHAR(10), TRUE, M37:M40), CHAR(10))), ""*-?*""))"),"Cantidad de notas: 14")</f>
        <v>Cantidad de notas: 14</v>
      </c>
      <c r="M32" s="3"/>
      <c r="N32" s="3">
        <f>SUM(N33:N36)</f>
        <v>0</v>
      </c>
      <c r="O32" s="5">
        <f>MIN(O33:O36)</f>
        <v>0</v>
      </c>
      <c r="P32" s="5">
        <f>MAX(P33:P36)</f>
        <v>0</v>
      </c>
      <c r="Q32" s="5"/>
      <c r="R32" s="5"/>
      <c r="S32" s="5"/>
      <c r="T32" s="5"/>
      <c r="U32" s="5"/>
      <c r="V32" s="5"/>
      <c r="W32" s="5"/>
      <c r="X32" s="5"/>
      <c r="Y32" s="5"/>
      <c r="Z32" s="3" t="str">
        <f>CONCATENATE("GFourmis: ", COUNTIF(Z33:Z36, "GFourmis"), CHAR(10), "Cliente: ", COUNTIF(Z33:Z36, "Cliente"), CHAR(10), "Tercero: ", COUNTIF(Z33:Z36, "Tercero"))</f>
        <v>GFourmis: 0
Cliente: 0
Tercero: 0</v>
      </c>
      <c r="AA32" s="2" t="e">
        <f>(COUNTIF(AA33:AA36,"Sí")*1 + COUNTIF(AA33:AA36, "Parcialmente")*0.5) / ((COUNTA(AA33:AA36) - (COUNTIF(AA33:AA36, "N/A") + COUNTIF(AA33:AA36, "N/E"))))</f>
        <v>#DIV/0!</v>
      </c>
      <c r="AB32" s="3" t="str">
        <f ca="1">IFERROR(__xludf.DUMMYFUNCTION("CONCATENATE(""Cantidad de notas: "", COUNTIF(FLATTEN(SPLIT(TEXTJOIN(CHAR(10), TRUE, AC37:AC40), CHAR(10))), ""*-?*""))"),"Cantidad de notas: 0")</f>
        <v>Cantidad de notas: 0</v>
      </c>
    </row>
    <row r="33" spans="1:28" ht="270" outlineLevel="1" x14ac:dyDescent="0.2">
      <c r="A33" s="31" t="s">
        <v>155</v>
      </c>
      <c r="B33" s="6" t="s">
        <v>156</v>
      </c>
      <c r="C33" s="7" t="s">
        <v>3</v>
      </c>
      <c r="D33" s="8" t="b">
        <v>1</v>
      </c>
      <c r="E33" s="9" t="s">
        <v>157</v>
      </c>
      <c r="F33" s="7" t="s">
        <v>5</v>
      </c>
      <c r="G33" s="7" t="e">
        <f t="shared" ref="G33:G36" ca="1" si="36">_xludf.IFS(F33 = "Frecuente", 5, F33 = "Probable", 4, F33 = "Moderado", 3, F33 = "Bajo", 2, F33 = "Rara vez", 1)</f>
        <v>#NAME?</v>
      </c>
      <c r="H33" s="7" t="s">
        <v>28</v>
      </c>
      <c r="I33" s="7" t="e">
        <f t="shared" ref="I33:I36" ca="1" si="37">_xludf.IFS(H33 = "Crítico", 625, H33 = "Mayor", 125, H33 = "Moderado", 25, H33 = "Menor", 5, H33 = "Inferior", 1)</f>
        <v>#NAME?</v>
      </c>
      <c r="J33" s="6" t="e">
        <f t="shared" ref="J33:J36" ca="1" si="38">_xludf.IFS(K33 &lt;= 10, "Bajo", AND(K33 &gt; 10, K33 &lt;= 75), "Moderado", AND(K33 &gt; 75, K33 &lt;= 500), "Alto", AND(K33 &gt; 500, K33 &lt;= 3125), "Extremo")</f>
        <v>#NAME?</v>
      </c>
      <c r="K33" s="6" t="e">
        <f t="shared" ref="K33:K36" ca="1" si="39">G33*I33</f>
        <v>#NAME?</v>
      </c>
      <c r="L33" s="6" t="s">
        <v>158</v>
      </c>
      <c r="M33" s="6" t="s">
        <v>159</v>
      </c>
      <c r="N33" s="10">
        <v>0</v>
      </c>
      <c r="O33" s="11"/>
      <c r="P33" s="11"/>
      <c r="Q33" s="13"/>
      <c r="R33" s="14"/>
      <c r="S33" s="15" t="e">
        <f t="shared" ref="S33:S36" ca="1" si="40">_xludf.IFS(R33 = "Alta", 3, R33 = "Media", 2, R33 = "Baja", 1)</f>
        <v>#NAME?</v>
      </c>
      <c r="T33" s="16"/>
      <c r="U33" s="15" t="e">
        <f t="shared" ref="U33:U36" ca="1" si="41">_xludf.IFS(T33 = "Alta", 3, T33 = "Media", 2, T33 = "Baja", 1)</f>
        <v>#NAME?</v>
      </c>
      <c r="V33" s="14"/>
      <c r="W33" s="15" t="e">
        <f t="shared" ref="W33:W36" ca="1" si="42">_xludf.IFS(V33 = "Alta", 3, V33 = "Media", 2, V33 = "Baja", 1)</f>
        <v>#NAME?</v>
      </c>
      <c r="X33" s="17" t="e">
        <f t="shared" ref="X33:X36" ca="1" si="43">_xludf.IFS(Y33 &lt; 2, "Baja", AND(Y33 &gt;= 2, Y33 &lt;= 2.49), "Media", AND(Y33 &gt;= 2.5), "Alta")</f>
        <v>#NAME?</v>
      </c>
      <c r="Y33" s="18" t="e">
        <f t="shared" ref="Y33:Y36" ca="1" si="44">(N33 *0.25)+(S33*0.3)+(U33*0.3)+(W33*0.15)</f>
        <v>#NAME?</v>
      </c>
      <c r="Z33" s="7"/>
      <c r="AA33" s="7"/>
      <c r="AB33" s="6" t="s">
        <v>160</v>
      </c>
    </row>
    <row r="34" spans="1:28" ht="144" outlineLevel="1" x14ac:dyDescent="0.2">
      <c r="A34" s="31" t="s">
        <v>161</v>
      </c>
      <c r="B34" s="6" t="s">
        <v>162</v>
      </c>
      <c r="C34" s="7" t="s">
        <v>12</v>
      </c>
      <c r="D34" s="8" t="b">
        <v>1</v>
      </c>
      <c r="E34" s="9" t="s">
        <v>163</v>
      </c>
      <c r="F34" s="7" t="s">
        <v>5</v>
      </c>
      <c r="G34" s="7" t="e">
        <f t="shared" ca="1" si="36"/>
        <v>#NAME?</v>
      </c>
      <c r="H34" s="7" t="s">
        <v>28</v>
      </c>
      <c r="I34" s="7" t="e">
        <f t="shared" ca="1" si="37"/>
        <v>#NAME?</v>
      </c>
      <c r="J34" s="6" t="e">
        <f t="shared" ca="1" si="38"/>
        <v>#NAME?</v>
      </c>
      <c r="K34" s="6" t="e">
        <f t="shared" ca="1" si="39"/>
        <v>#NAME?</v>
      </c>
      <c r="L34" s="6" t="s">
        <v>164</v>
      </c>
      <c r="M34" s="6" t="s">
        <v>165</v>
      </c>
      <c r="N34" s="10">
        <v>0</v>
      </c>
      <c r="O34" s="11"/>
      <c r="P34" s="11"/>
      <c r="Q34" s="13"/>
      <c r="R34" s="14"/>
      <c r="S34" s="15" t="e">
        <f t="shared" ca="1" si="40"/>
        <v>#NAME?</v>
      </c>
      <c r="T34" s="16"/>
      <c r="U34" s="15" t="e">
        <f t="shared" ca="1" si="41"/>
        <v>#NAME?</v>
      </c>
      <c r="V34" s="14"/>
      <c r="W34" s="15" t="e">
        <f t="shared" ca="1" si="42"/>
        <v>#NAME?</v>
      </c>
      <c r="X34" s="17" t="e">
        <f t="shared" ca="1" si="43"/>
        <v>#NAME?</v>
      </c>
      <c r="Y34" s="18" t="e">
        <f t="shared" ca="1" si="44"/>
        <v>#NAME?</v>
      </c>
      <c r="Z34" s="7"/>
      <c r="AA34" s="7"/>
      <c r="AB34" s="6" t="s">
        <v>166</v>
      </c>
    </row>
    <row r="35" spans="1:28" ht="126" outlineLevel="1" x14ac:dyDescent="0.2">
      <c r="A35" s="31" t="s">
        <v>167</v>
      </c>
      <c r="B35" s="6" t="s">
        <v>168</v>
      </c>
      <c r="C35" s="7" t="s">
        <v>3</v>
      </c>
      <c r="D35" s="8" t="b">
        <v>1</v>
      </c>
      <c r="E35" s="9" t="s">
        <v>163</v>
      </c>
      <c r="F35" s="7" t="s">
        <v>5</v>
      </c>
      <c r="G35" s="7" t="e">
        <f t="shared" ca="1" si="36"/>
        <v>#NAME?</v>
      </c>
      <c r="H35" s="7" t="s">
        <v>28</v>
      </c>
      <c r="I35" s="7" t="e">
        <f t="shared" ca="1" si="37"/>
        <v>#NAME?</v>
      </c>
      <c r="J35" s="6" t="e">
        <f t="shared" ca="1" si="38"/>
        <v>#NAME?</v>
      </c>
      <c r="K35" s="6" t="e">
        <f t="shared" ca="1" si="39"/>
        <v>#NAME?</v>
      </c>
      <c r="L35" s="6" t="s">
        <v>169</v>
      </c>
      <c r="M35" s="6" t="s">
        <v>165</v>
      </c>
      <c r="N35" s="10">
        <v>0</v>
      </c>
      <c r="O35" s="11"/>
      <c r="P35" s="11"/>
      <c r="Q35" s="13"/>
      <c r="R35" s="14"/>
      <c r="S35" s="15" t="e">
        <f t="shared" ca="1" si="40"/>
        <v>#NAME?</v>
      </c>
      <c r="T35" s="16"/>
      <c r="U35" s="15" t="e">
        <f t="shared" ca="1" si="41"/>
        <v>#NAME?</v>
      </c>
      <c r="V35" s="14"/>
      <c r="W35" s="15" t="e">
        <f t="shared" ca="1" si="42"/>
        <v>#NAME?</v>
      </c>
      <c r="X35" s="17" t="e">
        <f t="shared" ca="1" si="43"/>
        <v>#NAME?</v>
      </c>
      <c r="Y35" s="18" t="e">
        <f t="shared" ca="1" si="44"/>
        <v>#NAME?</v>
      </c>
      <c r="Z35" s="7"/>
      <c r="AA35" s="7"/>
      <c r="AB35" s="6" t="s">
        <v>170</v>
      </c>
    </row>
    <row r="36" spans="1:28" ht="144" outlineLevel="1" x14ac:dyDescent="0.2">
      <c r="A36" s="31" t="s">
        <v>171</v>
      </c>
      <c r="B36" s="6" t="s">
        <v>172</v>
      </c>
      <c r="C36" s="7" t="s">
        <v>3</v>
      </c>
      <c r="D36" s="8" t="b">
        <v>1</v>
      </c>
      <c r="E36" s="9" t="s">
        <v>173</v>
      </c>
      <c r="F36" s="7" t="s">
        <v>6</v>
      </c>
      <c r="G36" s="7" t="e">
        <f t="shared" ca="1" si="36"/>
        <v>#NAME?</v>
      </c>
      <c r="H36" s="7" t="s">
        <v>6</v>
      </c>
      <c r="I36" s="7" t="e">
        <f t="shared" ca="1" si="37"/>
        <v>#NAME?</v>
      </c>
      <c r="J36" s="6" t="e">
        <f t="shared" ca="1" si="38"/>
        <v>#NAME?</v>
      </c>
      <c r="K36" s="6" t="e">
        <f t="shared" ca="1" si="39"/>
        <v>#NAME?</v>
      </c>
      <c r="L36" s="6" t="s">
        <v>174</v>
      </c>
      <c r="M36" s="6" t="s">
        <v>175</v>
      </c>
      <c r="N36" s="10">
        <v>0</v>
      </c>
      <c r="O36" s="11"/>
      <c r="P36" s="11"/>
      <c r="Q36" s="13"/>
      <c r="R36" s="14"/>
      <c r="S36" s="15" t="e">
        <f t="shared" ca="1" si="40"/>
        <v>#NAME?</v>
      </c>
      <c r="T36" s="16"/>
      <c r="U36" s="15" t="e">
        <f t="shared" ca="1" si="41"/>
        <v>#NAME?</v>
      </c>
      <c r="V36" s="14"/>
      <c r="W36" s="15" t="e">
        <f t="shared" ca="1" si="42"/>
        <v>#NAME?</v>
      </c>
      <c r="X36" s="17" t="e">
        <f t="shared" ca="1" si="43"/>
        <v>#NAME?</v>
      </c>
      <c r="Y36" s="18" t="e">
        <f t="shared" ca="1" si="44"/>
        <v>#NAME?</v>
      </c>
      <c r="Z36" s="7"/>
      <c r="AA36" s="7"/>
      <c r="AB36" s="6" t="s">
        <v>176</v>
      </c>
    </row>
    <row r="37" spans="1:28" ht="54" customHeight="1" x14ac:dyDescent="0.2">
      <c r="A37" s="32" t="s">
        <v>177</v>
      </c>
      <c r="B37" s="3" t="str">
        <f>CONCATENATE("Protección de infraestructura: ",COUNTIF(B38:B42,"&lt;&gt;0"))</f>
        <v>Protección de infraestructura: 5</v>
      </c>
      <c r="C37" s="2">
        <f>(COUNTIF(C38:C42,"Sí")*1 + COUNTIF(C38:C42, "Parcialmente")*0.5) / ((COUNTA(C38:C42) - (COUNTIF(C38:C42, "N/A") + COUNTIF(C38:C42, "N/E"))))</f>
        <v>0.5</v>
      </c>
      <c r="D37" s="3">
        <f>COUNTIF(D38:D42,"true")</f>
        <v>0</v>
      </c>
      <c r="E37" s="4"/>
      <c r="F37" s="3"/>
      <c r="G37" s="3"/>
      <c r="H37" s="3"/>
      <c r="I37" s="3"/>
      <c r="J37" s="3"/>
      <c r="K37" s="3"/>
      <c r="L37" s="3" t="str">
        <f ca="1">IFERROR(__xludf.DUMMYFUNCTION("CONCATENATE(""Cantidad de notas: "", COUNTIF(FLATTEN(SPLIT(TEXTJOIN(CHAR(10), TRUE, M42:M46), CHAR(10))), ""*-?*""))"),"Cantidad de notas: 7")</f>
        <v>Cantidad de notas: 7</v>
      </c>
      <c r="M37" s="3"/>
      <c r="N37" s="3">
        <f>SUM(N38:N42)</f>
        <v>0</v>
      </c>
      <c r="O37" s="5">
        <f>MIN(O38:O41)</f>
        <v>0</v>
      </c>
      <c r="P37" s="5">
        <f>MAX(P38:P42)</f>
        <v>0</v>
      </c>
      <c r="Q37" s="5"/>
      <c r="R37" s="5"/>
      <c r="S37" s="5"/>
      <c r="T37" s="5"/>
      <c r="U37" s="5"/>
      <c r="V37" s="5"/>
      <c r="W37" s="5"/>
      <c r="X37" s="5"/>
      <c r="Y37" s="5"/>
      <c r="Z37" s="3" t="str">
        <f>CONCATENATE("GFourmis: ", COUNTIF(Z38:Z42, "GFourmis"), CHAR(10), "Cliente: ", COUNTIF(Z38:Z42, "Cliente"), CHAR(10), "Tercero: ", COUNTIF(Z38:Z42, "Tercero"))</f>
        <v>GFourmis: 0
Cliente: 0
Tercero: 0</v>
      </c>
      <c r="AA37" s="2" t="e">
        <f>(COUNTIF(AA38:AA42,"Sí")*1 + COUNTIF(AA38:AA42, "Parcialmente")*0.5) / ((COUNTA(AA38:AA42) - (COUNTIF(AA38:AA42, "N/A") + COUNTIF(AA38:AA42, "N/E"))))</f>
        <v>#DIV/0!</v>
      </c>
      <c r="AB37" s="3" t="str">
        <f ca="1">IFERROR(__xludf.DUMMYFUNCTION("CONCATENATE(""Cantidad de notas: "", COUNTIF(FLATTEN(SPLIT(TEXTJOIN(CHAR(10), TRUE, AC42:AC46), CHAR(10))), ""*-?*""))"),"Cantidad de notas: 0")</f>
        <v>Cantidad de notas: 0</v>
      </c>
    </row>
    <row r="38" spans="1:28" ht="180" outlineLevel="1" x14ac:dyDescent="0.2">
      <c r="A38" s="31" t="s">
        <v>178</v>
      </c>
      <c r="B38" s="6" t="s">
        <v>179</v>
      </c>
      <c r="C38" s="7" t="s">
        <v>12</v>
      </c>
      <c r="D38" s="8" t="b">
        <v>1</v>
      </c>
      <c r="E38" s="9" t="s">
        <v>180</v>
      </c>
      <c r="F38" s="7" t="s">
        <v>5</v>
      </c>
      <c r="G38" s="7" t="e">
        <f t="shared" ref="G38:G42" ca="1" si="45">_xludf.IFS(F38 = "Frecuente", 5, F38 = "Probable", 4, F38 = "Moderado", 3, F38 = "Bajo", 2, F38 = "Rara vez", 1)</f>
        <v>#NAME?</v>
      </c>
      <c r="H38" s="7" t="s">
        <v>28</v>
      </c>
      <c r="I38" s="7" t="e">
        <f t="shared" ref="I38:I42" ca="1" si="46">_xludf.IFS(H38 = "Crítico", 625, H38 = "Mayor", 125, H38 = "Moderado", 25, H38 = "Menor", 5, H38 = "Inferior", 1)</f>
        <v>#NAME?</v>
      </c>
      <c r="J38" s="6" t="e">
        <f t="shared" ref="J38:J42" ca="1" si="47">_xludf.IFS(K38 &lt;= 10, "Bajo", AND(K38 &gt; 10, K38 &lt;= 75), "Moderado", AND(K38 &gt; 75, K38 &lt;= 500), "Alto", AND(K38 &gt; 500, K38 &lt;= 3125), "Extremo")</f>
        <v>#NAME?</v>
      </c>
      <c r="K38" s="6" t="e">
        <f t="shared" ref="K38:K42" ca="1" si="48">G38*I38</f>
        <v>#NAME?</v>
      </c>
      <c r="L38" s="6" t="s">
        <v>181</v>
      </c>
      <c r="M38" s="6" t="s">
        <v>182</v>
      </c>
      <c r="N38" s="10">
        <v>0</v>
      </c>
      <c r="O38" s="11"/>
      <c r="P38" s="11"/>
      <c r="Q38" s="13"/>
      <c r="R38" s="14"/>
      <c r="S38" s="15" t="e">
        <f t="shared" ref="S38:S42" ca="1" si="49">_xludf.IFS(R38 = "Alta", 3, R38 = "Media", 2, R38 = "Baja", 1)</f>
        <v>#NAME?</v>
      </c>
      <c r="T38" s="16"/>
      <c r="U38" s="15" t="e">
        <f t="shared" ref="U38:U42" ca="1" si="50">_xludf.IFS(T38 = "Alta", 3, T38 = "Media", 2, T38 = "Baja", 1)</f>
        <v>#NAME?</v>
      </c>
      <c r="V38" s="14"/>
      <c r="W38" s="15" t="e">
        <f t="shared" ref="W38:W42" ca="1" si="51">_xludf.IFS(V38 = "Alta", 3, V38 = "Media", 2, V38 = "Baja", 1)</f>
        <v>#NAME?</v>
      </c>
      <c r="X38" s="17" t="e">
        <f t="shared" ref="X38:X42" ca="1" si="52">_xludf.IFS(Y38 &lt; 2, "Baja", AND(Y38 &gt;= 2, Y38 &lt;= 2.49), "Media", AND(Y38 &gt;= 2.5), "Alta")</f>
        <v>#NAME?</v>
      </c>
      <c r="Y38" s="18" t="e">
        <f t="shared" ref="Y38:Y42" ca="1" si="53">(N38 *0.25)+(S38*0.3)+(U38*0.3)+(W38*0.15)</f>
        <v>#NAME?</v>
      </c>
      <c r="Z38" s="7"/>
      <c r="AA38" s="7"/>
      <c r="AB38" s="6" t="s">
        <v>183</v>
      </c>
    </row>
    <row r="39" spans="1:28" ht="144" outlineLevel="1" x14ac:dyDescent="0.2">
      <c r="A39" s="31" t="s">
        <v>184</v>
      </c>
      <c r="B39" s="6" t="s">
        <v>185</v>
      </c>
      <c r="C39" s="7" t="s">
        <v>75</v>
      </c>
      <c r="D39" s="8" t="b">
        <v>0</v>
      </c>
      <c r="E39" s="9"/>
      <c r="F39" s="7"/>
      <c r="G39" s="7" t="e">
        <f t="shared" ca="1" si="45"/>
        <v>#NAME?</v>
      </c>
      <c r="H39" s="7"/>
      <c r="I39" s="7" t="e">
        <f t="shared" ca="1" si="46"/>
        <v>#NAME?</v>
      </c>
      <c r="J39" s="6" t="e">
        <f t="shared" ca="1" si="47"/>
        <v>#NAME?</v>
      </c>
      <c r="K39" s="6" t="e">
        <f t="shared" ca="1" si="48"/>
        <v>#NAME?</v>
      </c>
      <c r="L39" s="6" t="s">
        <v>186</v>
      </c>
      <c r="M39" s="6"/>
      <c r="N39" s="10">
        <v>0</v>
      </c>
      <c r="O39" s="11"/>
      <c r="P39" s="11"/>
      <c r="Q39" s="13"/>
      <c r="R39" s="14"/>
      <c r="S39" s="15" t="e">
        <f t="shared" ca="1" si="49"/>
        <v>#NAME?</v>
      </c>
      <c r="T39" s="16"/>
      <c r="U39" s="15" t="e">
        <f t="shared" ca="1" si="50"/>
        <v>#NAME?</v>
      </c>
      <c r="V39" s="14"/>
      <c r="W39" s="15" t="e">
        <f t="shared" ca="1" si="51"/>
        <v>#NAME?</v>
      </c>
      <c r="X39" s="17" t="e">
        <f t="shared" ca="1" si="52"/>
        <v>#NAME?</v>
      </c>
      <c r="Y39" s="18" t="e">
        <f t="shared" ca="1" si="53"/>
        <v>#NAME?</v>
      </c>
      <c r="Z39" s="7"/>
      <c r="AA39" s="7"/>
      <c r="AB39" s="6" t="s">
        <v>187</v>
      </c>
    </row>
    <row r="40" spans="1:28" ht="108" outlineLevel="1" x14ac:dyDescent="0.2">
      <c r="A40" s="31" t="s">
        <v>188</v>
      </c>
      <c r="B40" s="6" t="s">
        <v>189</v>
      </c>
      <c r="C40" s="7" t="s">
        <v>12</v>
      </c>
      <c r="D40" s="8" t="b">
        <v>1</v>
      </c>
      <c r="E40" s="9" t="s">
        <v>180</v>
      </c>
      <c r="F40" s="7" t="s">
        <v>5</v>
      </c>
      <c r="G40" s="7" t="e">
        <f t="shared" ca="1" si="45"/>
        <v>#NAME?</v>
      </c>
      <c r="H40" s="7" t="s">
        <v>28</v>
      </c>
      <c r="I40" s="7" t="e">
        <f t="shared" ca="1" si="46"/>
        <v>#NAME?</v>
      </c>
      <c r="J40" s="6" t="e">
        <f t="shared" ca="1" si="47"/>
        <v>#NAME?</v>
      </c>
      <c r="K40" s="6" t="e">
        <f t="shared" ca="1" si="48"/>
        <v>#NAME?</v>
      </c>
      <c r="L40" s="6" t="s">
        <v>190</v>
      </c>
      <c r="M40" s="6" t="s">
        <v>191</v>
      </c>
      <c r="N40" s="10">
        <v>0</v>
      </c>
      <c r="O40" s="11"/>
      <c r="P40" s="11"/>
      <c r="Q40" s="13"/>
      <c r="R40" s="14"/>
      <c r="S40" s="15" t="e">
        <f t="shared" ca="1" si="49"/>
        <v>#NAME?</v>
      </c>
      <c r="T40" s="16"/>
      <c r="U40" s="15" t="e">
        <f t="shared" ca="1" si="50"/>
        <v>#NAME?</v>
      </c>
      <c r="V40" s="14"/>
      <c r="W40" s="15" t="e">
        <f t="shared" ca="1" si="51"/>
        <v>#NAME?</v>
      </c>
      <c r="X40" s="17" t="e">
        <f t="shared" ca="1" si="52"/>
        <v>#NAME?</v>
      </c>
      <c r="Y40" s="18" t="e">
        <f t="shared" ca="1" si="53"/>
        <v>#NAME?</v>
      </c>
      <c r="Z40" s="7"/>
      <c r="AA40" s="7"/>
      <c r="AB40" s="6" t="s">
        <v>192</v>
      </c>
    </row>
    <row r="41" spans="1:28" ht="90" outlineLevel="1" x14ac:dyDescent="0.2">
      <c r="A41" s="31" t="s">
        <v>193</v>
      </c>
      <c r="B41" s="6" t="s">
        <v>194</v>
      </c>
      <c r="C41" s="7" t="s">
        <v>75</v>
      </c>
      <c r="D41" s="8" t="b">
        <v>0</v>
      </c>
      <c r="E41" s="9"/>
      <c r="F41" s="7"/>
      <c r="G41" s="7" t="e">
        <f t="shared" ca="1" si="45"/>
        <v>#NAME?</v>
      </c>
      <c r="H41" s="7"/>
      <c r="I41" s="7" t="e">
        <f t="shared" ca="1" si="46"/>
        <v>#NAME?</v>
      </c>
      <c r="J41" s="6" t="e">
        <f t="shared" ca="1" si="47"/>
        <v>#NAME?</v>
      </c>
      <c r="K41" s="6" t="e">
        <f t="shared" ca="1" si="48"/>
        <v>#NAME?</v>
      </c>
      <c r="L41" s="6" t="s">
        <v>195</v>
      </c>
      <c r="M41" s="6"/>
      <c r="N41" s="10">
        <v>0</v>
      </c>
      <c r="O41" s="11"/>
      <c r="P41" s="11"/>
      <c r="Q41" s="13"/>
      <c r="R41" s="14"/>
      <c r="S41" s="15" t="e">
        <f t="shared" ca="1" si="49"/>
        <v>#NAME?</v>
      </c>
      <c r="T41" s="16"/>
      <c r="U41" s="15" t="e">
        <f t="shared" ca="1" si="50"/>
        <v>#NAME?</v>
      </c>
      <c r="V41" s="14"/>
      <c r="W41" s="15" t="e">
        <f t="shared" ca="1" si="51"/>
        <v>#NAME?</v>
      </c>
      <c r="X41" s="17" t="e">
        <f t="shared" ca="1" si="52"/>
        <v>#NAME?</v>
      </c>
      <c r="Y41" s="18" t="e">
        <f t="shared" ca="1" si="53"/>
        <v>#NAME?</v>
      </c>
      <c r="Z41" s="7"/>
      <c r="AA41" s="7"/>
      <c r="AB41" s="6" t="s">
        <v>196</v>
      </c>
    </row>
    <row r="42" spans="1:28" ht="144" outlineLevel="1" x14ac:dyDescent="0.2">
      <c r="A42" s="31" t="s">
        <v>197</v>
      </c>
      <c r="B42" s="6" t="s">
        <v>198</v>
      </c>
      <c r="C42" s="7" t="s">
        <v>75</v>
      </c>
      <c r="D42" s="8" t="b">
        <v>0</v>
      </c>
      <c r="E42" s="9"/>
      <c r="F42" s="7"/>
      <c r="G42" s="7" t="e">
        <f t="shared" ca="1" si="45"/>
        <v>#NAME?</v>
      </c>
      <c r="H42" s="7"/>
      <c r="I42" s="7" t="e">
        <f t="shared" ca="1" si="46"/>
        <v>#NAME?</v>
      </c>
      <c r="J42" s="6" t="e">
        <f t="shared" ca="1" si="47"/>
        <v>#NAME?</v>
      </c>
      <c r="K42" s="6" t="e">
        <f t="shared" ca="1" si="48"/>
        <v>#NAME?</v>
      </c>
      <c r="L42" s="6" t="s">
        <v>199</v>
      </c>
      <c r="M42" s="6"/>
      <c r="N42" s="10">
        <v>0</v>
      </c>
      <c r="O42" s="11"/>
      <c r="P42" s="11"/>
      <c r="Q42" s="13"/>
      <c r="R42" s="14"/>
      <c r="S42" s="15" t="e">
        <f t="shared" ca="1" si="49"/>
        <v>#NAME?</v>
      </c>
      <c r="T42" s="16"/>
      <c r="U42" s="15" t="e">
        <f t="shared" ca="1" si="50"/>
        <v>#NAME?</v>
      </c>
      <c r="V42" s="14"/>
      <c r="W42" s="15" t="e">
        <f t="shared" ca="1" si="51"/>
        <v>#NAME?</v>
      </c>
      <c r="X42" s="17" t="e">
        <f t="shared" ca="1" si="52"/>
        <v>#NAME?</v>
      </c>
      <c r="Y42" s="18" t="e">
        <f t="shared" ca="1" si="53"/>
        <v>#NAME?</v>
      </c>
      <c r="Z42" s="7"/>
      <c r="AA42" s="7"/>
      <c r="AB42" s="6" t="s">
        <v>200</v>
      </c>
    </row>
    <row r="43" spans="1:28" ht="54" customHeight="1" x14ac:dyDescent="0.2">
      <c r="A43" s="32" t="s">
        <v>201</v>
      </c>
      <c r="B43" s="3" t="str">
        <f>CONCATENATE("Protección de datos: ",COUNTIF(B44:B47,"&lt;&gt;0"))</f>
        <v>Protección de datos: 4</v>
      </c>
      <c r="C43" s="2">
        <f>(COUNTIF(C44:C47,"Sí")*1 + COUNTIF(C44:C47, "Parcialmente")*0.5) / ((COUNTA(C44:C47) - (COUNTIF(C44:C47, "N/A") + COUNTIF(C44:C47, "N/E"))))</f>
        <v>0.33333333333333331</v>
      </c>
      <c r="D43" s="3">
        <f>COUNTIF(D44:D47,"true")</f>
        <v>0</v>
      </c>
      <c r="E43" s="4"/>
      <c r="F43" s="3"/>
      <c r="G43" s="3"/>
      <c r="H43" s="3"/>
      <c r="I43" s="3"/>
      <c r="J43" s="3"/>
      <c r="K43" s="3"/>
      <c r="L43" s="3" t="str">
        <f ca="1">IFERROR(__xludf.DUMMYFUNCTION("CONCATENATE(""Cantidad de notas: "", COUNTIF(FLATTEN(SPLIT(TEXTJOIN(CHAR(10), TRUE, M48:M51), CHAR(10))), ""*-?*""))"),"Cantidad de notas: 16")</f>
        <v>Cantidad de notas: 16</v>
      </c>
      <c r="M43" s="3"/>
      <c r="N43" s="3">
        <f>SUM(N44:N47)</f>
        <v>0</v>
      </c>
      <c r="O43" s="5">
        <f>MIN(O44:O47)</f>
        <v>0</v>
      </c>
      <c r="P43" s="5">
        <f>MAX(P44:P47)</f>
        <v>0</v>
      </c>
      <c r="Q43" s="5"/>
      <c r="R43" s="5"/>
      <c r="S43" s="5"/>
      <c r="T43" s="5"/>
      <c r="U43" s="5"/>
      <c r="V43" s="5"/>
      <c r="W43" s="5"/>
      <c r="X43" s="5"/>
      <c r="Y43" s="5"/>
      <c r="Z43" s="3" t="str">
        <f>CONCATENATE("GFourmis: ", COUNTIF(Z44:Z47, "GFourmis"), CHAR(10), "Cliente: ", COUNTIF(Z44:Z47, "Cliente"), CHAR(10), "Tercero: ", COUNTIF(Z44:Z47, "Tercero"))</f>
        <v>GFourmis: 0
Cliente: 0
Tercero: 0</v>
      </c>
      <c r="AA43" s="2" t="e">
        <f>(COUNTIF(AA44:AA47,"Sí")*1 + COUNTIF(AA44:AA47, "Parcialmente")*0.5) / ((COUNTA(AA44:AA47) - (COUNTIF(AA44:AA47, "N/A") + COUNTIF(AA44:AA47, "N/E"))))</f>
        <v>#DIV/0!</v>
      </c>
      <c r="AB43" s="3" t="str">
        <f ca="1">IFERROR(__xludf.DUMMYFUNCTION("CONCATENATE(""Cantidad de notas: "", COUNTIF(FLATTEN(SPLIT(TEXTJOIN(CHAR(10), TRUE, AC48:AC51), CHAR(10))), ""*-?*""))"),"Cantidad de notas: 0")</f>
        <v>Cantidad de notas: 0</v>
      </c>
    </row>
    <row r="44" spans="1:28" ht="144" outlineLevel="1" x14ac:dyDescent="0.2">
      <c r="A44" s="34" t="s">
        <v>202</v>
      </c>
      <c r="B44" s="6" t="s">
        <v>203</v>
      </c>
      <c r="C44" s="7" t="s">
        <v>12</v>
      </c>
      <c r="D44" s="8" t="b">
        <v>1</v>
      </c>
      <c r="E44" s="9" t="s">
        <v>204</v>
      </c>
      <c r="F44" s="7" t="s">
        <v>14</v>
      </c>
      <c r="G44" s="7" t="e">
        <f t="shared" ref="G44:G47" ca="1" si="54">_xludf.IFS(F44 = "Frecuente", 5, F44 = "Probable", 4, F44 = "Moderado", 3, F44 = "Bajo", 2, F44 = "Rara vez", 1)</f>
        <v>#NAME?</v>
      </c>
      <c r="H44" s="7" t="s">
        <v>28</v>
      </c>
      <c r="I44" s="7" t="e">
        <f t="shared" ref="I44:I47" ca="1" si="55">_xludf.IFS(H44 = "Crítico", 625, H44 = "Mayor", 125, H44 = "Moderado", 25, H44 = "Menor", 5, H44 = "Inferior", 1)</f>
        <v>#NAME?</v>
      </c>
      <c r="J44" s="6" t="e">
        <f t="shared" ref="J44:J47" ca="1" si="56">_xludf.IFS(K44 &lt;= 10, "Bajo", AND(K44 &gt; 10, K44 &lt;= 75), "Moderado", AND(K44 &gt; 75, K44 &lt;= 500), "Alto", AND(K44 &gt; 500, K44 &lt;= 3125), "Extremo")</f>
        <v>#NAME?</v>
      </c>
      <c r="K44" s="6" t="e">
        <f t="shared" ref="K44:K47" ca="1" si="57">G44*I44</f>
        <v>#NAME?</v>
      </c>
      <c r="L44" s="6" t="s">
        <v>205</v>
      </c>
      <c r="M44" s="6" t="s">
        <v>206</v>
      </c>
      <c r="N44" s="10">
        <v>0</v>
      </c>
      <c r="O44" s="11"/>
      <c r="P44" s="11"/>
      <c r="Q44" s="13"/>
      <c r="R44" s="14"/>
      <c r="S44" s="15" t="e">
        <f t="shared" ref="S44:S47" ca="1" si="58">_xludf.IFS(R44 = "Alta", 3, R44 = "Media", 2, R44 = "Baja", 1)</f>
        <v>#NAME?</v>
      </c>
      <c r="T44" s="16"/>
      <c r="U44" s="15" t="e">
        <f t="shared" ref="U44:U47" ca="1" si="59">_xludf.IFS(T44 = "Alta", 3, T44 = "Media", 2, T44 = "Baja", 1)</f>
        <v>#NAME?</v>
      </c>
      <c r="V44" s="14"/>
      <c r="W44" s="15" t="e">
        <f t="shared" ref="W44:W47" ca="1" si="60">_xludf.IFS(V44 = "Alta", 3, V44 = "Media", 2, V44 = "Baja", 1)</f>
        <v>#NAME?</v>
      </c>
      <c r="X44" s="17" t="e">
        <f t="shared" ref="X44:X47" ca="1" si="61">_xludf.IFS(Y44 &lt; 2, "Baja", AND(Y44 &gt;= 2, Y44 &lt;= 2.49), "Media", AND(Y44 &gt;= 2.5), "Alta")</f>
        <v>#NAME?</v>
      </c>
      <c r="Y44" s="18" t="e">
        <f t="shared" ref="Y44:Y47" ca="1" si="62">(N44 *0.25)+(S44*0.3)+(U44*0.3)+(W44*0.15)</f>
        <v>#NAME?</v>
      </c>
      <c r="Z44" s="7"/>
      <c r="AA44" s="7"/>
      <c r="AB44" s="6" t="s">
        <v>207</v>
      </c>
    </row>
    <row r="45" spans="1:28" ht="126" outlineLevel="1" x14ac:dyDescent="0.2">
      <c r="A45" s="34" t="s">
        <v>208</v>
      </c>
      <c r="B45" s="6" t="s">
        <v>209</v>
      </c>
      <c r="C45" s="7" t="s">
        <v>12</v>
      </c>
      <c r="D45" s="8" t="b">
        <v>1</v>
      </c>
      <c r="E45" s="9" t="s">
        <v>204</v>
      </c>
      <c r="F45" s="7" t="s">
        <v>14</v>
      </c>
      <c r="G45" s="7" t="e">
        <f t="shared" ca="1" si="54"/>
        <v>#NAME?</v>
      </c>
      <c r="H45" s="7" t="s">
        <v>28</v>
      </c>
      <c r="I45" s="7" t="e">
        <f t="shared" ca="1" si="55"/>
        <v>#NAME?</v>
      </c>
      <c r="J45" s="6" t="e">
        <f t="shared" ca="1" si="56"/>
        <v>#NAME?</v>
      </c>
      <c r="K45" s="6" t="e">
        <f t="shared" ca="1" si="57"/>
        <v>#NAME?</v>
      </c>
      <c r="L45" s="6" t="s">
        <v>210</v>
      </c>
      <c r="M45" s="6" t="s">
        <v>206</v>
      </c>
      <c r="N45" s="10">
        <v>0</v>
      </c>
      <c r="O45" s="11"/>
      <c r="P45" s="11"/>
      <c r="Q45" s="13"/>
      <c r="R45" s="14"/>
      <c r="S45" s="15" t="e">
        <f t="shared" ca="1" si="58"/>
        <v>#NAME?</v>
      </c>
      <c r="T45" s="16"/>
      <c r="U45" s="15" t="e">
        <f t="shared" ca="1" si="59"/>
        <v>#NAME?</v>
      </c>
      <c r="V45" s="14"/>
      <c r="W45" s="15" t="e">
        <f t="shared" ca="1" si="60"/>
        <v>#NAME?</v>
      </c>
      <c r="X45" s="17" t="e">
        <f t="shared" ca="1" si="61"/>
        <v>#NAME?</v>
      </c>
      <c r="Y45" s="18" t="e">
        <f t="shared" ca="1" si="62"/>
        <v>#NAME?</v>
      </c>
      <c r="Z45" s="7"/>
      <c r="AA45" s="7"/>
      <c r="AB45" s="6" t="s">
        <v>211</v>
      </c>
    </row>
    <row r="46" spans="1:28" ht="72" outlineLevel="1" x14ac:dyDescent="0.2">
      <c r="A46" s="34" t="s">
        <v>212</v>
      </c>
      <c r="B46" s="6" t="s">
        <v>213</v>
      </c>
      <c r="C46" s="7" t="s">
        <v>75</v>
      </c>
      <c r="D46" s="8" t="b">
        <v>0</v>
      </c>
      <c r="E46" s="9"/>
      <c r="F46" s="7"/>
      <c r="G46" s="7" t="e">
        <f t="shared" ca="1" si="54"/>
        <v>#NAME?</v>
      </c>
      <c r="H46" s="7"/>
      <c r="I46" s="7" t="e">
        <f t="shared" ca="1" si="55"/>
        <v>#NAME?</v>
      </c>
      <c r="J46" s="6" t="e">
        <f t="shared" ca="1" si="56"/>
        <v>#NAME?</v>
      </c>
      <c r="K46" s="6" t="e">
        <f t="shared" ca="1" si="57"/>
        <v>#NAME?</v>
      </c>
      <c r="L46" s="6" t="s">
        <v>214</v>
      </c>
      <c r="M46" s="6"/>
      <c r="N46" s="10">
        <v>0</v>
      </c>
      <c r="O46" s="11"/>
      <c r="P46" s="11"/>
      <c r="Q46" s="13"/>
      <c r="R46" s="14"/>
      <c r="S46" s="15" t="e">
        <f t="shared" ca="1" si="58"/>
        <v>#NAME?</v>
      </c>
      <c r="T46" s="16"/>
      <c r="U46" s="15" t="e">
        <f t="shared" ca="1" si="59"/>
        <v>#NAME?</v>
      </c>
      <c r="V46" s="14"/>
      <c r="W46" s="15" t="e">
        <f t="shared" ca="1" si="60"/>
        <v>#NAME?</v>
      </c>
      <c r="X46" s="17" t="e">
        <f t="shared" ca="1" si="61"/>
        <v>#NAME?</v>
      </c>
      <c r="Y46" s="18" t="e">
        <f t="shared" ca="1" si="62"/>
        <v>#NAME?</v>
      </c>
      <c r="Z46" s="7"/>
      <c r="AA46" s="7"/>
      <c r="AB46" s="6" t="s">
        <v>215</v>
      </c>
    </row>
    <row r="47" spans="1:28" ht="409.5" outlineLevel="1" x14ac:dyDescent="0.2">
      <c r="A47" s="34" t="s">
        <v>216</v>
      </c>
      <c r="B47" s="6" t="s">
        <v>217</v>
      </c>
      <c r="C47" s="7" t="s">
        <v>3</v>
      </c>
      <c r="D47" s="8" t="b">
        <v>1</v>
      </c>
      <c r="E47" s="9" t="s">
        <v>218</v>
      </c>
      <c r="F47" s="7" t="s">
        <v>14</v>
      </c>
      <c r="G47" s="7" t="e">
        <f t="shared" ca="1" si="54"/>
        <v>#NAME?</v>
      </c>
      <c r="H47" s="7" t="s">
        <v>15</v>
      </c>
      <c r="I47" s="7" t="e">
        <f t="shared" ca="1" si="55"/>
        <v>#NAME?</v>
      </c>
      <c r="J47" s="6" t="e">
        <f t="shared" ca="1" si="56"/>
        <v>#NAME?</v>
      </c>
      <c r="K47" s="6" t="e">
        <f t="shared" ca="1" si="57"/>
        <v>#NAME?</v>
      </c>
      <c r="L47" s="6" t="s">
        <v>219</v>
      </c>
      <c r="M47" s="6" t="s">
        <v>220</v>
      </c>
      <c r="N47" s="10">
        <v>0</v>
      </c>
      <c r="O47" s="11"/>
      <c r="P47" s="11"/>
      <c r="Q47" s="13"/>
      <c r="R47" s="14"/>
      <c r="S47" s="15" t="e">
        <f t="shared" ca="1" si="58"/>
        <v>#NAME?</v>
      </c>
      <c r="T47" s="16"/>
      <c r="U47" s="15" t="e">
        <f t="shared" ca="1" si="59"/>
        <v>#NAME?</v>
      </c>
      <c r="V47" s="14"/>
      <c r="W47" s="15" t="e">
        <f t="shared" ca="1" si="60"/>
        <v>#NAME?</v>
      </c>
      <c r="X47" s="17" t="e">
        <f t="shared" ca="1" si="61"/>
        <v>#NAME?</v>
      </c>
      <c r="Y47" s="18" t="e">
        <f t="shared" ca="1" si="62"/>
        <v>#NAME?</v>
      </c>
      <c r="Z47" s="7"/>
      <c r="AA47" s="7"/>
      <c r="AB47" s="6" t="s">
        <v>221</v>
      </c>
    </row>
    <row r="48" spans="1:28" ht="54" customHeight="1" x14ac:dyDescent="0.2">
      <c r="A48" s="32" t="s">
        <v>222</v>
      </c>
      <c r="B48" s="3" t="str">
        <f>CONCATENATE("Protección de datos: ",COUNTIF(B49:B52,"&lt;&gt;0"))</f>
        <v>Protección de datos: 4</v>
      </c>
      <c r="C48" s="2">
        <f>(COUNTIF(C49:C52,"Sí")*1 + COUNTIF(C49:C52, "Parcialmente")*0.5) / ((COUNTA(C49:C52) - (COUNTIF(C49:C52, "N/A") + COUNTIF(C49:C52, "N/E"))))</f>
        <v>1</v>
      </c>
      <c r="D48" s="3">
        <f>COUNTIF(D49:D52,"true")</f>
        <v>0</v>
      </c>
      <c r="E48" s="4"/>
      <c r="F48" s="3"/>
      <c r="G48" s="3"/>
      <c r="H48" s="3"/>
      <c r="I48" s="3"/>
      <c r="J48" s="3"/>
      <c r="K48" s="3"/>
      <c r="L48" s="3" t="str">
        <f ca="1">IFERROR(__xludf.DUMMYFUNCTION("CONCATENATE(""Cantidad de notas: "", COUNTIF(FLATTEN(SPLIT(TEXTJOIN(CHAR(10), TRUE, M53:M56), CHAR(10))), ""*-?*""))"),"Cantidad de notas: 6")</f>
        <v>Cantidad de notas: 6</v>
      </c>
      <c r="M48" s="3"/>
      <c r="N48" s="3">
        <f>SUM(N49:N52)</f>
        <v>0</v>
      </c>
      <c r="O48" s="5">
        <f>MIN(O49:O52)</f>
        <v>0</v>
      </c>
      <c r="P48" s="5">
        <f>MAX(P49:P52)</f>
        <v>0</v>
      </c>
      <c r="Q48" s="5"/>
      <c r="R48" s="5"/>
      <c r="S48" s="5"/>
      <c r="T48" s="5"/>
      <c r="U48" s="5"/>
      <c r="V48" s="5"/>
      <c r="W48" s="5"/>
      <c r="X48" s="5"/>
      <c r="Y48" s="5"/>
      <c r="Z48" s="3" t="str">
        <f>CONCATENATE("GFourmis: ", COUNTIF(Z49:Z52, "GFourmis"), CHAR(10), "Cliente: ", COUNTIF(Z49:Z52, "Cliente"), CHAR(10), "Tercero: ", COUNTIF(Z49:Z52, "Tercero"))</f>
        <v>GFourmis: 0
Cliente: 0
Tercero: 0</v>
      </c>
      <c r="AA48" s="2" t="e">
        <f>(COUNTIF(AA49:AA52,"Sí")*1 + COUNTIF(AA49:AA52, "Parcialmente")*0.5) / ((COUNTA(AA49:AA52) - (COUNTIF(AA49:AA52, "N/A") + COUNTIF(AA49:AA52, "N/E"))))</f>
        <v>#DIV/0!</v>
      </c>
      <c r="AB48" s="3" t="str">
        <f ca="1">IFERROR(__xludf.DUMMYFUNCTION("CONCATENATE(""Cantidad de notas: "", COUNTIF(FLATTEN(SPLIT(TEXTJOIN(CHAR(10), TRUE, AC53:AC56), CHAR(10))), ""*-?*""))"),"Cantidad de notas: 0")</f>
        <v>Cantidad de notas: 0</v>
      </c>
    </row>
    <row r="49" spans="1:28" ht="72" outlineLevel="1" x14ac:dyDescent="0.2">
      <c r="A49" s="34" t="s">
        <v>223</v>
      </c>
      <c r="B49" s="6" t="s">
        <v>224</v>
      </c>
      <c r="C49" s="7" t="s">
        <v>85</v>
      </c>
      <c r="D49" s="8" t="b">
        <v>0</v>
      </c>
      <c r="E49" s="9"/>
      <c r="F49" s="7"/>
      <c r="G49" s="7" t="e">
        <f t="shared" ref="G49:G52" ca="1" si="63">_xludf.IFS(F49 = "Frecuente", 5, F49 = "Probable", 4, F49 = "Moderado", 3, F49 = "Bajo", 2, F49 = "Rara vez", 1)</f>
        <v>#NAME?</v>
      </c>
      <c r="H49" s="7"/>
      <c r="I49" s="7" t="e">
        <f t="shared" ref="I49:I52" ca="1" si="64">_xludf.IFS(H49 = "Crítico", 625, H49 = "Mayor", 125, H49 = "Moderado", 25, H49 = "Menor", 5, H49 = "Inferior", 1)</f>
        <v>#NAME?</v>
      </c>
      <c r="J49" s="6" t="e">
        <f t="shared" ref="J49:J52" ca="1" si="65">_xludf.IFS(K49 &lt;= 10, "Bajo", AND(K49 &gt; 10, K49 &lt;= 75), "Moderado", AND(K49 &gt; 75, K49 &lt;= 500), "Alto", AND(K49 &gt; 500, K49 &lt;= 3125), "Extremo")</f>
        <v>#NAME?</v>
      </c>
      <c r="K49" s="6" t="e">
        <f t="shared" ref="K49:K52" ca="1" si="66">G49*I49</f>
        <v>#NAME?</v>
      </c>
      <c r="L49" s="6" t="s">
        <v>225</v>
      </c>
      <c r="M49" s="6"/>
      <c r="N49" s="10">
        <v>0</v>
      </c>
      <c r="O49" s="11"/>
      <c r="P49" s="11"/>
      <c r="Q49" s="13"/>
      <c r="R49" s="14"/>
      <c r="S49" s="15" t="e">
        <f t="shared" ref="S49:S52" ca="1" si="67">_xludf.IFS(R49 = "Alta", 3, R49 = "Media", 2, R49 = "Baja", 1)</f>
        <v>#NAME?</v>
      </c>
      <c r="T49" s="16"/>
      <c r="U49" s="15" t="e">
        <f t="shared" ref="U49:U52" ca="1" si="68">_xludf.IFS(T49 = "Alta", 3, T49 = "Media", 2, T49 = "Baja", 1)</f>
        <v>#NAME?</v>
      </c>
      <c r="V49" s="14"/>
      <c r="W49" s="15" t="e">
        <f t="shared" ref="W49:W52" ca="1" si="69">_xludf.IFS(V49 = "Alta", 3, V49 = "Media", 2, V49 = "Baja", 1)</f>
        <v>#NAME?</v>
      </c>
      <c r="X49" s="17" t="e">
        <f t="shared" ref="X49:X52" ca="1" si="70">_xludf.IFS(Y49 &lt; 2, "Baja", AND(Y49 &gt;= 2, Y49 &lt;= 2.49), "Media", AND(Y49 &gt;= 2.5), "Alta")</f>
        <v>#NAME?</v>
      </c>
      <c r="Y49" s="18" t="e">
        <f t="shared" ref="Y49:Y52" ca="1" si="71">(N49 *0.25)+(S49*0.3)+(U49*0.3)+(W49*0.15)</f>
        <v>#NAME?</v>
      </c>
      <c r="Z49" s="7"/>
      <c r="AA49" s="7"/>
      <c r="AB49" s="6" t="s">
        <v>226</v>
      </c>
    </row>
    <row r="50" spans="1:28" ht="126" outlineLevel="1" x14ac:dyDescent="0.2">
      <c r="A50" s="34" t="s">
        <v>227</v>
      </c>
      <c r="B50" s="6" t="s">
        <v>228</v>
      </c>
      <c r="C50" s="7" t="s">
        <v>85</v>
      </c>
      <c r="D50" s="8" t="b">
        <v>0</v>
      </c>
      <c r="E50" s="9"/>
      <c r="F50" s="7"/>
      <c r="G50" s="7" t="e">
        <f t="shared" ca="1" si="63"/>
        <v>#NAME?</v>
      </c>
      <c r="H50" s="7"/>
      <c r="I50" s="7" t="e">
        <f t="shared" ca="1" si="64"/>
        <v>#NAME?</v>
      </c>
      <c r="J50" s="6" t="e">
        <f t="shared" ca="1" si="65"/>
        <v>#NAME?</v>
      </c>
      <c r="K50" s="6" t="e">
        <f t="shared" ca="1" si="66"/>
        <v>#NAME?</v>
      </c>
      <c r="L50" s="6" t="s">
        <v>229</v>
      </c>
      <c r="M50" s="6"/>
      <c r="N50" s="10">
        <v>0</v>
      </c>
      <c r="O50" s="11"/>
      <c r="P50" s="11"/>
      <c r="Q50" s="13"/>
      <c r="R50" s="14"/>
      <c r="S50" s="15" t="e">
        <f t="shared" ca="1" si="67"/>
        <v>#NAME?</v>
      </c>
      <c r="T50" s="16"/>
      <c r="U50" s="15" t="e">
        <f t="shared" ca="1" si="68"/>
        <v>#NAME?</v>
      </c>
      <c r="V50" s="14"/>
      <c r="W50" s="15" t="e">
        <f t="shared" ca="1" si="69"/>
        <v>#NAME?</v>
      </c>
      <c r="X50" s="17" t="e">
        <f t="shared" ca="1" si="70"/>
        <v>#NAME?</v>
      </c>
      <c r="Y50" s="18" t="e">
        <f t="shared" ca="1" si="71"/>
        <v>#NAME?</v>
      </c>
      <c r="Z50" s="7"/>
      <c r="AA50" s="7"/>
      <c r="AB50" s="6" t="s">
        <v>230</v>
      </c>
    </row>
    <row r="51" spans="1:28" ht="144" outlineLevel="1" x14ac:dyDescent="0.2">
      <c r="A51" s="34" t="s">
        <v>231</v>
      </c>
      <c r="B51" s="6" t="s">
        <v>232</v>
      </c>
      <c r="C51" s="7" t="s">
        <v>75</v>
      </c>
      <c r="D51" s="8" t="b">
        <v>0</v>
      </c>
      <c r="E51" s="9"/>
      <c r="F51" s="7"/>
      <c r="G51" s="7" t="e">
        <f t="shared" ca="1" si="63"/>
        <v>#NAME?</v>
      </c>
      <c r="H51" s="7"/>
      <c r="I51" s="7" t="e">
        <f t="shared" ca="1" si="64"/>
        <v>#NAME?</v>
      </c>
      <c r="J51" s="6" t="e">
        <f t="shared" ca="1" si="65"/>
        <v>#NAME?</v>
      </c>
      <c r="K51" s="6" t="e">
        <f t="shared" ca="1" si="66"/>
        <v>#NAME?</v>
      </c>
      <c r="L51" s="6" t="s">
        <v>233</v>
      </c>
      <c r="M51" s="6"/>
      <c r="N51" s="10">
        <v>0</v>
      </c>
      <c r="O51" s="11"/>
      <c r="P51" s="11"/>
      <c r="Q51" s="13"/>
      <c r="R51" s="14"/>
      <c r="S51" s="15" t="e">
        <f t="shared" ca="1" si="67"/>
        <v>#NAME?</v>
      </c>
      <c r="T51" s="16"/>
      <c r="U51" s="15" t="e">
        <f t="shared" ca="1" si="68"/>
        <v>#NAME?</v>
      </c>
      <c r="V51" s="14"/>
      <c r="W51" s="15" t="e">
        <f t="shared" ca="1" si="69"/>
        <v>#NAME?</v>
      </c>
      <c r="X51" s="17" t="e">
        <f t="shared" ca="1" si="70"/>
        <v>#NAME?</v>
      </c>
      <c r="Y51" s="18" t="e">
        <f t="shared" ca="1" si="71"/>
        <v>#NAME?</v>
      </c>
      <c r="Z51" s="7"/>
      <c r="AA51" s="7"/>
      <c r="AB51" s="6" t="s">
        <v>234</v>
      </c>
    </row>
    <row r="52" spans="1:28" ht="72" outlineLevel="1" x14ac:dyDescent="0.2">
      <c r="A52" s="34" t="s">
        <v>235</v>
      </c>
      <c r="B52" s="6" t="s">
        <v>236</v>
      </c>
      <c r="C52" s="7" t="s">
        <v>85</v>
      </c>
      <c r="D52" s="8" t="b">
        <v>0</v>
      </c>
      <c r="E52" s="9"/>
      <c r="F52" s="7"/>
      <c r="G52" s="7" t="e">
        <f t="shared" ca="1" si="63"/>
        <v>#NAME?</v>
      </c>
      <c r="H52" s="7"/>
      <c r="I52" s="7" t="e">
        <f t="shared" ca="1" si="64"/>
        <v>#NAME?</v>
      </c>
      <c r="J52" s="6" t="e">
        <f t="shared" ca="1" si="65"/>
        <v>#NAME?</v>
      </c>
      <c r="K52" s="6" t="e">
        <f t="shared" ca="1" si="66"/>
        <v>#NAME?</v>
      </c>
      <c r="L52" s="6" t="s">
        <v>237</v>
      </c>
      <c r="M52" s="6"/>
      <c r="N52" s="10">
        <v>0</v>
      </c>
      <c r="O52" s="11"/>
      <c r="P52" s="11"/>
      <c r="Q52" s="13"/>
      <c r="R52" s="14"/>
      <c r="S52" s="15" t="e">
        <f t="shared" ca="1" si="67"/>
        <v>#NAME?</v>
      </c>
      <c r="T52" s="16"/>
      <c r="U52" s="15" t="e">
        <f t="shared" ca="1" si="68"/>
        <v>#NAME?</v>
      </c>
      <c r="V52" s="14"/>
      <c r="W52" s="15" t="e">
        <f t="shared" ca="1" si="69"/>
        <v>#NAME?</v>
      </c>
      <c r="X52" s="17" t="e">
        <f t="shared" ca="1" si="70"/>
        <v>#NAME?</v>
      </c>
      <c r="Y52" s="18" t="e">
        <f t="shared" ca="1" si="71"/>
        <v>#NAME?</v>
      </c>
      <c r="Z52" s="7"/>
      <c r="AA52" s="7"/>
      <c r="AB52" s="6" t="s">
        <v>238</v>
      </c>
    </row>
    <row r="53" spans="1:28" ht="54" customHeight="1" x14ac:dyDescent="0.2">
      <c r="A53" s="32" t="s">
        <v>239</v>
      </c>
      <c r="B53" s="3" t="str">
        <f>CONCATENATE("Protección de datos: ",COUNTIF(B54:B56,"&lt;&gt;0"))</f>
        <v>Protección de datos: 3</v>
      </c>
      <c r="C53" s="2">
        <f>(COUNTIF(C54:C56,"Sí")*1 + COUNTIF(C54:C56, "Parcialmente")*0.5) / ((COUNTA(C54:C56) - (COUNTIF(C54:C56, "N/A") + COUNTIF(C54:C56, "N/E"))))</f>
        <v>0.5</v>
      </c>
      <c r="D53" s="3">
        <f>COUNTIF(D54:D56,"true")</f>
        <v>0</v>
      </c>
      <c r="E53" s="4"/>
      <c r="F53" s="3"/>
      <c r="G53" s="3"/>
      <c r="H53" s="3"/>
      <c r="I53" s="3"/>
      <c r="J53" s="3"/>
      <c r="K53" s="3"/>
      <c r="L53" s="3" t="str">
        <f ca="1">IFERROR(__xludf.DUMMYFUNCTION("CONCATENATE(""Cantidad de notas: "", COUNTIF(FLATTEN(SPLIT(TEXTJOIN(CHAR(10), TRUE, M58:M60), CHAR(10))), ""*-?*""))"),"Cantidad de notas: 3")</f>
        <v>Cantidad de notas: 3</v>
      </c>
      <c r="M53" s="3"/>
      <c r="N53" s="3">
        <f>SUM(N54:N56)</f>
        <v>0</v>
      </c>
      <c r="O53" s="5">
        <f>MIN(O54:O56)</f>
        <v>0</v>
      </c>
      <c r="P53" s="5">
        <f>MAX(P54:P56)</f>
        <v>0</v>
      </c>
      <c r="Q53" s="5"/>
      <c r="R53" s="5"/>
      <c r="S53" s="5"/>
      <c r="T53" s="5"/>
      <c r="U53" s="5"/>
      <c r="V53" s="5"/>
      <c r="W53" s="5"/>
      <c r="X53" s="5"/>
      <c r="Y53" s="5"/>
      <c r="Z53" s="3" t="str">
        <f>CONCATENATE("GFourmis: ", COUNTIF(Z54:Z56, "GFourmis"), CHAR(10), "Cliente: ", COUNTIF(Z54:Z56, "Cliente"), CHAR(10), "Tercero: ", COUNTIF(Z54:Z56, "Tercero"))</f>
        <v>GFourmis: 0
Cliente: 0
Tercero: 0</v>
      </c>
      <c r="AA53" s="2" t="e">
        <f>(COUNTIF(AA54:AA56,"Sí")*1 + COUNTIF(AA54:AA56, "Parcialmente")*0.5) / ((COUNTA(AA54:AA56) - (COUNTIF(AA54:AA56, "N/A") + COUNTIF(AA54:AA56, "N/E"))))</f>
        <v>#DIV/0!</v>
      </c>
      <c r="AB53" s="3" t="str">
        <f ca="1">IFERROR(__xludf.DUMMYFUNCTION("CONCATENATE(""Cantidad de notas: "", COUNTIF(FLATTEN(SPLIT(TEXTJOIN(CHAR(10), TRUE, AC58:AC60), CHAR(10))), ""*-?*""))"),"Cantidad de notas: 0")</f>
        <v>Cantidad de notas: 0</v>
      </c>
    </row>
    <row r="54" spans="1:28" ht="108" outlineLevel="1" x14ac:dyDescent="0.2">
      <c r="A54" s="34" t="s">
        <v>240</v>
      </c>
      <c r="B54" s="6" t="s">
        <v>241</v>
      </c>
      <c r="C54" s="7" t="s">
        <v>12</v>
      </c>
      <c r="D54" s="8" t="b">
        <v>1</v>
      </c>
      <c r="E54" s="27" t="s">
        <v>242</v>
      </c>
      <c r="F54" s="7" t="s">
        <v>14</v>
      </c>
      <c r="G54" s="7" t="e">
        <f t="shared" ref="G54:G56" ca="1" si="72">_xludf.IFS(F54 = "Frecuente", 5, F54 = "Probable", 4, F54 = "Moderado", 3, F54 = "Bajo", 2, F54 = "Rara vez", 1)</f>
        <v>#NAME?</v>
      </c>
      <c r="H54" s="7" t="s">
        <v>15</v>
      </c>
      <c r="I54" s="7" t="e">
        <f t="shared" ref="I54:I56" ca="1" si="73">_xludf.IFS(H54 = "Crítico", 625, H54 = "Mayor", 125, H54 = "Moderado", 25, H54 = "Menor", 5, H54 = "Inferior", 1)</f>
        <v>#NAME?</v>
      </c>
      <c r="J54" s="6" t="e">
        <f t="shared" ref="J54:J56" ca="1" si="74">_xludf.IFS(K54 &lt;= 10, "Bajo", AND(K54 &gt; 10, K54 &lt;= 75), "Moderado", AND(K54 &gt; 75, K54 &lt;= 500), "Alto", AND(K54 &gt; 500, K54 &lt;= 3125), "Extremo")</f>
        <v>#NAME?</v>
      </c>
      <c r="K54" s="6" t="e">
        <f t="shared" ref="K54:K56" ca="1" si="75">G54*I54</f>
        <v>#NAME?</v>
      </c>
      <c r="L54" s="6" t="s">
        <v>243</v>
      </c>
      <c r="M54" s="6" t="s">
        <v>244</v>
      </c>
      <c r="N54" s="10">
        <v>0</v>
      </c>
      <c r="O54" s="11"/>
      <c r="P54" s="11"/>
      <c r="Q54" s="13"/>
      <c r="R54" s="14"/>
      <c r="S54" s="15" t="e">
        <f t="shared" ref="S54:S56" ca="1" si="76">_xludf.IFS(R54 = "Alta", 3, R54 = "Media", 2, R54 = "Baja", 1)</f>
        <v>#NAME?</v>
      </c>
      <c r="T54" s="16"/>
      <c r="U54" s="15" t="e">
        <f t="shared" ref="U54:U56" ca="1" si="77">_xludf.IFS(T54 = "Alta", 3, T54 = "Media", 2, T54 = "Baja", 1)</f>
        <v>#NAME?</v>
      </c>
      <c r="V54" s="14"/>
      <c r="W54" s="15" t="e">
        <f t="shared" ref="W54:W56" ca="1" si="78">_xludf.IFS(V54 = "Alta", 3, V54 = "Media", 2, V54 = "Baja", 1)</f>
        <v>#NAME?</v>
      </c>
      <c r="X54" s="17" t="e">
        <f t="shared" ref="X54:X56" ca="1" si="79">_xludf.IFS(Y54 &lt; 2, "Baja", AND(Y54 &gt;= 2, Y54 &lt;= 2.49), "Media", AND(Y54 &gt;= 2.5), "Alta")</f>
        <v>#NAME?</v>
      </c>
      <c r="Y54" s="18" t="e">
        <f t="shared" ref="Y54:Y56" ca="1" si="80">(N54 *0.25)+(S54*0.3)+(U54*0.3)+(W54*0.15)</f>
        <v>#NAME?</v>
      </c>
      <c r="Z54" s="7"/>
      <c r="AA54" s="7"/>
      <c r="AB54" s="6" t="s">
        <v>245</v>
      </c>
    </row>
    <row r="55" spans="1:28" ht="144" outlineLevel="1" x14ac:dyDescent="0.2">
      <c r="A55" s="34" t="s">
        <v>246</v>
      </c>
      <c r="B55" s="6" t="s">
        <v>247</v>
      </c>
      <c r="C55" s="7" t="s">
        <v>12</v>
      </c>
      <c r="D55" s="8" t="b">
        <v>1</v>
      </c>
      <c r="E55" s="27" t="s">
        <v>242</v>
      </c>
      <c r="F55" s="7" t="s">
        <v>14</v>
      </c>
      <c r="G55" s="7" t="e">
        <f t="shared" ca="1" si="72"/>
        <v>#NAME?</v>
      </c>
      <c r="H55" s="7" t="s">
        <v>15</v>
      </c>
      <c r="I55" s="7" t="e">
        <f t="shared" ca="1" si="73"/>
        <v>#NAME?</v>
      </c>
      <c r="J55" s="6" t="e">
        <f t="shared" ca="1" si="74"/>
        <v>#NAME?</v>
      </c>
      <c r="K55" s="6" t="e">
        <f t="shared" ca="1" si="75"/>
        <v>#NAME?</v>
      </c>
      <c r="L55" s="6" t="s">
        <v>248</v>
      </c>
      <c r="M55" s="6" t="s">
        <v>244</v>
      </c>
      <c r="N55" s="10">
        <v>0</v>
      </c>
      <c r="O55" s="11"/>
      <c r="P55" s="11"/>
      <c r="Q55" s="13"/>
      <c r="R55" s="14"/>
      <c r="S55" s="15" t="e">
        <f t="shared" ca="1" si="76"/>
        <v>#NAME?</v>
      </c>
      <c r="T55" s="16"/>
      <c r="U55" s="15" t="e">
        <f t="shared" ca="1" si="77"/>
        <v>#NAME?</v>
      </c>
      <c r="V55" s="14"/>
      <c r="W55" s="15" t="e">
        <f t="shared" ca="1" si="78"/>
        <v>#NAME?</v>
      </c>
      <c r="X55" s="17" t="e">
        <f t="shared" ca="1" si="79"/>
        <v>#NAME?</v>
      </c>
      <c r="Y55" s="18" t="e">
        <f t="shared" ca="1" si="80"/>
        <v>#NAME?</v>
      </c>
      <c r="Z55" s="7"/>
      <c r="AA55" s="7"/>
      <c r="AB55" s="6" t="s">
        <v>249</v>
      </c>
    </row>
    <row r="56" spans="1:28" ht="180" outlineLevel="1" x14ac:dyDescent="0.2">
      <c r="A56" s="34" t="s">
        <v>250</v>
      </c>
      <c r="B56" s="6" t="s">
        <v>251</v>
      </c>
      <c r="C56" s="7" t="s">
        <v>12</v>
      </c>
      <c r="D56" s="8" t="b">
        <v>1</v>
      </c>
      <c r="E56" s="27" t="s">
        <v>242</v>
      </c>
      <c r="F56" s="7" t="s">
        <v>14</v>
      </c>
      <c r="G56" s="7" t="e">
        <f t="shared" ca="1" si="72"/>
        <v>#NAME?</v>
      </c>
      <c r="H56" s="7" t="s">
        <v>15</v>
      </c>
      <c r="I56" s="7" t="e">
        <f t="shared" ca="1" si="73"/>
        <v>#NAME?</v>
      </c>
      <c r="J56" s="6" t="e">
        <f t="shared" ca="1" si="74"/>
        <v>#NAME?</v>
      </c>
      <c r="K56" s="6" t="e">
        <f t="shared" ca="1" si="75"/>
        <v>#NAME?</v>
      </c>
      <c r="L56" s="6" t="s">
        <v>252</v>
      </c>
      <c r="M56" s="6" t="s">
        <v>244</v>
      </c>
      <c r="N56" s="10">
        <v>0</v>
      </c>
      <c r="O56" s="11"/>
      <c r="P56" s="11"/>
      <c r="Q56" s="13"/>
      <c r="R56" s="14"/>
      <c r="S56" s="15" t="e">
        <f t="shared" ca="1" si="76"/>
        <v>#NAME?</v>
      </c>
      <c r="T56" s="16"/>
      <c r="U56" s="15" t="e">
        <f t="shared" ca="1" si="77"/>
        <v>#NAME?</v>
      </c>
      <c r="V56" s="14"/>
      <c r="W56" s="15" t="e">
        <f t="shared" ca="1" si="78"/>
        <v>#NAME?</v>
      </c>
      <c r="X56" s="17" t="e">
        <f t="shared" ca="1" si="79"/>
        <v>#NAME?</v>
      </c>
      <c r="Y56" s="18" t="e">
        <f t="shared" ca="1" si="80"/>
        <v>#NAME?</v>
      </c>
      <c r="Z56" s="7"/>
      <c r="AA56" s="7"/>
      <c r="AB56" s="6" t="s">
        <v>253</v>
      </c>
    </row>
    <row r="57" spans="1:28" ht="54" customHeight="1" x14ac:dyDescent="0.2">
      <c r="A57" s="32" t="s">
        <v>254</v>
      </c>
      <c r="B57" s="3" t="str">
        <f>CONCATENATE("Respuestas e incidencias: ",COUNTIF(B58:B65,"&lt;&gt;0"))</f>
        <v>Respuestas e incidencias: 8</v>
      </c>
      <c r="C57" s="2">
        <f>(COUNTIF(C58:C65,"Sí")*1 + COUNTIF(C58:C65, "Parcialmente")*0.5) / ((COUNTA(C58:C65) - (COUNTIF(C58:C65, "N/A") + COUNTIF(C58:C65, "N/E"))))</f>
        <v>0.125</v>
      </c>
      <c r="D57" s="3">
        <f>COUNTIF(D58:D65,"true")</f>
        <v>0</v>
      </c>
      <c r="E57" s="4"/>
      <c r="F57" s="3"/>
      <c r="G57" s="3"/>
      <c r="H57" s="3"/>
      <c r="I57" s="3"/>
      <c r="J57" s="3"/>
      <c r="K57" s="3"/>
      <c r="L57" s="3" t="str">
        <f ca="1">IFERROR(__xludf.DUMMYFUNCTION("CONCATENATE(""Cantidad de notas: "", COUNTIF(FLATTEN(SPLIT(TEXTJOIN(CHAR(10), TRUE, M62:M63), CHAR(10))), ""*-?*""))"),"Cantidad de notas: 1")</f>
        <v>Cantidad de notas: 1</v>
      </c>
      <c r="M57" s="3"/>
      <c r="N57" s="3">
        <f>SUM(N58:N65)</f>
        <v>0</v>
      </c>
      <c r="O57" s="5">
        <f>MIN(O58:O65)</f>
        <v>0</v>
      </c>
      <c r="P57" s="5">
        <f>MAX(P58:P65)</f>
        <v>0</v>
      </c>
      <c r="Q57" s="5"/>
      <c r="R57" s="5"/>
      <c r="S57" s="5"/>
      <c r="T57" s="5"/>
      <c r="U57" s="5"/>
      <c r="V57" s="5"/>
      <c r="W57" s="5"/>
      <c r="X57" s="5"/>
      <c r="Y57" s="5"/>
      <c r="Z57" s="3" t="str">
        <f>CONCATENATE("GFourmis: ", COUNTIF(Z58:Z65, "GFourmis"), CHAR(10), "Cliente: ", COUNTIF(Z58:Z65, "Cliente"), CHAR(10), "Tercero: ", COUNTIF(Z58:Z65, "Tercero"))</f>
        <v>GFourmis: 0
Cliente: 0
Tercero: 0</v>
      </c>
      <c r="AA57" s="2" t="e">
        <f>(COUNTIF(AA58:AA65,"Sí")*1 + COUNTIF(AA58:AA65, "Parcialmente")*0.5) / ((COUNTA(AA58:AA65) - (COUNTIF(AA58:AA65, "N/A") + COUNTIF(AA58:AA65, "N/E"))))</f>
        <v>#DIV/0!</v>
      </c>
      <c r="AB57" s="3" t="str">
        <f ca="1">IFERROR(__xludf.DUMMYFUNCTION("CONCATENATE(""Cantidad de notas: "", COUNTIF(FLATTEN(SPLIT(TEXTJOIN(CHAR(10), TRUE, AC62:AC63), CHAR(10))), ""*-?*""))"),"Cantidad de notas: 0")</f>
        <v>Cantidad de notas: 0</v>
      </c>
    </row>
    <row r="58" spans="1:28" ht="54" outlineLevel="1" x14ac:dyDescent="0.2">
      <c r="A58" s="34" t="s">
        <v>255</v>
      </c>
      <c r="B58" s="6" t="s">
        <v>256</v>
      </c>
      <c r="C58" s="7" t="s">
        <v>75</v>
      </c>
      <c r="D58" s="8" t="b">
        <v>0</v>
      </c>
      <c r="E58" s="9"/>
      <c r="F58" s="7"/>
      <c r="G58" s="7" t="e">
        <f t="shared" ref="G58:G65" ca="1" si="81">_xludf.IFS(F58 = "Frecuente", 5, F58 = "Probable", 4, F58 = "Moderado", 3, F58 = "Bajo", 2, F58 = "Rara vez", 1)</f>
        <v>#NAME?</v>
      </c>
      <c r="H58" s="7"/>
      <c r="I58" s="7" t="e">
        <f t="shared" ref="I58:I65" ca="1" si="82">_xludf.IFS(H58 = "Crítico", 625, H58 = "Mayor", 125, H58 = "Moderado", 25, H58 = "Menor", 5, H58 = "Inferior", 1)</f>
        <v>#NAME?</v>
      </c>
      <c r="J58" s="6" t="e">
        <f t="shared" ref="J58:J65" ca="1" si="83">_xludf.IFS(K58 &lt;= 10, "Bajo", AND(K58 &gt; 10, K58 &lt;= 75), "Moderado", AND(K58 &gt; 75, K58 &lt;= 500), "Alto", AND(K58 &gt; 500, K58 &lt;= 3125), "Extremo")</f>
        <v>#NAME?</v>
      </c>
      <c r="K58" s="6" t="e">
        <f t="shared" ref="K58:K65" ca="1" si="84">G58*I58</f>
        <v>#NAME?</v>
      </c>
      <c r="L58" s="6" t="s">
        <v>257</v>
      </c>
      <c r="M58" s="6"/>
      <c r="N58" s="10">
        <v>0</v>
      </c>
      <c r="O58" s="11"/>
      <c r="P58" s="11"/>
      <c r="Q58" s="13"/>
      <c r="R58" s="14"/>
      <c r="S58" s="15" t="e">
        <f t="shared" ref="S58:S65" ca="1" si="85">_xludf.IFS(R58 = "Alta", 3, R58 = "Media", 2, R58 = "Baja", 1)</f>
        <v>#NAME?</v>
      </c>
      <c r="T58" s="16"/>
      <c r="U58" s="15" t="e">
        <f t="shared" ref="U58:U65" ca="1" si="86">_xludf.IFS(T58 = "Alta", 3, T58 = "Media", 2, T58 = "Baja", 1)</f>
        <v>#NAME?</v>
      </c>
      <c r="V58" s="14"/>
      <c r="W58" s="15" t="e">
        <f t="shared" ref="W58:W65" ca="1" si="87">_xludf.IFS(V58 = "Alta", 3, V58 = "Media", 2, V58 = "Baja", 1)</f>
        <v>#NAME?</v>
      </c>
      <c r="X58" s="17" t="e">
        <f t="shared" ref="X58:X65" ca="1" si="88">_xludf.IFS(Y58 &lt; 2, "Baja", AND(Y58 &gt;= 2, Y58 &lt;= 2.49), "Media", AND(Y58 &gt;= 2.5), "Alta")</f>
        <v>#NAME?</v>
      </c>
      <c r="Y58" s="18" t="e">
        <f t="shared" ref="Y58:Y65" ca="1" si="89">(N58 *0.25)+(S58*0.3)+(U58*0.3)+(W58*0.15)</f>
        <v>#NAME?</v>
      </c>
      <c r="Z58" s="7"/>
      <c r="AA58" s="7"/>
      <c r="AB58" s="6" t="s">
        <v>258</v>
      </c>
    </row>
    <row r="59" spans="1:28" ht="72" outlineLevel="1" x14ac:dyDescent="0.2">
      <c r="A59" s="34" t="s">
        <v>259</v>
      </c>
      <c r="B59" s="6" t="s">
        <v>260</v>
      </c>
      <c r="C59" s="7" t="s">
        <v>3</v>
      </c>
      <c r="D59" s="8" t="b">
        <v>1</v>
      </c>
      <c r="E59" s="9" t="s">
        <v>261</v>
      </c>
      <c r="F59" s="7" t="s">
        <v>14</v>
      </c>
      <c r="G59" s="7" t="e">
        <f t="shared" ca="1" si="81"/>
        <v>#NAME?</v>
      </c>
      <c r="H59" s="7" t="s">
        <v>15</v>
      </c>
      <c r="I59" s="7" t="e">
        <f t="shared" ca="1" si="82"/>
        <v>#NAME?</v>
      </c>
      <c r="J59" s="6" t="e">
        <f t="shared" ca="1" si="83"/>
        <v>#NAME?</v>
      </c>
      <c r="K59" s="6" t="e">
        <f t="shared" ca="1" si="84"/>
        <v>#NAME?</v>
      </c>
      <c r="L59" s="6" t="s">
        <v>262</v>
      </c>
      <c r="M59" s="6" t="s">
        <v>263</v>
      </c>
      <c r="N59" s="10">
        <v>0</v>
      </c>
      <c r="O59" s="11"/>
      <c r="P59" s="11"/>
      <c r="Q59" s="13"/>
      <c r="R59" s="14"/>
      <c r="S59" s="15" t="e">
        <f t="shared" ca="1" si="85"/>
        <v>#NAME?</v>
      </c>
      <c r="T59" s="16"/>
      <c r="U59" s="15" t="e">
        <f t="shared" ca="1" si="86"/>
        <v>#NAME?</v>
      </c>
      <c r="V59" s="14"/>
      <c r="W59" s="15" t="e">
        <f t="shared" ca="1" si="87"/>
        <v>#NAME?</v>
      </c>
      <c r="X59" s="17" t="e">
        <f t="shared" ca="1" si="88"/>
        <v>#NAME?</v>
      </c>
      <c r="Y59" s="18" t="e">
        <f t="shared" ca="1" si="89"/>
        <v>#NAME?</v>
      </c>
      <c r="Z59" s="7"/>
      <c r="AA59" s="7"/>
      <c r="AB59" s="6" t="s">
        <v>264</v>
      </c>
    </row>
    <row r="60" spans="1:28" ht="54" outlineLevel="1" x14ac:dyDescent="0.2">
      <c r="A60" s="34" t="s">
        <v>265</v>
      </c>
      <c r="B60" s="6" t="s">
        <v>266</v>
      </c>
      <c r="C60" s="7" t="s">
        <v>75</v>
      </c>
      <c r="D60" s="8" t="b">
        <v>0</v>
      </c>
      <c r="E60" s="9"/>
      <c r="F60" s="7"/>
      <c r="G60" s="7" t="e">
        <f t="shared" ca="1" si="81"/>
        <v>#NAME?</v>
      </c>
      <c r="H60" s="7"/>
      <c r="I60" s="7" t="e">
        <f t="shared" ca="1" si="82"/>
        <v>#NAME?</v>
      </c>
      <c r="J60" s="6" t="e">
        <f t="shared" ca="1" si="83"/>
        <v>#NAME?</v>
      </c>
      <c r="K60" s="6" t="e">
        <f t="shared" ca="1" si="84"/>
        <v>#NAME?</v>
      </c>
      <c r="L60" s="6" t="s">
        <v>267</v>
      </c>
      <c r="M60" s="6"/>
      <c r="N60" s="10">
        <v>0</v>
      </c>
      <c r="O60" s="11"/>
      <c r="P60" s="11"/>
      <c r="Q60" s="13"/>
      <c r="R60" s="14"/>
      <c r="S60" s="15" t="e">
        <f t="shared" ca="1" si="85"/>
        <v>#NAME?</v>
      </c>
      <c r="T60" s="16"/>
      <c r="U60" s="15" t="e">
        <f t="shared" ca="1" si="86"/>
        <v>#NAME?</v>
      </c>
      <c r="V60" s="14"/>
      <c r="W60" s="15" t="e">
        <f t="shared" ca="1" si="87"/>
        <v>#NAME?</v>
      </c>
      <c r="X60" s="17" t="e">
        <f t="shared" ca="1" si="88"/>
        <v>#NAME?</v>
      </c>
      <c r="Y60" s="18" t="e">
        <f t="shared" ca="1" si="89"/>
        <v>#NAME?</v>
      </c>
      <c r="Z60" s="7"/>
      <c r="AA60" s="7"/>
      <c r="AB60" s="6" t="s">
        <v>268</v>
      </c>
    </row>
    <row r="61" spans="1:28" ht="126" outlineLevel="1" x14ac:dyDescent="0.2">
      <c r="A61" s="34" t="s">
        <v>269</v>
      </c>
      <c r="B61" s="6" t="s">
        <v>270</v>
      </c>
      <c r="C61" s="7" t="s">
        <v>3</v>
      </c>
      <c r="D61" s="8" t="b">
        <v>1</v>
      </c>
      <c r="E61" s="9" t="s">
        <v>261</v>
      </c>
      <c r="F61" s="7" t="s">
        <v>14</v>
      </c>
      <c r="G61" s="7" t="e">
        <f t="shared" ca="1" si="81"/>
        <v>#NAME?</v>
      </c>
      <c r="H61" s="7" t="s">
        <v>15</v>
      </c>
      <c r="I61" s="7" t="e">
        <f t="shared" ca="1" si="82"/>
        <v>#NAME?</v>
      </c>
      <c r="J61" s="6" t="e">
        <f t="shared" ca="1" si="83"/>
        <v>#NAME?</v>
      </c>
      <c r="K61" s="6" t="e">
        <f t="shared" ca="1" si="84"/>
        <v>#NAME?</v>
      </c>
      <c r="L61" s="6" t="s">
        <v>271</v>
      </c>
      <c r="M61" s="6" t="s">
        <v>263</v>
      </c>
      <c r="N61" s="10">
        <v>0</v>
      </c>
      <c r="O61" s="11"/>
      <c r="P61" s="11"/>
      <c r="Q61" s="13"/>
      <c r="R61" s="14"/>
      <c r="S61" s="15" t="e">
        <f t="shared" ca="1" si="85"/>
        <v>#NAME?</v>
      </c>
      <c r="T61" s="16"/>
      <c r="U61" s="15" t="e">
        <f t="shared" ca="1" si="86"/>
        <v>#NAME?</v>
      </c>
      <c r="V61" s="14"/>
      <c r="W61" s="15" t="e">
        <f t="shared" ca="1" si="87"/>
        <v>#NAME?</v>
      </c>
      <c r="X61" s="17" t="e">
        <f t="shared" ca="1" si="88"/>
        <v>#NAME?</v>
      </c>
      <c r="Y61" s="18" t="e">
        <f t="shared" ca="1" si="89"/>
        <v>#NAME?</v>
      </c>
      <c r="Z61" s="7"/>
      <c r="AA61" s="7"/>
      <c r="AB61" s="6" t="s">
        <v>272</v>
      </c>
    </row>
    <row r="62" spans="1:28" ht="54" outlineLevel="1" x14ac:dyDescent="0.2">
      <c r="A62" s="34" t="s">
        <v>273</v>
      </c>
      <c r="B62" s="6" t="s">
        <v>274</v>
      </c>
      <c r="C62" s="7" t="s">
        <v>75</v>
      </c>
      <c r="D62" s="8" t="b">
        <v>0</v>
      </c>
      <c r="E62" s="9"/>
      <c r="F62" s="7"/>
      <c r="G62" s="7" t="e">
        <f t="shared" ca="1" si="81"/>
        <v>#NAME?</v>
      </c>
      <c r="H62" s="7"/>
      <c r="I62" s="7" t="e">
        <f t="shared" ca="1" si="82"/>
        <v>#NAME?</v>
      </c>
      <c r="J62" s="6" t="e">
        <f t="shared" ca="1" si="83"/>
        <v>#NAME?</v>
      </c>
      <c r="K62" s="6" t="e">
        <f t="shared" ca="1" si="84"/>
        <v>#NAME?</v>
      </c>
      <c r="L62" s="6" t="s">
        <v>275</v>
      </c>
      <c r="M62" s="6"/>
      <c r="N62" s="10">
        <v>0</v>
      </c>
      <c r="O62" s="11"/>
      <c r="P62" s="11"/>
      <c r="Q62" s="13"/>
      <c r="R62" s="14"/>
      <c r="S62" s="15" t="e">
        <f t="shared" ca="1" si="85"/>
        <v>#NAME?</v>
      </c>
      <c r="T62" s="16"/>
      <c r="U62" s="15" t="e">
        <f t="shared" ca="1" si="86"/>
        <v>#NAME?</v>
      </c>
      <c r="V62" s="14"/>
      <c r="W62" s="15" t="e">
        <f t="shared" ca="1" si="87"/>
        <v>#NAME?</v>
      </c>
      <c r="X62" s="17" t="e">
        <f t="shared" ca="1" si="88"/>
        <v>#NAME?</v>
      </c>
      <c r="Y62" s="18" t="e">
        <f t="shared" ca="1" si="89"/>
        <v>#NAME?</v>
      </c>
      <c r="Z62" s="7"/>
      <c r="AA62" s="7"/>
      <c r="AB62" s="6" t="s">
        <v>276</v>
      </c>
    </row>
    <row r="63" spans="1:28" ht="162" outlineLevel="1" x14ac:dyDescent="0.2">
      <c r="A63" s="34" t="s">
        <v>277</v>
      </c>
      <c r="B63" s="6" t="s">
        <v>278</v>
      </c>
      <c r="C63" s="7" t="s">
        <v>12</v>
      </c>
      <c r="D63" s="8" t="b">
        <v>1</v>
      </c>
      <c r="E63" s="9" t="s">
        <v>279</v>
      </c>
      <c r="F63" s="7" t="s">
        <v>5</v>
      </c>
      <c r="G63" s="7" t="e">
        <f t="shared" ca="1" si="81"/>
        <v>#NAME?</v>
      </c>
      <c r="H63" s="7" t="s">
        <v>15</v>
      </c>
      <c r="I63" s="7" t="e">
        <f t="shared" ca="1" si="82"/>
        <v>#NAME?</v>
      </c>
      <c r="J63" s="6" t="e">
        <f t="shared" ca="1" si="83"/>
        <v>#NAME?</v>
      </c>
      <c r="K63" s="6" t="e">
        <f t="shared" ca="1" si="84"/>
        <v>#NAME?</v>
      </c>
      <c r="L63" s="6" t="s">
        <v>280</v>
      </c>
      <c r="M63" s="6" t="s">
        <v>281</v>
      </c>
      <c r="N63" s="10">
        <v>0</v>
      </c>
      <c r="O63" s="11"/>
      <c r="P63" s="11"/>
      <c r="Q63" s="13"/>
      <c r="R63" s="14"/>
      <c r="S63" s="15" t="e">
        <f t="shared" ca="1" si="85"/>
        <v>#NAME?</v>
      </c>
      <c r="T63" s="16"/>
      <c r="U63" s="15" t="e">
        <f t="shared" ca="1" si="86"/>
        <v>#NAME?</v>
      </c>
      <c r="V63" s="14"/>
      <c r="W63" s="15" t="e">
        <f t="shared" ca="1" si="87"/>
        <v>#NAME?</v>
      </c>
      <c r="X63" s="17" t="e">
        <f t="shared" ca="1" si="88"/>
        <v>#NAME?</v>
      </c>
      <c r="Y63" s="18" t="e">
        <f t="shared" ca="1" si="89"/>
        <v>#NAME?</v>
      </c>
      <c r="Z63" s="7"/>
      <c r="AA63" s="7"/>
      <c r="AB63" s="6" t="s">
        <v>282</v>
      </c>
    </row>
    <row r="64" spans="1:28" ht="198" outlineLevel="1" x14ac:dyDescent="0.2">
      <c r="A64" s="34" t="s">
        <v>283</v>
      </c>
      <c r="B64" s="6" t="s">
        <v>284</v>
      </c>
      <c r="C64" s="7" t="s">
        <v>75</v>
      </c>
      <c r="D64" s="8" t="b">
        <v>0</v>
      </c>
      <c r="E64" s="9"/>
      <c r="F64" s="7"/>
      <c r="G64" s="7" t="e">
        <f t="shared" ca="1" si="81"/>
        <v>#NAME?</v>
      </c>
      <c r="H64" s="7"/>
      <c r="I64" s="7" t="e">
        <f t="shared" ca="1" si="82"/>
        <v>#NAME?</v>
      </c>
      <c r="J64" s="6" t="e">
        <f t="shared" ca="1" si="83"/>
        <v>#NAME?</v>
      </c>
      <c r="K64" s="6" t="e">
        <f t="shared" ca="1" si="84"/>
        <v>#NAME?</v>
      </c>
      <c r="L64" s="6" t="s">
        <v>285</v>
      </c>
      <c r="M64" s="6"/>
      <c r="N64" s="10">
        <v>0</v>
      </c>
      <c r="O64" s="11"/>
      <c r="P64" s="11"/>
      <c r="Q64" s="13"/>
      <c r="R64" s="14"/>
      <c r="S64" s="15" t="e">
        <f t="shared" ca="1" si="85"/>
        <v>#NAME?</v>
      </c>
      <c r="T64" s="16"/>
      <c r="U64" s="15" t="e">
        <f t="shared" ca="1" si="86"/>
        <v>#NAME?</v>
      </c>
      <c r="V64" s="14"/>
      <c r="W64" s="15" t="e">
        <f t="shared" ca="1" si="87"/>
        <v>#NAME?</v>
      </c>
      <c r="X64" s="17" t="e">
        <f t="shared" ca="1" si="88"/>
        <v>#NAME?</v>
      </c>
      <c r="Y64" s="18" t="e">
        <f t="shared" ca="1" si="89"/>
        <v>#NAME?</v>
      </c>
      <c r="Z64" s="7"/>
      <c r="AA64" s="7"/>
      <c r="AB64" s="6" t="s">
        <v>286</v>
      </c>
    </row>
    <row r="65" spans="1:28" ht="144" outlineLevel="1" x14ac:dyDescent="0.2">
      <c r="A65" s="34" t="s">
        <v>287</v>
      </c>
      <c r="B65" s="6" t="s">
        <v>288</v>
      </c>
      <c r="C65" s="7" t="s">
        <v>3</v>
      </c>
      <c r="D65" s="8" t="b">
        <v>0</v>
      </c>
      <c r="E65" s="9" t="s">
        <v>289</v>
      </c>
      <c r="F65" s="7"/>
      <c r="G65" s="7" t="e">
        <f t="shared" ca="1" si="81"/>
        <v>#NAME?</v>
      </c>
      <c r="H65" s="7"/>
      <c r="I65" s="7" t="e">
        <f t="shared" ca="1" si="82"/>
        <v>#NAME?</v>
      </c>
      <c r="J65" s="6" t="e">
        <f t="shared" ca="1" si="83"/>
        <v>#NAME?</v>
      </c>
      <c r="K65" s="6" t="e">
        <f t="shared" ca="1" si="84"/>
        <v>#NAME?</v>
      </c>
      <c r="L65" s="6" t="s">
        <v>290</v>
      </c>
      <c r="M65" s="6"/>
      <c r="N65" s="10">
        <v>0</v>
      </c>
      <c r="O65" s="11"/>
      <c r="P65" s="11"/>
      <c r="Q65" s="13"/>
      <c r="R65" s="14"/>
      <c r="S65" s="15" t="e">
        <f t="shared" ca="1" si="85"/>
        <v>#NAME?</v>
      </c>
      <c r="T65" s="16"/>
      <c r="U65" s="15" t="e">
        <f t="shared" ca="1" si="86"/>
        <v>#NAME?</v>
      </c>
      <c r="V65" s="14"/>
      <c r="W65" s="15" t="e">
        <f t="shared" ca="1" si="87"/>
        <v>#NAME?</v>
      </c>
      <c r="X65" s="17" t="e">
        <f t="shared" ca="1" si="88"/>
        <v>#NAME?</v>
      </c>
      <c r="Y65" s="18" t="e">
        <f t="shared" ca="1" si="89"/>
        <v>#NAME?</v>
      </c>
      <c r="Z65" s="7"/>
      <c r="AA65" s="7"/>
      <c r="AB65" s="6" t="s">
        <v>291</v>
      </c>
    </row>
    <row r="66" spans="1:28" ht="54" customHeight="1" x14ac:dyDescent="0.2">
      <c r="A66" s="32" t="s">
        <v>292</v>
      </c>
      <c r="B66" s="3" t="str">
        <f>CONCATENATE("Seguridad de aplicaciónes: ",COUNTIF(B67:B74,"&lt;&gt;0"))</f>
        <v>Seguridad de aplicaciónes: 8</v>
      </c>
      <c r="C66" s="2">
        <f>(COUNTIF(C67:C74,"Sí")*1 + COUNTIF(C67:C74, "Parcialmente")*0.5) / ((COUNTA(C67:C74) - (COUNTIF(C67:C74, "N/A") + COUNTIF(C67:C74, "N/E"))))</f>
        <v>0</v>
      </c>
      <c r="D66" s="3">
        <f>COUNTIF(D67:D74,"true")</f>
        <v>0</v>
      </c>
      <c r="E66" s="4"/>
      <c r="F66" s="3"/>
      <c r="G66" s="3"/>
      <c r="H66" s="3"/>
      <c r="I66" s="3"/>
      <c r="J66" s="3"/>
      <c r="K66" s="3"/>
      <c r="L66" s="3" t="str">
        <f ca="1">IFERROR(__xludf.DUMMYFUNCTION("CONCATENATE(""Cantidad de notas: "", COUNTIF(FLATTEN(SPLIT(TEXTJOIN(CHAR(10), TRUE, M71:M78), CHAR(10))), ""*-?*""))"),"Cantidad de notas: 6")</f>
        <v>Cantidad de notas: 6</v>
      </c>
      <c r="M66" s="3"/>
      <c r="N66" s="3">
        <f>SUM(N67:N74)</f>
        <v>0</v>
      </c>
      <c r="O66" s="5">
        <f>MIN(O67:O74)</f>
        <v>0</v>
      </c>
      <c r="P66" s="5">
        <f>MAX(P67:P74)</f>
        <v>0</v>
      </c>
      <c r="Q66" s="5"/>
      <c r="R66" s="5"/>
      <c r="S66" s="5"/>
      <c r="T66" s="5"/>
      <c r="U66" s="5"/>
      <c r="V66" s="5"/>
      <c r="W66" s="5"/>
      <c r="X66" s="5"/>
      <c r="Y66" s="5"/>
      <c r="Z66" s="3" t="str">
        <f>CONCATENATE("GFourmis: ", COUNTIF(Z67:Z74, "GFourmis"), CHAR(10), "Cliente: ", COUNTIF(Z67:Z74, "Cliente"), CHAR(10), "Tercero: ", COUNTIF(Z67:Z74, "Tercero"))</f>
        <v>GFourmis: 0
Cliente: 0
Tercero: 0</v>
      </c>
      <c r="AA66" s="2" t="e">
        <f>(COUNTIF(AA67:AA74,"Sí")*1 + COUNTIF(AA67:AA74, "Parcialmente")*0.5) / ((COUNTA(AA67:AA74) - (COUNTIF(AA67:AA74, "N/A") + COUNTIF(AA67:AA74, "N/E"))))</f>
        <v>#DIV/0!</v>
      </c>
      <c r="AB66" s="3" t="str">
        <f ca="1">IFERROR(__xludf.DUMMYFUNCTION("CONCATENATE(""Cantidad de notas: "", COUNTIF(FLATTEN(SPLIT(TEXTJOIN(CHAR(10), TRUE, AC71:AC72), CHAR(10))), ""*-?*""))"),"Cantidad de notas: 0")</f>
        <v>Cantidad de notas: 0</v>
      </c>
    </row>
    <row r="67" spans="1:28" ht="180" outlineLevel="1" x14ac:dyDescent="0.35">
      <c r="A67" s="34" t="s">
        <v>293</v>
      </c>
      <c r="B67" s="6" t="s">
        <v>294</v>
      </c>
      <c r="C67" s="7" t="s">
        <v>3</v>
      </c>
      <c r="D67" s="8" t="b">
        <v>0</v>
      </c>
      <c r="E67" s="28" t="s">
        <v>295</v>
      </c>
      <c r="F67" s="25" t="s">
        <v>5</v>
      </c>
      <c r="G67" s="26" t="e">
        <f t="shared" ref="G67:G74" ca="1" si="90">_xludf.IFS(F67 = "Frecuente", 5, F67 = "Probable", 4, F67 = "Moderado", 3, F67 = "Bajo", 2, F67 = "Rara vez", 1)</f>
        <v>#NAME?</v>
      </c>
      <c r="H67" s="25" t="s">
        <v>15</v>
      </c>
      <c r="I67" s="7" t="e">
        <f t="shared" ref="I67:I74" ca="1" si="91">_xludf.IFS(H67 = "Crítico", 625, H67 = "Mayor", 125, H67 = "Moderado", 25, H67 = "Menor", 5, H67 = "Inferior", 1)</f>
        <v>#NAME?</v>
      </c>
      <c r="J67" s="6" t="e">
        <f t="shared" ref="J67:J74" ca="1" si="92">_xludf.IFS(K67 &lt;= 10, "Bajo", AND(K67 &gt; 10, K67 &lt;= 75), "Moderado", AND(K67 &gt; 75, K67 &lt;= 500), "Alto", AND(K67 &gt; 500, K67 &lt;= 3125), "Extremo")</f>
        <v>#NAME?</v>
      </c>
      <c r="K67" s="6" t="e">
        <f t="shared" ref="K67:K74" ca="1" si="93">G67*I67</f>
        <v>#NAME?</v>
      </c>
      <c r="L67" s="29" t="s">
        <v>296</v>
      </c>
      <c r="M67" s="29"/>
      <c r="N67" s="10">
        <v>0</v>
      </c>
      <c r="O67" s="11"/>
      <c r="P67" s="11"/>
      <c r="Q67" s="13"/>
      <c r="R67" s="14"/>
      <c r="S67" s="15" t="e">
        <f t="shared" ref="S67:S74" ca="1" si="94">_xludf.IFS(R67 = "Alta", 3, R67 = "Media", 2, R67 = "Baja", 1)</f>
        <v>#NAME?</v>
      </c>
      <c r="T67" s="16"/>
      <c r="U67" s="15" t="e">
        <f t="shared" ref="U67:U74" ca="1" si="95">_xludf.IFS(T67 = "Alta", 3, T67 = "Media", 2, T67 = "Baja", 1)</f>
        <v>#NAME?</v>
      </c>
      <c r="V67" s="14"/>
      <c r="W67" s="15" t="e">
        <f t="shared" ref="W67:W74" ca="1" si="96">_xludf.IFS(V67 = "Alta", 3, V67 = "Media", 2, V67 = "Baja", 1)</f>
        <v>#NAME?</v>
      </c>
      <c r="X67" s="17" t="e">
        <f t="shared" ref="X67:X74" ca="1" si="97">_xludf.IFS(Y67 &lt; 2, "Baja", AND(Y67 &gt;= 2, Y67 &lt;= 2.49), "Media", AND(Y67 &gt;= 2.5), "Alta")</f>
        <v>#NAME?</v>
      </c>
      <c r="Y67" s="18" t="e">
        <f t="shared" ref="Y67:Y74" ca="1" si="98">(N67 *0.25)+(S67*0.3)+(U67*0.3)+(W67*0.15)</f>
        <v>#NAME?</v>
      </c>
      <c r="Z67" s="7"/>
      <c r="AA67" s="7"/>
      <c r="AB67" s="6" t="s">
        <v>297</v>
      </c>
    </row>
    <row r="68" spans="1:28" ht="90" outlineLevel="1" x14ac:dyDescent="0.2">
      <c r="A68" s="34" t="s">
        <v>298</v>
      </c>
      <c r="B68" s="6" t="s">
        <v>299</v>
      </c>
      <c r="C68" s="7" t="s">
        <v>75</v>
      </c>
      <c r="D68" s="8" t="b">
        <v>0</v>
      </c>
      <c r="E68" s="9"/>
      <c r="F68" s="7"/>
      <c r="G68" s="7" t="e">
        <f t="shared" ca="1" si="90"/>
        <v>#NAME?</v>
      </c>
      <c r="H68" s="7"/>
      <c r="I68" s="7" t="e">
        <f t="shared" ca="1" si="91"/>
        <v>#NAME?</v>
      </c>
      <c r="J68" s="6" t="e">
        <f t="shared" ca="1" si="92"/>
        <v>#NAME?</v>
      </c>
      <c r="K68" s="6" t="e">
        <f t="shared" ca="1" si="93"/>
        <v>#NAME?</v>
      </c>
      <c r="L68" s="29" t="s">
        <v>300</v>
      </c>
      <c r="M68" s="6"/>
      <c r="N68" s="10">
        <v>0</v>
      </c>
      <c r="O68" s="11"/>
      <c r="P68" s="11"/>
      <c r="Q68" s="13"/>
      <c r="R68" s="14"/>
      <c r="S68" s="15" t="e">
        <f t="shared" ca="1" si="94"/>
        <v>#NAME?</v>
      </c>
      <c r="T68" s="16"/>
      <c r="U68" s="15" t="e">
        <f t="shared" ca="1" si="95"/>
        <v>#NAME?</v>
      </c>
      <c r="V68" s="14"/>
      <c r="W68" s="15" t="e">
        <f t="shared" ca="1" si="96"/>
        <v>#NAME?</v>
      </c>
      <c r="X68" s="17" t="e">
        <f t="shared" ca="1" si="97"/>
        <v>#NAME?</v>
      </c>
      <c r="Y68" s="18" t="e">
        <f t="shared" ca="1" si="98"/>
        <v>#NAME?</v>
      </c>
      <c r="Z68" s="7"/>
      <c r="AA68" s="7"/>
      <c r="AB68" s="6" t="s">
        <v>301</v>
      </c>
    </row>
    <row r="69" spans="1:28" ht="162" outlineLevel="1" x14ac:dyDescent="0.2">
      <c r="A69" s="34" t="s">
        <v>302</v>
      </c>
      <c r="B69" s="6" t="s">
        <v>303</v>
      </c>
      <c r="C69" s="7" t="s">
        <v>75</v>
      </c>
      <c r="D69" s="8" t="b">
        <v>0</v>
      </c>
      <c r="E69" s="9"/>
      <c r="F69" s="7"/>
      <c r="G69" s="7" t="e">
        <f t="shared" ca="1" si="90"/>
        <v>#NAME?</v>
      </c>
      <c r="H69" s="7"/>
      <c r="I69" s="7" t="e">
        <f t="shared" ca="1" si="91"/>
        <v>#NAME?</v>
      </c>
      <c r="J69" s="6" t="e">
        <f t="shared" ca="1" si="92"/>
        <v>#NAME?</v>
      </c>
      <c r="K69" s="6" t="e">
        <f t="shared" ca="1" si="93"/>
        <v>#NAME?</v>
      </c>
      <c r="L69" s="29" t="s">
        <v>304</v>
      </c>
      <c r="M69" s="29"/>
      <c r="N69" s="10">
        <v>0</v>
      </c>
      <c r="O69" s="11"/>
      <c r="P69" s="11"/>
      <c r="Q69" s="13"/>
      <c r="R69" s="14"/>
      <c r="S69" s="15" t="e">
        <f t="shared" ca="1" si="94"/>
        <v>#NAME?</v>
      </c>
      <c r="T69" s="16"/>
      <c r="U69" s="15" t="e">
        <f t="shared" ca="1" si="95"/>
        <v>#NAME?</v>
      </c>
      <c r="V69" s="14"/>
      <c r="W69" s="15" t="e">
        <f t="shared" ca="1" si="96"/>
        <v>#NAME?</v>
      </c>
      <c r="X69" s="17" t="e">
        <f t="shared" ca="1" si="97"/>
        <v>#NAME?</v>
      </c>
      <c r="Y69" s="18" t="e">
        <f t="shared" ca="1" si="98"/>
        <v>#NAME?</v>
      </c>
      <c r="Z69" s="7"/>
      <c r="AA69" s="7"/>
      <c r="AB69" s="6" t="s">
        <v>305</v>
      </c>
    </row>
    <row r="70" spans="1:28" ht="180" outlineLevel="1" x14ac:dyDescent="0.35">
      <c r="A70" s="34" t="s">
        <v>306</v>
      </c>
      <c r="B70" s="6" t="s">
        <v>307</v>
      </c>
      <c r="C70" s="7" t="s">
        <v>3</v>
      </c>
      <c r="D70" s="8" t="b">
        <v>0</v>
      </c>
      <c r="E70" s="28" t="s">
        <v>308</v>
      </c>
      <c r="F70" s="25" t="s">
        <v>5</v>
      </c>
      <c r="G70" s="30" t="e">
        <f t="shared" ca="1" si="90"/>
        <v>#NAME?</v>
      </c>
      <c r="H70" s="25" t="s">
        <v>15</v>
      </c>
      <c r="I70" s="7" t="e">
        <f t="shared" ca="1" si="91"/>
        <v>#NAME?</v>
      </c>
      <c r="J70" s="6" t="e">
        <f t="shared" ca="1" si="92"/>
        <v>#NAME?</v>
      </c>
      <c r="K70" s="6" t="e">
        <f t="shared" ca="1" si="93"/>
        <v>#NAME?</v>
      </c>
      <c r="L70" s="29" t="s">
        <v>309</v>
      </c>
      <c r="M70" s="29"/>
      <c r="N70" s="10">
        <v>0</v>
      </c>
      <c r="O70" s="11"/>
      <c r="P70" s="11"/>
      <c r="Q70" s="13"/>
      <c r="R70" s="14"/>
      <c r="S70" s="15" t="e">
        <f t="shared" ca="1" si="94"/>
        <v>#NAME?</v>
      </c>
      <c r="T70" s="16"/>
      <c r="U70" s="15" t="e">
        <f t="shared" ca="1" si="95"/>
        <v>#NAME?</v>
      </c>
      <c r="V70" s="14"/>
      <c r="W70" s="15" t="e">
        <f t="shared" ca="1" si="96"/>
        <v>#NAME?</v>
      </c>
      <c r="X70" s="17" t="e">
        <f t="shared" ca="1" si="97"/>
        <v>#NAME?</v>
      </c>
      <c r="Y70" s="18" t="e">
        <f t="shared" ca="1" si="98"/>
        <v>#NAME?</v>
      </c>
      <c r="Z70" s="7"/>
      <c r="AA70" s="7"/>
      <c r="AB70" s="6" t="s">
        <v>310</v>
      </c>
    </row>
    <row r="71" spans="1:28" ht="162" outlineLevel="1" x14ac:dyDescent="0.35">
      <c r="A71" s="34" t="s">
        <v>311</v>
      </c>
      <c r="B71" s="6" t="s">
        <v>312</v>
      </c>
      <c r="C71" s="7" t="s">
        <v>3</v>
      </c>
      <c r="D71" s="8" t="b">
        <v>0</v>
      </c>
      <c r="E71" s="28" t="s">
        <v>313</v>
      </c>
      <c r="F71" s="25" t="s">
        <v>6</v>
      </c>
      <c r="G71" s="30" t="e">
        <f t="shared" ca="1" si="90"/>
        <v>#NAME?</v>
      </c>
      <c r="H71" s="25" t="s">
        <v>15</v>
      </c>
      <c r="I71" s="7" t="e">
        <f t="shared" ca="1" si="91"/>
        <v>#NAME?</v>
      </c>
      <c r="J71" s="6" t="e">
        <f t="shared" ca="1" si="92"/>
        <v>#NAME?</v>
      </c>
      <c r="K71" s="6" t="e">
        <f t="shared" ca="1" si="93"/>
        <v>#NAME?</v>
      </c>
      <c r="L71" s="29" t="s">
        <v>314</v>
      </c>
      <c r="M71" s="29"/>
      <c r="N71" s="10">
        <v>0</v>
      </c>
      <c r="O71" s="11"/>
      <c r="P71" s="11"/>
      <c r="Q71" s="13"/>
      <c r="R71" s="14"/>
      <c r="S71" s="15" t="e">
        <f t="shared" ca="1" si="94"/>
        <v>#NAME?</v>
      </c>
      <c r="T71" s="16"/>
      <c r="U71" s="15" t="e">
        <f t="shared" ca="1" si="95"/>
        <v>#NAME?</v>
      </c>
      <c r="V71" s="14"/>
      <c r="W71" s="15" t="e">
        <f t="shared" ca="1" si="96"/>
        <v>#NAME?</v>
      </c>
      <c r="X71" s="17" t="e">
        <f t="shared" ca="1" si="97"/>
        <v>#NAME?</v>
      </c>
      <c r="Y71" s="18" t="e">
        <f t="shared" ca="1" si="98"/>
        <v>#NAME?</v>
      </c>
      <c r="Z71" s="7"/>
      <c r="AA71" s="7"/>
      <c r="AB71" s="6" t="s">
        <v>315</v>
      </c>
    </row>
    <row r="72" spans="1:28" ht="198" outlineLevel="1" x14ac:dyDescent="0.35">
      <c r="A72" s="34" t="s">
        <v>316</v>
      </c>
      <c r="B72" s="6" t="s">
        <v>317</v>
      </c>
      <c r="C72" s="7" t="s">
        <v>3</v>
      </c>
      <c r="D72" s="8" t="b">
        <v>0</v>
      </c>
      <c r="E72" s="28" t="s">
        <v>318</v>
      </c>
      <c r="F72" s="25" t="s">
        <v>5</v>
      </c>
      <c r="G72" s="30" t="e">
        <f t="shared" ca="1" si="90"/>
        <v>#NAME?</v>
      </c>
      <c r="H72" s="25" t="s">
        <v>6</v>
      </c>
      <c r="I72" s="7" t="e">
        <f t="shared" ca="1" si="91"/>
        <v>#NAME?</v>
      </c>
      <c r="J72" s="6" t="e">
        <f t="shared" ca="1" si="92"/>
        <v>#NAME?</v>
      </c>
      <c r="K72" s="6" t="e">
        <f t="shared" ca="1" si="93"/>
        <v>#NAME?</v>
      </c>
      <c r="L72" s="29" t="s">
        <v>319</v>
      </c>
      <c r="M72" s="29"/>
      <c r="N72" s="10">
        <v>0</v>
      </c>
      <c r="O72" s="11"/>
      <c r="P72" s="11"/>
      <c r="Q72" s="13"/>
      <c r="R72" s="14"/>
      <c r="S72" s="15" t="e">
        <f t="shared" ca="1" si="94"/>
        <v>#NAME?</v>
      </c>
      <c r="T72" s="16"/>
      <c r="U72" s="15" t="e">
        <f t="shared" ca="1" si="95"/>
        <v>#NAME?</v>
      </c>
      <c r="V72" s="14"/>
      <c r="W72" s="15" t="e">
        <f t="shared" ca="1" si="96"/>
        <v>#NAME?</v>
      </c>
      <c r="X72" s="17" t="e">
        <f t="shared" ca="1" si="97"/>
        <v>#NAME?</v>
      </c>
      <c r="Y72" s="18" t="e">
        <f t="shared" ca="1" si="98"/>
        <v>#NAME?</v>
      </c>
      <c r="Z72" s="7"/>
      <c r="AA72" s="7"/>
      <c r="AB72" s="6" t="s">
        <v>320</v>
      </c>
    </row>
    <row r="73" spans="1:28" ht="108" outlineLevel="1" x14ac:dyDescent="0.2">
      <c r="A73" s="34" t="s">
        <v>321</v>
      </c>
      <c r="B73" s="6" t="s">
        <v>322</v>
      </c>
      <c r="C73" s="7" t="s">
        <v>3</v>
      </c>
      <c r="D73" s="8" t="b">
        <v>1</v>
      </c>
      <c r="E73" s="9" t="s">
        <v>173</v>
      </c>
      <c r="F73" s="7" t="s">
        <v>14</v>
      </c>
      <c r="G73" s="7" t="e">
        <f t="shared" ca="1" si="90"/>
        <v>#NAME?</v>
      </c>
      <c r="H73" s="7" t="s">
        <v>6</v>
      </c>
      <c r="I73" s="7" t="e">
        <f t="shared" ca="1" si="91"/>
        <v>#NAME?</v>
      </c>
      <c r="J73" s="6" t="e">
        <f t="shared" ca="1" si="92"/>
        <v>#NAME?</v>
      </c>
      <c r="K73" s="6" t="e">
        <f t="shared" ca="1" si="93"/>
        <v>#NAME?</v>
      </c>
      <c r="L73" s="29" t="s">
        <v>323</v>
      </c>
      <c r="M73" s="29" t="s">
        <v>175</v>
      </c>
      <c r="N73" s="10">
        <v>0</v>
      </c>
      <c r="O73" s="11"/>
      <c r="P73" s="11"/>
      <c r="Q73" s="13"/>
      <c r="R73" s="14"/>
      <c r="S73" s="15" t="e">
        <f t="shared" ca="1" si="94"/>
        <v>#NAME?</v>
      </c>
      <c r="T73" s="16"/>
      <c r="U73" s="15" t="e">
        <f t="shared" ca="1" si="95"/>
        <v>#NAME?</v>
      </c>
      <c r="V73" s="14"/>
      <c r="W73" s="15" t="e">
        <f t="shared" ca="1" si="96"/>
        <v>#NAME?</v>
      </c>
      <c r="X73" s="17" t="e">
        <f t="shared" ca="1" si="97"/>
        <v>#NAME?</v>
      </c>
      <c r="Y73" s="18" t="e">
        <f t="shared" ca="1" si="98"/>
        <v>#NAME?</v>
      </c>
      <c r="Z73" s="7"/>
      <c r="AA73" s="7"/>
      <c r="AB73" s="6" t="s">
        <v>324</v>
      </c>
    </row>
    <row r="74" spans="1:28" ht="198" outlineLevel="1" x14ac:dyDescent="0.35">
      <c r="A74" s="34" t="s">
        <v>325</v>
      </c>
      <c r="B74" s="6" t="s">
        <v>326</v>
      </c>
      <c r="C74" s="7" t="s">
        <v>3</v>
      </c>
      <c r="D74" s="8" t="b">
        <v>0</v>
      </c>
      <c r="E74" s="28" t="s">
        <v>327</v>
      </c>
      <c r="F74" s="25" t="s">
        <v>6</v>
      </c>
      <c r="G74" s="30" t="e">
        <f t="shared" ca="1" si="90"/>
        <v>#NAME?</v>
      </c>
      <c r="H74" s="25" t="s">
        <v>15</v>
      </c>
      <c r="I74" s="7" t="e">
        <f t="shared" ca="1" si="91"/>
        <v>#NAME?</v>
      </c>
      <c r="J74" s="6" t="e">
        <f t="shared" ca="1" si="92"/>
        <v>#NAME?</v>
      </c>
      <c r="K74" s="6" t="e">
        <f t="shared" ca="1" si="93"/>
        <v>#NAME?</v>
      </c>
      <c r="L74" s="29" t="s">
        <v>328</v>
      </c>
      <c r="M74" s="29"/>
      <c r="N74" s="10">
        <v>0</v>
      </c>
      <c r="O74" s="11"/>
      <c r="P74" s="11"/>
      <c r="Q74" s="13"/>
      <c r="R74" s="14"/>
      <c r="S74" s="15" t="e">
        <f t="shared" ca="1" si="94"/>
        <v>#NAME?</v>
      </c>
      <c r="T74" s="16"/>
      <c r="U74" s="15" t="e">
        <f t="shared" ca="1" si="95"/>
        <v>#NAME?</v>
      </c>
      <c r="V74" s="14"/>
      <c r="W74" s="15" t="e">
        <f t="shared" ca="1" si="96"/>
        <v>#NAME?</v>
      </c>
      <c r="X74" s="17" t="e">
        <f t="shared" ca="1" si="97"/>
        <v>#NAME?</v>
      </c>
      <c r="Y74" s="18" t="e">
        <f t="shared" ca="1" si="98"/>
        <v>#NAME?</v>
      </c>
      <c r="Z74" s="7"/>
      <c r="AA74" s="7"/>
      <c r="AB74" s="6" t="s">
        <v>329</v>
      </c>
    </row>
    <row r="75" spans="1:28" ht="54" outlineLevel="1" x14ac:dyDescent="0.2">
      <c r="A75" s="33" t="s">
        <v>330</v>
      </c>
      <c r="B75" s="3" t="str">
        <f>CONCATENATE("Total acciones: ", (COUNTIF(B2:B9,"&lt;&gt;0") + COUNTIF(B11:B16,"&lt;&gt;0") + COUNTIF(B18:B26,"&lt;&gt;0") + COUNTIF(B28:B31,"&lt;&gt;0") + COUNTIF(B33:B36,"&lt;&gt;0") + COUNTIF(B38:B42,"&lt;&gt;0") + COUNTIF(B44:B47,"&lt;&gt;0") + COUNTIF(B49:B52,"&lt;&gt;0") + COUNTIF(B54:B56,"&lt;&gt;0") + COUNTIF(B58:B65,"&lt;&gt;0") + COUNTIF(B67:B74,"&lt;&gt;0")))</f>
        <v>Total acciones: 63</v>
      </c>
      <c r="C75" s="2">
        <f>SUM(C66,C57,C53,C48,C43,C37,C32,C27,C17,C10,C1)/11</f>
        <v>0.29280303030303029</v>
      </c>
      <c r="D75" s="3" t="str">
        <f>CONCATENATE("Total hallazgos: ",SUM(D66,D57,D53,D48,D43,D37,D32,D27,D17,D10,D1))</f>
        <v>Total hallazgos: 0</v>
      </c>
      <c r="E75" s="4"/>
      <c r="F75" s="3"/>
      <c r="G75" s="3"/>
      <c r="H75" s="3"/>
      <c r="I75" s="3"/>
      <c r="J75" s="3"/>
      <c r="K75" s="3"/>
      <c r="L75" s="3" t="str">
        <f ca="1">IFERROR(__xludf.DUMMYFUNCTION("CONCATENATE(""Cantidad de notas: "",
    COUNTIF(
      FLATTEN(
        SPLIT(
          TEXTJOIN(
            CHAR(10),
            TRUE,M6:M78
          ),
          CHAR(10)
        )
      ),
      ""*-?*""
    )
)"),"Cantidad de notas: 111")</f>
        <v>Cantidad de notas: 111</v>
      </c>
      <c r="M75" s="3"/>
      <c r="N75" s="3">
        <f>SUM(N66,N57,N53,N48,N43,N37,N32,N27,N17,N10,N1)</f>
        <v>0</v>
      </c>
      <c r="O75" s="24">
        <f>MIN(O1:O74)</f>
        <v>0</v>
      </c>
      <c r="P75" s="24">
        <f>MAX(P1:P74)</f>
        <v>0</v>
      </c>
      <c r="Q75" s="1"/>
      <c r="R75" s="1"/>
      <c r="S75" s="1"/>
      <c r="T75" s="1"/>
      <c r="U75" s="1"/>
      <c r="V75" s="1"/>
      <c r="W75" s="1"/>
      <c r="X75" s="1"/>
      <c r="Y75" s="1"/>
      <c r="Z75" s="3" t="str">
        <f>CONCATENATE("GFourmis: ", COUNTIF(Z2:Z74,"GFourmis"),CHAR(10), "Cliente: ", COUNTIF(Z2:Z74,"Cliente"),CHAR(10), "Tercero: ", COUNTIF(Z2:Z74,"Tercero"))</f>
        <v>GFourmis: 0
Cliente: 0
Tercero: 0</v>
      </c>
      <c r="AA75" s="2" t="e">
        <f>SUM(AA66,AA57,AA53,AA48,AA43,AA37,AA32,AA27,AA17,AA10,AA1)/10</f>
        <v>#DIV/0!</v>
      </c>
      <c r="AB75" s="3" t="str">
        <f ca="1">IFERROR(__xludf.DUMMYFUNCTION("CONCATENATE(""Cantidad de notas: "",
    COUNTIF(
      FLATTEN(
        SPLIT(
          TEXTJOIN(
            CHAR(10),
            TRUE,AC6:AC78
          ),
          CHAR(10)
        )
      ),
      ""*-?*""
    )
)"),"Cantidad de notas: 0")</f>
        <v>Cantidad de notas: 0</v>
      </c>
    </row>
  </sheetData>
  <autoFilter ref="A1:AB66" xr:uid="{00000000-0009-0000-0000-000000000000}"/>
  <dataValidations count="6">
    <dataValidation type="list" allowBlank="1" showErrorMessage="1" sqref="R2:R9 T2:T9 V2:V9 R11:R16 T11:T16 V11:V16 R18:R26 T18:T26 V18:V26 R28:R31 T28:T31 V28:V31 R33:R36 T33:T36 V33:V36 R38:R42 T38:T42 V38:V42 R44:R47 T44:T47 V44:V47 R49:R52 T49:T52 V49:V52 R54:R56 T54:T56 V54:V56 R58:R65 T58:T65 V58:V65 R67:R74 T67:T74 V67:V74" xr:uid="{00000000-0002-0000-0000-000000000000}">
      <formula1>"Alta,Media,Baja"</formula1>
    </dataValidation>
    <dataValidation type="list" allowBlank="1" showErrorMessage="1" sqref="Q2:Q9 Q11:Q16 Q18:Q26 Q28:Q31 Q33:Q36 Q38:Q42 Q44:Q47 Q49:Q52 Q54:Q56 Q58:Q65 Q67:Q74" xr:uid="{00000000-0002-0000-0000-000001000000}">
      <formula1>"Pendiente,Revisión,Ejecución,Completada,Planeado,No aplica,No es viable en esta iteración"</formula1>
    </dataValidation>
    <dataValidation type="list" allowBlank="1" showErrorMessage="1" sqref="F2:F9 F11:F16 F18:F26 F28:F31 F33:F36 F38:F42 F44:F47 F49:F52 F54:F56 F58:F65 F67:F74" xr:uid="{00000000-0002-0000-0000-000002000000}">
      <formula1>"Frecuente,Probable,Moderado,Bajo,Rara vez"</formula1>
    </dataValidation>
    <dataValidation type="list" allowBlank="1" showErrorMessage="1" sqref="H2:H9 H11:H16 H18:H26 H28:H31 H33:H36 H38:H42 H44:H47 H49:H52 H54:H56 H58:H65 H67:H74" xr:uid="{00000000-0002-0000-0000-000003000000}">
      <formula1>"Crítico,Mayor,Moderado,Menor,Inferior"</formula1>
    </dataValidation>
    <dataValidation type="list" allowBlank="1" showErrorMessage="1" sqref="C2:C9 AA2:AA9 C11:C16 AA11:AA16 C18:C26 AA18:AA26 C28:C31 AA28:AA31 C33:C36 AA33:AA36 C38:C42 AA38:AA42 C44:C47 AA44:AA47 C49:C52 AA49:AA52 C54:C56 AA54:AA56 C58:C65 AA58:AA65 C67:C74 AA67:AA74" xr:uid="{00000000-0002-0000-0000-000004000000}">
      <formula1>"Sí,No,Parcialmente,N/A,N/E"</formula1>
    </dataValidation>
    <dataValidation type="list" allowBlank="1" showErrorMessage="1" sqref="Z2:Z9 Z11:Z16 Z18:Z26 Z28:Z31 Z33:Z36 Z38:Z42 Z44:Z47 Z49:Z52 Z54:Z56 Z58:Z65 Z67:Z74" xr:uid="{00000000-0002-0000-0000-000005000000}">
      <formula1>"GFourmis,Cliente,Tercero"</formula1>
    </dataValidation>
  </dataValidations>
  <hyperlinks>
    <hyperlink ref="A1" r:id="rId1" xr:uid="{00000000-0004-0000-0000-000000000000}"/>
    <hyperlink ref="A2" r:id="rId2" xr:uid="{00000000-0004-0000-0000-000001000000}"/>
    <hyperlink ref="A3" r:id="rId3" xr:uid="{00000000-0004-0000-0000-000002000000}"/>
    <hyperlink ref="A4" r:id="rId4" xr:uid="{00000000-0004-0000-0000-000003000000}"/>
    <hyperlink ref="A5" r:id="rId5" xr:uid="{00000000-0004-0000-0000-000004000000}"/>
    <hyperlink ref="A6" r:id="rId6" xr:uid="{00000000-0004-0000-0000-000005000000}"/>
    <hyperlink ref="A7" r:id="rId7" xr:uid="{00000000-0004-0000-0000-000006000000}"/>
    <hyperlink ref="A8" r:id="rId8" xr:uid="{00000000-0004-0000-0000-000007000000}"/>
    <hyperlink ref="A9" r:id="rId9" xr:uid="{00000000-0004-0000-0000-000008000000}"/>
    <hyperlink ref="A10" r:id="rId10" xr:uid="{00000000-0004-0000-0000-000009000000}"/>
    <hyperlink ref="A11" r:id="rId11" xr:uid="{00000000-0004-0000-0000-00000A000000}"/>
    <hyperlink ref="A12" r:id="rId12" xr:uid="{00000000-0004-0000-0000-00000B000000}"/>
    <hyperlink ref="A13" r:id="rId13" xr:uid="{00000000-0004-0000-0000-00000C000000}"/>
    <hyperlink ref="A14" r:id="rId14" xr:uid="{00000000-0004-0000-0000-00000D000000}"/>
    <hyperlink ref="A15" r:id="rId15" xr:uid="{00000000-0004-0000-0000-00000E000000}"/>
    <hyperlink ref="A16" r:id="rId16" xr:uid="{00000000-0004-0000-0000-00000F000000}"/>
    <hyperlink ref="A17" r:id="rId17" xr:uid="{00000000-0004-0000-0000-000010000000}"/>
    <hyperlink ref="A18" r:id="rId18" xr:uid="{00000000-0004-0000-0000-000011000000}"/>
    <hyperlink ref="A19" r:id="rId19" xr:uid="{00000000-0004-0000-0000-000012000000}"/>
    <hyperlink ref="A20" r:id="rId20" xr:uid="{00000000-0004-0000-0000-000013000000}"/>
    <hyperlink ref="A21" r:id="rId21" xr:uid="{00000000-0004-0000-0000-000014000000}"/>
    <hyperlink ref="A22" r:id="rId22" xr:uid="{00000000-0004-0000-0000-000015000000}"/>
    <hyperlink ref="A23" r:id="rId23" xr:uid="{00000000-0004-0000-0000-000016000000}"/>
    <hyperlink ref="A24" r:id="rId24" xr:uid="{00000000-0004-0000-0000-000017000000}"/>
    <hyperlink ref="A25" r:id="rId25" xr:uid="{00000000-0004-0000-0000-000018000000}"/>
    <hyperlink ref="A26" r:id="rId26" xr:uid="{00000000-0004-0000-0000-000019000000}"/>
    <hyperlink ref="A27" r:id="rId27" xr:uid="{00000000-0004-0000-0000-00001A000000}"/>
    <hyperlink ref="A28" r:id="rId28" xr:uid="{00000000-0004-0000-0000-00001B000000}"/>
    <hyperlink ref="A29" r:id="rId29" xr:uid="{00000000-0004-0000-0000-00001C000000}"/>
    <hyperlink ref="A30" r:id="rId30" xr:uid="{00000000-0004-0000-0000-00001D000000}"/>
    <hyperlink ref="A31" r:id="rId31" xr:uid="{00000000-0004-0000-0000-00001E000000}"/>
    <hyperlink ref="A32" r:id="rId32" xr:uid="{00000000-0004-0000-0000-00001F000000}"/>
    <hyperlink ref="A33" r:id="rId33" xr:uid="{00000000-0004-0000-0000-000020000000}"/>
    <hyperlink ref="A34" r:id="rId34" xr:uid="{00000000-0004-0000-0000-000021000000}"/>
    <hyperlink ref="A35" r:id="rId35" xr:uid="{00000000-0004-0000-0000-000022000000}"/>
    <hyperlink ref="A36" r:id="rId36" xr:uid="{00000000-0004-0000-0000-000023000000}"/>
    <hyperlink ref="A37" r:id="rId37" xr:uid="{00000000-0004-0000-0000-000024000000}"/>
    <hyperlink ref="A38" r:id="rId38" xr:uid="{00000000-0004-0000-0000-000025000000}"/>
    <hyperlink ref="A39" r:id="rId39" xr:uid="{00000000-0004-0000-0000-000026000000}"/>
    <hyperlink ref="A40" r:id="rId40" xr:uid="{00000000-0004-0000-0000-000027000000}"/>
    <hyperlink ref="A41" r:id="rId41" xr:uid="{00000000-0004-0000-0000-000028000000}"/>
    <hyperlink ref="A42" r:id="rId42" xr:uid="{00000000-0004-0000-0000-000029000000}"/>
    <hyperlink ref="A43" r:id="rId43" xr:uid="{00000000-0004-0000-0000-00002A000000}"/>
    <hyperlink ref="A44" r:id="rId44" xr:uid="{00000000-0004-0000-0000-00002B000000}"/>
    <hyperlink ref="A45" r:id="rId45" xr:uid="{00000000-0004-0000-0000-00002C000000}"/>
    <hyperlink ref="A46" r:id="rId46" xr:uid="{00000000-0004-0000-0000-00002D000000}"/>
    <hyperlink ref="A47" r:id="rId47" xr:uid="{00000000-0004-0000-0000-00002E000000}"/>
    <hyperlink ref="A48" r:id="rId48" xr:uid="{00000000-0004-0000-0000-00002F000000}"/>
    <hyperlink ref="A49" r:id="rId49" xr:uid="{00000000-0004-0000-0000-000030000000}"/>
    <hyperlink ref="A50" r:id="rId50" xr:uid="{00000000-0004-0000-0000-000031000000}"/>
    <hyperlink ref="A51" r:id="rId51" xr:uid="{00000000-0004-0000-0000-000032000000}"/>
    <hyperlink ref="A52" r:id="rId52" xr:uid="{00000000-0004-0000-0000-000033000000}"/>
    <hyperlink ref="A53" r:id="rId53" xr:uid="{00000000-0004-0000-0000-000034000000}"/>
    <hyperlink ref="A54" r:id="rId54" xr:uid="{00000000-0004-0000-0000-000035000000}"/>
    <hyperlink ref="A55" r:id="rId55" xr:uid="{00000000-0004-0000-0000-000036000000}"/>
    <hyperlink ref="A56" r:id="rId56" xr:uid="{00000000-0004-0000-0000-000037000000}"/>
    <hyperlink ref="A57" r:id="rId57" xr:uid="{00000000-0004-0000-0000-000038000000}"/>
    <hyperlink ref="A58" r:id="rId58" xr:uid="{00000000-0004-0000-0000-000039000000}"/>
    <hyperlink ref="A59" r:id="rId59" xr:uid="{00000000-0004-0000-0000-00003A000000}"/>
    <hyperlink ref="A60" r:id="rId60" xr:uid="{00000000-0004-0000-0000-00003B000000}"/>
    <hyperlink ref="A61" r:id="rId61" xr:uid="{00000000-0004-0000-0000-00003C000000}"/>
    <hyperlink ref="A62" r:id="rId62" xr:uid="{00000000-0004-0000-0000-00003D000000}"/>
    <hyperlink ref="A63" r:id="rId63" xr:uid="{00000000-0004-0000-0000-00003E000000}"/>
    <hyperlink ref="A64" r:id="rId64" xr:uid="{00000000-0004-0000-0000-00003F000000}"/>
    <hyperlink ref="A65" r:id="rId65" xr:uid="{00000000-0004-0000-0000-000040000000}"/>
    <hyperlink ref="A66" r:id="rId66" xr:uid="{00000000-0004-0000-0000-000041000000}"/>
    <hyperlink ref="A67" r:id="rId67" xr:uid="{00000000-0004-0000-0000-000042000000}"/>
    <hyperlink ref="A68" r:id="rId68" xr:uid="{00000000-0004-0000-0000-000043000000}"/>
    <hyperlink ref="A69" r:id="rId69" xr:uid="{00000000-0004-0000-0000-000044000000}"/>
    <hyperlink ref="A70" r:id="rId70" xr:uid="{00000000-0004-0000-0000-000045000000}"/>
    <hyperlink ref="A71" r:id="rId71" xr:uid="{00000000-0004-0000-0000-000046000000}"/>
    <hyperlink ref="A72" r:id="rId72" xr:uid="{00000000-0004-0000-0000-000047000000}"/>
    <hyperlink ref="A73" r:id="rId73" xr:uid="{00000000-0004-0000-0000-000048000000}"/>
    <hyperlink ref="A74" r:id="rId74" xr:uid="{00000000-0004-0000-0000-000049000000}"/>
  </hyperlinks>
  <pageMargins left="0.7" right="0.7" top="0.75" bottom="0.75" header="0.3" footer="0.3"/>
  <legacyDrawing r:id="rId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 Seguridad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FGT FONGRANTIERRA</cp:lastModifiedBy>
  <dcterms:modified xsi:type="dcterms:W3CDTF">2026-02-04T20:10:57Z</dcterms:modified>
</cp:coreProperties>
</file>