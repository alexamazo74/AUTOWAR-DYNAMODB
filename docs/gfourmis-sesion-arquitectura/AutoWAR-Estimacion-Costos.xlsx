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3816" windowWidth="23256" windowHeight="12696" tabRatio="600" firstSheet="1" activeTab="5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Costo por analisis" sheetId="2" state="visible" r:id="rId2"/>
    <sheet xmlns:r="http://schemas.openxmlformats.org/officeDocument/2006/relationships" name="Comparativa Bedrock" sheetId="3" state="visible" r:id="rId3"/>
    <sheet xmlns:r="http://schemas.openxmlformats.org/officeDocument/2006/relationships" name="Costo mensual" sheetId="4" state="visible" r:id="rId4"/>
    <sheet xmlns:r="http://schemas.openxmlformats.org/officeDocument/2006/relationships" name="Sensibilidad" sheetId="5" state="visible" r:id="rId5"/>
    <sheet xmlns:r="http://schemas.openxmlformats.org/officeDocument/2006/relationships" name="Verif. Calculadora AWS" sheetId="6" state="visible" r:id="rId6"/>
    <sheet xmlns:r="http://schemas.openxmlformats.org/officeDocument/2006/relationships" name="Ambientes" sheetId="7" state="visible" r:id="rId7"/>
    <sheet xmlns:r="http://schemas.openxmlformats.org/officeDocument/2006/relationships" name="Inversion y OPEX" sheetId="8" state="visible" r:id="rId8"/>
    <sheet xmlns:r="http://schemas.openxmlformats.org/officeDocument/2006/relationships" name="Resumen Financiero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0"/>
    <numFmt numFmtId="166" formatCode="0.0%"/>
    <numFmt numFmtId="167" formatCode="0.0"/>
  </numFmts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EEEEEE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164" fontId="0" fillId="0" borderId="0" pivotButton="0" quotePrefix="0" xfId="0"/>
    <xf numFmtId="165" fontId="2" fillId="0" borderId="0" pivotButton="0" quotePrefix="0" xfId="0"/>
    <xf numFmtId="2" fontId="0" fillId="0" borderId="0" pivotButton="0" quotePrefix="0" xfId="0"/>
    <xf numFmtId="2" fontId="2" fillId="4" borderId="0" pivotButton="0" quotePrefix="0" xfId="0"/>
    <xf numFmtId="165" fontId="0" fillId="0" borderId="0" pivotButton="0" quotePrefix="0" xfId="0"/>
    <xf numFmtId="2" fontId="2" fillId="0" borderId="0" pivotButton="0" quotePrefix="0" xfId="0"/>
    <xf numFmtId="2" fontId="2" fillId="5" borderId="0" pivotButton="0" quotePrefix="0" xfId="0"/>
    <xf numFmtId="3" fontId="0" fillId="0" borderId="0" pivotButton="0" quotePrefix="0" xfId="0"/>
    <xf numFmtId="3" fontId="2" fillId="5" borderId="0" pivotButton="0" quotePrefix="0" xfId="0"/>
    <xf numFmtId="9" fontId="0" fillId="3" borderId="1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0" pivotButton="0" quotePrefix="0" xfId="1"/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calculator.aws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opLeftCell="A17" workbookViewId="0">
      <selection activeCell="A1" sqref="A1"/>
    </sheetView>
  </sheetViews>
  <sheetFormatPr baseColWidth="10" defaultColWidth="9.140625" defaultRowHeight="15"/>
  <cols>
    <col width="42" customWidth="1" style="19" min="1" max="1"/>
    <col width="16" customWidth="1" style="19" min="2" max="2"/>
    <col width="18" customWidth="1" style="19" min="3" max="3"/>
    <col width="46" customWidth="1" style="19" min="4" max="4"/>
  </cols>
  <sheetData>
    <row r="1" ht="17.25" customHeight="1" s="19">
      <c r="A1" s="1" t="inlineStr">
        <is>
          <t>AutoWAR - Supuestos de costo (celdas AMARILLAS = editables)</t>
        </is>
      </c>
    </row>
    <row r="2" ht="75" customHeight="1" s="19">
      <c r="A2" s="18" t="inlineStr">
        <is>
          <t>Region: us-east-1 | Moneda: USD | Precios de referencia publicos (oct-2026). Incluye componentes To-Be (WAF, Cognito, Lambda Authorizer, entitlements). Validar en la calculadora AWS para cotizacion formal.</t>
        </is>
      </c>
    </row>
    <row r="4">
      <c r="A4" s="3" t="inlineStr">
        <is>
          <t>PRECIOS UNITARIOS AWS</t>
        </is>
      </c>
      <c r="B4" s="4" t="inlineStr">
        <is>
          <t>Valor</t>
        </is>
      </c>
      <c r="C4" s="4" t="inlineStr">
        <is>
          <t>Unidad</t>
        </is>
      </c>
      <c r="D4" s="4" t="inlineStr">
        <is>
          <t>Fuente / nota</t>
        </is>
      </c>
    </row>
    <row r="5">
      <c r="A5" t="inlineStr">
        <is>
          <t>Lambda: precio por request</t>
        </is>
      </c>
      <c r="B5" s="5" t="n">
        <v>2e-07</v>
      </c>
      <c r="C5" t="inlineStr">
        <is>
          <t>USD/request</t>
        </is>
      </c>
      <c r="D5" s="18" t="inlineStr">
        <is>
          <t>US$0.20 por 1M requests</t>
        </is>
      </c>
    </row>
    <row r="6">
      <c r="A6" t="inlineStr">
        <is>
          <t>Lambda: precio por GB-segundo (x86)</t>
        </is>
      </c>
      <c r="B6" s="5" t="n">
        <v>1.66667e-05</v>
      </c>
      <c r="C6" t="inlineStr">
        <is>
          <t>USD/GB-s</t>
        </is>
      </c>
      <c r="D6" s="18" t="inlineStr">
        <is>
          <t>x86 on-demand</t>
        </is>
      </c>
    </row>
    <row r="7">
      <c r="A7" t="inlineStr">
        <is>
          <t>Step Functions: por transicion (Standard)</t>
        </is>
      </c>
      <c r="B7" s="5" t="n">
        <v>2.5e-05</v>
      </c>
      <c r="C7" t="inlineStr">
        <is>
          <t>USD/transicion</t>
        </is>
      </c>
      <c r="D7" s="18" t="inlineStr">
        <is>
          <t>US$0.025 por 1.000 transiciones</t>
        </is>
      </c>
    </row>
    <row r="8">
      <c r="A8" t="inlineStr">
        <is>
          <t>API Gateway REST: por request</t>
        </is>
      </c>
      <c r="B8" s="5" t="n">
        <v>3.5e-06</v>
      </c>
      <c r="C8" t="inlineStr">
        <is>
          <t>USD/request</t>
        </is>
      </c>
      <c r="D8" s="18" t="inlineStr">
        <is>
          <t>US$3.50 por 1M requests</t>
        </is>
      </c>
    </row>
    <row r="9">
      <c r="A9" t="inlineStr">
        <is>
          <t>DynamoDB on-demand: por escritura (WRU)</t>
        </is>
      </c>
      <c r="B9" s="5" t="n">
        <v>1.25e-06</v>
      </c>
      <c r="C9" t="inlineStr">
        <is>
          <t>USD/escritura</t>
        </is>
      </c>
      <c r="D9" s="18" t="inlineStr">
        <is>
          <t>US$1.25 por 1M WRU</t>
        </is>
      </c>
    </row>
    <row r="10">
      <c r="A10" t="inlineStr">
        <is>
          <t>DynamoDB on-demand: por lectura (RRU)</t>
        </is>
      </c>
      <c r="B10" s="5" t="n">
        <v>2.5e-07</v>
      </c>
      <c r="C10" t="inlineStr">
        <is>
          <t>USD/lectura</t>
        </is>
      </c>
      <c r="D10" s="18" t="inlineStr">
        <is>
          <t>US$0.25 por 1M RRU</t>
        </is>
      </c>
    </row>
    <row r="11">
      <c r="A11" t="inlineStr">
        <is>
          <t>S3: almacenamiento por GB-mes</t>
        </is>
      </c>
      <c r="B11" s="5" t="n">
        <v>0.023</v>
      </c>
      <c r="C11" t="inlineStr">
        <is>
          <t>USD/GB-mes</t>
        </is>
      </c>
      <c r="D11" s="18" t="inlineStr">
        <is>
          <t>S3 Standard</t>
        </is>
      </c>
    </row>
    <row r="12">
      <c r="A12" t="inlineStr">
        <is>
          <t>CloudWatch: por GB de logs ingeridos</t>
        </is>
      </c>
      <c r="B12" s="5" t="n">
        <v>0.5</v>
      </c>
      <c r="C12" t="inlineStr">
        <is>
          <t>USD/GB</t>
        </is>
      </c>
      <c r="D12" s="18" t="inlineStr">
        <is>
          <t>ingestion de logs</t>
        </is>
      </c>
    </row>
    <row r="13">
      <c r="A13" t="inlineStr">
        <is>
          <t>KMS: por clave-mes</t>
        </is>
      </c>
      <c r="B13" s="5" t="n">
        <v>1</v>
      </c>
      <c r="C13" t="inlineStr">
        <is>
          <t>USD/clave-mes</t>
        </is>
      </c>
      <c r="D13" s="18" t="inlineStr">
        <is>
          <t>clave gestionada</t>
        </is>
      </c>
    </row>
    <row r="14">
      <c r="A14" t="inlineStr">
        <is>
          <t>Secrets Manager: por secreto-mes</t>
        </is>
      </c>
      <c r="B14" s="5" t="n">
        <v>0.4</v>
      </c>
      <c r="C14" t="inlineStr">
        <is>
          <t>USD/secreto-mes</t>
        </is>
      </c>
      <c r="D14" s="18" t="inlineStr">
        <is>
          <t>+US$0.05 por 10k llamadas (despreciable)</t>
        </is>
      </c>
    </row>
    <row r="15">
      <c r="A15" t="inlineStr">
        <is>
          <t>Bedrock Sonnet: por token entrada</t>
        </is>
      </c>
      <c r="B15" s="5" t="n">
        <v>3e-06</v>
      </c>
      <c r="C15" t="inlineStr">
        <is>
          <t>USD/token</t>
        </is>
      </c>
      <c r="D15" s="18" t="inlineStr">
        <is>
          <t>US$3 por 1M tokens in</t>
        </is>
      </c>
    </row>
    <row r="16">
      <c r="A16" t="inlineStr">
        <is>
          <t>Bedrock Sonnet: por token salida</t>
        </is>
      </c>
      <c r="B16" s="5" t="n">
        <v>1.5e-05</v>
      </c>
      <c r="C16" t="inlineStr">
        <is>
          <t>USD/token</t>
        </is>
      </c>
      <c r="D16" s="18" t="inlineStr">
        <is>
          <t>US$15 por 1M tokens out</t>
        </is>
      </c>
    </row>
    <row r="17">
      <c r="A17" t="inlineStr">
        <is>
          <t>Bedrock Haiku: por token entrada</t>
        </is>
      </c>
      <c r="B17" s="5" t="n">
        <v>8e-07</v>
      </c>
      <c r="C17" t="inlineStr">
        <is>
          <t>USD/token</t>
        </is>
      </c>
      <c r="D17" s="18" t="inlineStr">
        <is>
          <t>~US$0.80 por 1M tokens in</t>
        </is>
      </c>
    </row>
    <row r="18">
      <c r="A18" t="inlineStr">
        <is>
          <t>Bedrock Haiku: por token salida</t>
        </is>
      </c>
      <c r="B18" s="5" t="n">
        <v>4e-06</v>
      </c>
      <c r="C18" t="inlineStr">
        <is>
          <t>USD/token</t>
        </is>
      </c>
      <c r="D18" s="18" t="inlineStr">
        <is>
          <t>~US$4 por 1M tokens out</t>
        </is>
      </c>
    </row>
    <row r="19">
      <c r="A19" t="inlineStr">
        <is>
          <t>WAF: por web ACL-mes</t>
        </is>
      </c>
      <c r="B19" s="5" t="n">
        <v>5</v>
      </c>
      <c r="C19" t="inlineStr">
        <is>
          <t>USD/web ACL-mes</t>
        </is>
      </c>
      <c r="D19" s="18" t="inlineStr">
        <is>
          <t>US$5 por web ACL/mes</t>
        </is>
      </c>
    </row>
    <row r="20">
      <c r="A20" t="inlineStr">
        <is>
          <t>WAF: por regla/grupo-mes</t>
        </is>
      </c>
      <c r="B20" s="5" t="n">
        <v>1</v>
      </c>
      <c r="C20" t="inlineStr">
        <is>
          <t>USD/regla-mes</t>
        </is>
      </c>
      <c r="D20" s="18" t="inlineStr">
        <is>
          <t>US$1 por regla o managed rule group/mes</t>
        </is>
      </c>
    </row>
    <row r="21">
      <c r="A21" t="inlineStr">
        <is>
          <t>WAF: por millon de requests</t>
        </is>
      </c>
      <c r="B21" s="5" t="n">
        <v>0.6</v>
      </c>
      <c r="C21" t="inlineStr">
        <is>
          <t>USD/millon req</t>
        </is>
      </c>
      <c r="D21" s="18" t="inlineStr">
        <is>
          <t>US$0.60 por 1M requests inspeccionados</t>
        </is>
      </c>
    </row>
    <row r="22" ht="30" customHeight="1" s="19">
      <c r="A22" t="inlineStr">
        <is>
          <t>Cognito: por MAU (sobre capa gratis)</t>
        </is>
      </c>
      <c r="B22" s="5" t="n">
        <v>0.015</v>
      </c>
      <c r="C22" t="inlineStr">
        <is>
          <t>USD/MAU</t>
        </is>
      </c>
      <c r="D22" s="18" t="inlineStr">
        <is>
          <t>Essentials ~US$0.015/MAU; 10k MAU gratis (fed. menor)</t>
        </is>
      </c>
    </row>
    <row r="24">
      <c r="A24" s="3" t="inlineStr">
        <is>
          <t>PARAMETROS POR ANALISIS (1 cuenta, 6 pilares)</t>
        </is>
      </c>
      <c r="B24" s="4" t="inlineStr">
        <is>
          <t>Valor</t>
        </is>
      </c>
      <c r="C24" s="4" t="inlineStr">
        <is>
          <t>Unidad</t>
        </is>
      </c>
      <c r="D24" s="4" t="inlineStr">
        <is>
          <t>Nota</t>
        </is>
      </c>
    </row>
    <row r="25">
      <c r="A25" t="inlineStr">
        <is>
          <t>Invocaciones Lambda por analisis</t>
        </is>
      </c>
      <c r="B25" s="5" t="n">
        <v>8</v>
      </c>
      <c r="C25" t="inlineStr">
        <is>
          <t>invocaciones</t>
        </is>
      </c>
      <c r="D25" s="18" t="inlineStr">
        <is>
          <t>6 pilares + orquestador + authorizer</t>
        </is>
      </c>
    </row>
    <row r="26">
      <c r="A26" t="inlineStr">
        <is>
          <t>Duracion promedio por Lambda</t>
        </is>
      </c>
      <c r="B26" s="5" t="n">
        <v>60</v>
      </c>
      <c r="C26" t="inlineStr">
        <is>
          <t>segundos</t>
        </is>
      </c>
      <c r="D26" s="18" t="inlineStr">
        <is>
          <t>editable segun cuenta</t>
        </is>
      </c>
    </row>
    <row r="27">
      <c r="A27" t="inlineStr">
        <is>
          <t>Memoria Lambda</t>
        </is>
      </c>
      <c r="B27" s="5" t="n">
        <v>1</v>
      </c>
      <c r="C27" t="inlineStr">
        <is>
          <t>GB</t>
        </is>
      </c>
      <c r="D27" s="18" t="inlineStr">
        <is>
          <t>1024 MB</t>
        </is>
      </c>
    </row>
    <row r="28">
      <c r="A28" t="inlineStr">
        <is>
          <t>Transiciones Step Functions</t>
        </is>
      </c>
      <c r="B28" s="5" t="n">
        <v>40</v>
      </c>
      <c r="C28" t="inlineStr">
        <is>
          <t>transiciones</t>
        </is>
      </c>
      <c r="D28" s="18" t="inlineStr">
        <is>
          <t>fan-out + joins</t>
        </is>
      </c>
    </row>
    <row r="29">
      <c r="A29" t="inlineStr">
        <is>
          <t>Requests API Gateway</t>
        </is>
      </c>
      <c r="B29" s="5" t="n">
        <v>5</v>
      </c>
      <c r="C29" t="inlineStr">
        <is>
          <t>requests</t>
        </is>
      </c>
      <c r="D29" s="18" t="inlineStr">
        <is>
          <t>validar + analizar + polling</t>
        </is>
      </c>
    </row>
    <row r="30">
      <c r="A30" t="inlineStr">
        <is>
          <t>Escrituras DynamoDB</t>
        </is>
      </c>
      <c r="B30" s="5" t="n">
        <v>22</v>
      </c>
      <c r="C30" t="inlineStr">
        <is>
          <t>escrituras</t>
        </is>
      </c>
      <c r="D30" s="18" t="inlineStr">
        <is>
          <t>resultados + items por pilar + entitlements</t>
        </is>
      </c>
    </row>
    <row r="31">
      <c r="A31" t="inlineStr">
        <is>
          <t>Lecturas DynamoDB</t>
        </is>
      </c>
      <c r="B31" s="5" t="n">
        <v>24</v>
      </c>
      <c r="C31" t="inlineStr">
        <is>
          <t>lecturas</t>
        </is>
      </c>
      <c r="D31" s="18" t="inlineStr">
        <is>
          <t>resultados + lectura de entitlements</t>
        </is>
      </c>
    </row>
    <row r="32">
      <c r="A32" t="inlineStr">
        <is>
          <t>Logs generados</t>
        </is>
      </c>
      <c r="B32" s="5" t="n">
        <v>0.05</v>
      </c>
      <c r="C32" t="inlineStr">
        <is>
          <t>GB</t>
        </is>
      </c>
      <c r="D32" s="18" t="inlineStr">
        <is>
          <t>~50 MB de logs por analisis</t>
        </is>
      </c>
    </row>
    <row r="33">
      <c r="A33" t="inlineStr">
        <is>
          <t>Tokens entrada Bedrock</t>
        </is>
      </c>
      <c r="B33" s="5" t="n">
        <v>15000</v>
      </c>
      <c r="C33" t="inlineStr">
        <is>
          <t>tokens</t>
        </is>
      </c>
      <c r="D33" s="18" t="inlineStr">
        <is>
          <t>hallazgos + contexto</t>
        </is>
      </c>
    </row>
    <row r="34">
      <c r="A34" t="inlineStr">
        <is>
          <t>Tokens salida Bedrock</t>
        </is>
      </c>
      <c r="B34" s="5" t="n">
        <v>4000</v>
      </c>
      <c r="C34" t="inlineStr">
        <is>
          <t>tokens</t>
        </is>
      </c>
      <c r="D34" s="18" t="inlineStr">
        <is>
          <t>resumen redactado</t>
        </is>
      </c>
    </row>
    <row r="36">
      <c r="A36" s="3" t="inlineStr">
        <is>
          <t>ESCENARIO MENSUAL</t>
        </is>
      </c>
      <c r="B36" s="4" t="inlineStr">
        <is>
          <t>Valor</t>
        </is>
      </c>
    </row>
    <row r="37">
      <c r="A37" t="inlineStr">
        <is>
          <t>Analisis por mes</t>
        </is>
      </c>
      <c r="B37" s="5" t="n">
        <v>200</v>
      </c>
    </row>
    <row r="38">
      <c r="A38" t="inlineStr">
        <is>
          <t>Modelo Bedrock (1=Sonnet, 2=Haiku)</t>
        </is>
      </c>
      <c r="B38" s="5" t="n">
        <v>2</v>
      </c>
    </row>
    <row r="39">
      <c r="A39" t="inlineStr">
        <is>
          <t>Secretos (clientes) almacenados</t>
        </is>
      </c>
      <c r="B39" s="5" t="n">
        <v>10</v>
      </c>
    </row>
    <row r="40">
      <c r="A40" t="inlineStr">
        <is>
          <t>Claves KMS</t>
        </is>
      </c>
      <c r="B40" s="5" t="n">
        <v>1</v>
      </c>
    </row>
    <row r="41">
      <c r="A41" t="inlineStr">
        <is>
          <t>Hosting CloudFront+S3 (fijo/mes)</t>
        </is>
      </c>
      <c r="B41" s="5" t="n">
        <v>5</v>
      </c>
    </row>
    <row r="42">
      <c r="A42" t="inlineStr">
        <is>
          <t>WAF: web ACLs</t>
        </is>
      </c>
      <c r="B42" s="5" t="n">
        <v>1</v>
      </c>
    </row>
    <row r="43">
      <c r="A43" t="inlineStr">
        <is>
          <t>WAF: reglas/grupos</t>
        </is>
      </c>
      <c r="B43" s="5" t="n">
        <v>3</v>
      </c>
    </row>
    <row r="44">
      <c r="A44" t="inlineStr">
        <is>
          <t>WAF: requests/mes (millones)</t>
        </is>
      </c>
      <c r="B44" s="5" t="n">
        <v>1</v>
      </c>
    </row>
    <row r="45">
      <c r="A45" t="inlineStr">
        <is>
          <t>Cognito: MAU facturables (sobre capa gratis)</t>
        </is>
      </c>
      <c r="B45" s="5" t="n">
        <v>0</v>
      </c>
    </row>
    <row r="46">
      <c r="A46" t="inlineStr">
        <is>
          <t>Entitlements: items DynamoDB (clientes activos)</t>
        </is>
      </c>
      <c r="B46" s="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10" defaultColWidth="9.140625" defaultRowHeight="15"/>
  <cols>
    <col width="34" customWidth="1" style="19" min="1" max="1"/>
    <col width="52" customWidth="1" style="19" min="2" max="2"/>
    <col width="14" customWidth="1" style="19" min="3" max="3"/>
  </cols>
  <sheetData>
    <row r="1" ht="17.25" customHeight="1" s="19">
      <c r="A1" s="1" t="inlineStr">
        <is>
          <t>Costo variable por 1 analisis (1 cuenta, 6 pilares)</t>
        </is>
      </c>
    </row>
    <row r="3">
      <c r="A3" s="4" t="inlineStr">
        <is>
          <t>Servicio</t>
        </is>
      </c>
      <c r="B3" s="4" t="inlineStr">
        <is>
          <t>Formula (de donde sale)</t>
        </is>
      </c>
      <c r="C3" s="4" t="inlineStr">
        <is>
          <t>Costo USD</t>
        </is>
      </c>
    </row>
    <row r="4">
      <c r="A4" t="inlineStr">
        <is>
          <t>Lambda - requests</t>
        </is>
      </c>
      <c r="B4" s="18" t="inlineStr">
        <is>
          <t>invocaciones x precio/request</t>
        </is>
      </c>
      <c r="C4" s="6">
        <f>Supuestos!$B$25*Supuestos!$B$5</f>
        <v/>
      </c>
    </row>
    <row r="5">
      <c r="A5" t="inlineStr">
        <is>
          <t>Lambda - computo (GB-s)</t>
        </is>
      </c>
      <c r="B5" s="18" t="inlineStr">
        <is>
          <t>inv x duracion(s) x memoria(GB) x precio/GB-s</t>
        </is>
      </c>
      <c r="C5" s="6">
        <f>Supuestos!$B$25*Supuestos!$B$26*Supuestos!$B$27*Supuestos!$B$6</f>
        <v/>
      </c>
    </row>
    <row r="6">
      <c r="A6" t="inlineStr">
        <is>
          <t>Step Functions</t>
        </is>
      </c>
      <c r="B6" s="18" t="inlineStr">
        <is>
          <t>transiciones x precio/transicion</t>
        </is>
      </c>
      <c r="C6" s="6">
        <f>Supuestos!$B$28*Supuestos!$B$7</f>
        <v/>
      </c>
    </row>
    <row r="7">
      <c r="A7" t="inlineStr">
        <is>
          <t>API Gateway</t>
        </is>
      </c>
      <c r="B7" s="18" t="inlineStr">
        <is>
          <t>requests x precio/request</t>
        </is>
      </c>
      <c r="C7" s="6">
        <f>Supuestos!$B$29*Supuestos!$B$8</f>
        <v/>
      </c>
    </row>
    <row r="8">
      <c r="A8" t="inlineStr">
        <is>
          <t>DynamoDB - escrituras</t>
        </is>
      </c>
      <c r="B8" s="18" t="inlineStr">
        <is>
          <t>escrituras x precio/WRU</t>
        </is>
      </c>
      <c r="C8" s="6">
        <f>Supuestos!$B$30*Supuestos!$B$9</f>
        <v/>
      </c>
    </row>
    <row r="9">
      <c r="A9" t="inlineStr">
        <is>
          <t>DynamoDB - lecturas</t>
        </is>
      </c>
      <c r="B9" s="18" t="inlineStr">
        <is>
          <t>lecturas x precio/RRU</t>
        </is>
      </c>
      <c r="C9" s="6">
        <f>Supuestos!$B$31*Supuestos!$B$10</f>
        <v/>
      </c>
    </row>
    <row r="10">
      <c r="A10" t="inlineStr">
        <is>
          <t>CloudWatch - logs</t>
        </is>
      </c>
      <c r="B10" s="18" t="inlineStr">
        <is>
          <t>GB logs x precio/GB</t>
        </is>
      </c>
      <c r="C10" s="6">
        <f>Supuestos!$B$32*Supuestos!$B$12</f>
        <v/>
      </c>
    </row>
    <row r="11" ht="30" customHeight="1" s="19">
      <c r="A11" t="inlineStr">
        <is>
          <t>Bedrock (segun modelo elegido)</t>
        </is>
      </c>
      <c r="B11" s="18" t="inlineStr">
        <is>
          <t>IF Sonnet vs Haiku: tokens_in x precio_in + tokens_out x precio_out</t>
        </is>
      </c>
      <c r="C11" s="6">
        <f>IF(Supuestos!$B$38=1,Supuestos!$B$33*Supuestos!$B$15+Supuestos!$B$34*Supuestos!$B$16,Supuestos!$B$33*Supuestos!$B$17+Supuestos!$B$34*Supuestos!$B$18)</f>
        <v/>
      </c>
    </row>
    <row r="12" ht="30" customHeight="1" s="19">
      <c r="A12" t="inlineStr">
        <is>
          <t>WAF - requests (parte variable)</t>
        </is>
      </c>
      <c r="B12" s="18" t="inlineStr">
        <is>
          <t>(requests analisis / 1e6) x precio/millon  [despreciable por analisis]</t>
        </is>
      </c>
      <c r="C12" s="6">
        <f>(Supuestos!$B$29/1000000)*Supuestos!$B$21</f>
        <v/>
      </c>
    </row>
    <row r="13">
      <c r="A13" s="3" t="inlineStr">
        <is>
          <t>TOTAL variable por analisis</t>
        </is>
      </c>
      <c r="B13" t="inlineStr">
        <is>
          <t>suma de los componentes de arriba</t>
        </is>
      </c>
      <c r="C13" s="7">
        <f>SUM(C4:C12)</f>
        <v/>
      </c>
    </row>
    <row r="15" ht="60" customHeight="1" s="19">
      <c r="A15" s="3" t="inlineStr">
        <is>
          <t>Nota:</t>
        </is>
      </c>
      <c r="B15" s="18" t="inlineStr">
        <is>
          <t>Cambia el modelo en Supuestos (1=Sonnet, 2=Haiku) y veras recalcular Bedrock y el total. WAF y Cognito son costos mayormente FIJOS/mes (ver hoja Costo mensual), no por analisis.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topLeftCell="A6" workbookViewId="0">
      <selection activeCell="A1" sqref="A1"/>
    </sheetView>
  </sheetViews>
  <sheetFormatPr baseColWidth="10" defaultColWidth="9.140625" defaultRowHeight="15"/>
  <cols>
    <col width="24" customWidth="1" style="19" min="1" max="1"/>
    <col width="16" customWidth="1" style="19" min="2" max="3"/>
    <col width="26" customWidth="1" style="19" min="4" max="4"/>
  </cols>
  <sheetData>
    <row r="1" ht="17.25" customHeight="1" s="19">
      <c r="A1" s="1" t="inlineStr">
        <is>
          <t>Bedrock por analisis: Sonnet vs Haiku</t>
        </is>
      </c>
    </row>
    <row r="3">
      <c r="A3" s="4" t="inlineStr">
        <is>
          <t>Concepto</t>
        </is>
      </c>
      <c r="B3" s="4" t="inlineStr">
        <is>
          <t>Sonnet (USD)</t>
        </is>
      </c>
      <c r="C3" s="4" t="inlineStr">
        <is>
          <t>Haiku (USD)</t>
        </is>
      </c>
      <c r="D3" s="4" t="inlineStr">
        <is>
          <t>Formula</t>
        </is>
      </c>
    </row>
    <row r="4">
      <c r="A4" t="inlineStr">
        <is>
          <t>Tokens entrada</t>
        </is>
      </c>
      <c r="B4" s="6">
        <f>Supuestos!$B$33*Supuestos!$B$15</f>
        <v/>
      </c>
      <c r="C4" s="6">
        <f>Supuestos!$B$33*Supuestos!$B$17</f>
        <v/>
      </c>
      <c r="D4" t="inlineStr">
        <is>
          <t>tokens_in x precio_in</t>
        </is>
      </c>
    </row>
    <row r="5">
      <c r="A5" t="inlineStr">
        <is>
          <t>Tokens salida</t>
        </is>
      </c>
      <c r="B5" s="6">
        <f>Supuestos!$B$34*Supuestos!$B$16</f>
        <v/>
      </c>
      <c r="C5" s="6">
        <f>Supuestos!$B$34*Supuestos!$B$18</f>
        <v/>
      </c>
      <c r="D5" t="inlineStr">
        <is>
          <t>tokens_out x precio_out</t>
        </is>
      </c>
    </row>
    <row r="6">
      <c r="A6" s="3" t="inlineStr">
        <is>
          <t>Total Bedrock / analisis</t>
        </is>
      </c>
      <c r="B6" s="10">
        <f>SUM(B4:B5)</f>
        <v/>
      </c>
      <c r="C6" s="10">
        <f>SUM(C4:C5)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10" defaultColWidth="9.140625" defaultRowHeight="15"/>
  <cols>
    <col width="36" customWidth="1" style="19" min="1" max="1"/>
    <col width="42" customWidth="1" style="19" min="2" max="2"/>
    <col width="14" customWidth="1" style="19" min="3" max="3"/>
  </cols>
  <sheetData>
    <row r="1" ht="17.25" customHeight="1" s="19">
      <c r="A1" s="1" t="inlineStr">
        <is>
          <t>Costo mensual estimado (variable + fijo)</t>
        </is>
      </c>
    </row>
    <row r="3">
      <c r="A3" s="4" t="inlineStr">
        <is>
          <t>Concepto</t>
        </is>
      </c>
      <c r="B3" s="4" t="inlineStr">
        <is>
          <t>Formula</t>
        </is>
      </c>
      <c r="C3" s="4" t="inlineStr">
        <is>
          <t>USD/mes</t>
        </is>
      </c>
    </row>
    <row r="4">
      <c r="A4" t="inlineStr">
        <is>
          <t>Variable: analisis del mes</t>
        </is>
      </c>
      <c r="B4" s="18" t="inlineStr">
        <is>
          <t>analisis/mes x costo por analisis</t>
        </is>
      </c>
      <c r="C4" s="8">
        <f>Supuestos!$B$37*'Costo por analisis'!$C$13</f>
        <v/>
      </c>
    </row>
    <row r="5">
      <c r="A5" t="inlineStr">
        <is>
          <t>Fijo: Secrets Manager</t>
        </is>
      </c>
      <c r="B5" s="18" t="inlineStr">
        <is>
          <t>secretos x precio/secreto-mes</t>
        </is>
      </c>
      <c r="C5" s="8">
        <f>Supuestos!$B$39*Supuestos!$B$14</f>
        <v/>
      </c>
    </row>
    <row r="6">
      <c r="A6" t="inlineStr">
        <is>
          <t>Fijo: KMS</t>
        </is>
      </c>
      <c r="B6" s="18" t="inlineStr">
        <is>
          <t>claves x precio/clave-mes</t>
        </is>
      </c>
      <c r="C6" s="8">
        <f>Supuestos!$B$40*Supuestos!$B$13</f>
        <v/>
      </c>
    </row>
    <row r="7">
      <c r="A7" t="inlineStr">
        <is>
          <t>Fijo: Hosting CloudFront+S3</t>
        </is>
      </c>
      <c r="B7" s="18" t="inlineStr">
        <is>
          <t>valor fijo editable en Supuestos</t>
        </is>
      </c>
      <c r="C7" s="8">
        <f>Supuestos!$B$41</f>
        <v/>
      </c>
    </row>
    <row r="8">
      <c r="A8" t="inlineStr">
        <is>
          <t>Fijo: WAF (web ACL + reglas)</t>
        </is>
      </c>
      <c r="B8" s="18" t="inlineStr">
        <is>
          <t>webACLs x precio_acl + reglas x precio_regla</t>
        </is>
      </c>
      <c r="C8" s="8">
        <f>Supuestos!$B$42*Supuestos!$B$19+Supuestos!$B$43*Supuestos!$B$20</f>
        <v/>
      </c>
    </row>
    <row r="9">
      <c r="A9" t="inlineStr">
        <is>
          <t>Variable: WAF requests</t>
        </is>
      </c>
      <c r="B9" s="18" t="inlineStr">
        <is>
          <t>millones_req x precio/millon</t>
        </is>
      </c>
      <c r="C9" s="8">
        <f>Supuestos!$B$44*Supuestos!$B$21</f>
        <v/>
      </c>
    </row>
    <row r="10">
      <c r="A10" t="inlineStr">
        <is>
          <t>Variable: Cognito MAU</t>
        </is>
      </c>
      <c r="B10" s="18" t="inlineStr">
        <is>
          <t>MAU facturables x precio/MAU</t>
        </is>
      </c>
      <c r="C10" s="8">
        <f>Supuestos!$B$45*Supuestos!$B$22</f>
        <v/>
      </c>
    </row>
    <row r="11">
      <c r="A11" s="3" t="inlineStr">
        <is>
          <t>TOTAL mensual estimado</t>
        </is>
      </c>
      <c r="B11" t="inlineStr">
        <is>
          <t>suma variable + fijos</t>
        </is>
      </c>
      <c r="C11" s="9">
        <f>SUM(C4:C10)</f>
        <v/>
      </c>
    </row>
    <row r="13">
      <c r="A13" s="3" t="inlineStr">
        <is>
          <t>Costo medio por analisis (incl. fijos)</t>
        </is>
      </c>
      <c r="B13" t="inlineStr">
        <is>
          <t>total mensual / analisis del mes</t>
        </is>
      </c>
      <c r="C13" s="10">
        <f>C11/Supuestos!$B$37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9.140625" defaultRowHeight="15"/>
  <cols>
    <col width="10" customWidth="1" style="19" min="1" max="1"/>
    <col width="16" customWidth="1" style="19" min="2" max="2"/>
    <col width="18" customWidth="1" style="19" min="3" max="3"/>
    <col width="16" customWidth="1" style="19" min="4" max="5"/>
    <col width="20" customWidth="1" style="19" min="6" max="6"/>
  </cols>
  <sheetData>
    <row r="1" ht="17.25" customHeight="1" s="19">
      <c r="A1" s="1" t="inlineStr">
        <is>
          <t>Sensibilidad: costo mensual segun volumen de analisis</t>
        </is>
      </c>
    </row>
    <row r="3">
      <c r="A3" s="3" t="inlineStr">
        <is>
          <t>Volumen base (editable):</t>
        </is>
      </c>
      <c r="C3" s="5" t="n">
        <v>50</v>
      </c>
      <c r="D3" t="inlineStr">
        <is>
          <t>&lt;- cambia este 50 y toda la tabla se recalcula</t>
        </is>
      </c>
    </row>
    <row r="5">
      <c r="A5" s="4" t="inlineStr">
        <is>
          <t>Factor</t>
        </is>
      </c>
      <c r="B5" s="4" t="inlineStr">
        <is>
          <t>Analisis/mes</t>
        </is>
      </c>
      <c r="C5" s="4" t="inlineStr">
        <is>
          <t>Variable (USD/mes)</t>
        </is>
      </c>
      <c r="D5" s="4" t="inlineStr">
        <is>
          <t>Fijos (USD/mes)</t>
        </is>
      </c>
      <c r="E5" s="4" t="inlineStr">
        <is>
          <t>Total (USD/mes)</t>
        </is>
      </c>
      <c r="F5" s="4" t="inlineStr">
        <is>
          <t>Costo medio/analisis</t>
        </is>
      </c>
    </row>
    <row r="6">
      <c r="A6" t="n">
        <v>1</v>
      </c>
      <c r="B6">
        <f>$C$3*A6</f>
        <v/>
      </c>
      <c r="C6" s="8">
        <f>B6*'Costo por analisis'!$C$13</f>
        <v/>
      </c>
      <c r="D6" s="8">
        <f>(Supuestos!$B$39*Supuestos!$B$14+Supuestos!$B$40*Supuestos!$B$13+Supuestos!$B$41+Supuestos!$B$42*Supuestos!$B$19+Supuestos!$B$43*Supuestos!$B$20+Supuestos!$B$44*Supuestos!$B$21+Supuestos!$B$45*Supuestos!$B$22)</f>
        <v/>
      </c>
      <c r="E6" s="8">
        <f>C6+D6</f>
        <v/>
      </c>
      <c r="F6" s="10">
        <f>IF(B6=0,0,E6/B6)</f>
        <v/>
      </c>
    </row>
    <row r="7">
      <c r="A7" t="n">
        <v>2</v>
      </c>
      <c r="B7">
        <f>$C$3*A7</f>
        <v/>
      </c>
      <c r="C7" s="8">
        <f>B7*'Costo por analisis'!$C$13</f>
        <v/>
      </c>
      <c r="D7" s="8">
        <f>(Supuestos!$B$39*Supuestos!$B$14+Supuestos!$B$40*Supuestos!$B$13+Supuestos!$B$41+Supuestos!$B$42*Supuestos!$B$19+Supuestos!$B$43*Supuestos!$B$20+Supuestos!$B$44*Supuestos!$B$21+Supuestos!$B$45*Supuestos!$B$22)</f>
        <v/>
      </c>
      <c r="E7" s="8">
        <f>C7+D7</f>
        <v/>
      </c>
      <c r="F7" s="10">
        <f>IF(B7=0,0,E7/B7)</f>
        <v/>
      </c>
    </row>
    <row r="8">
      <c r="A8" t="n">
        <v>4</v>
      </c>
      <c r="B8">
        <f>$C$3*A8</f>
        <v/>
      </c>
      <c r="C8" s="8">
        <f>B8*'Costo por analisis'!$C$13</f>
        <v/>
      </c>
      <c r="D8" s="8">
        <f>(Supuestos!$B$39*Supuestos!$B$14+Supuestos!$B$40*Supuestos!$B$13+Supuestos!$B$41+Supuestos!$B$42*Supuestos!$B$19+Supuestos!$B$43*Supuestos!$B$20+Supuestos!$B$44*Supuestos!$B$21+Supuestos!$B$45*Supuestos!$B$22)</f>
        <v/>
      </c>
      <c r="E8" s="8">
        <f>C8+D8</f>
        <v/>
      </c>
      <c r="F8" s="10">
        <f>IF(B8=0,0,E8/B8)</f>
        <v/>
      </c>
    </row>
    <row r="9">
      <c r="A9" t="n">
        <v>10</v>
      </c>
      <c r="B9">
        <f>$C$3*A9</f>
        <v/>
      </c>
      <c r="C9" s="8">
        <f>B9*'Costo por analisis'!$C$13</f>
        <v/>
      </c>
      <c r="D9" s="8">
        <f>(Supuestos!$B$39*Supuestos!$B$14+Supuestos!$B$40*Supuestos!$B$13+Supuestos!$B$41+Supuestos!$B$42*Supuestos!$B$19+Supuestos!$B$43*Supuestos!$B$20+Supuestos!$B$44*Supuestos!$B$21+Supuestos!$B$45*Supuestos!$B$22)</f>
        <v/>
      </c>
      <c r="E9" s="8">
        <f>C9+D9</f>
        <v/>
      </c>
      <c r="F9" s="10">
        <f>IF(B9=0,0,E9/B9)</f>
        <v/>
      </c>
    </row>
    <row r="10">
      <c r="A10" t="n">
        <v>20</v>
      </c>
      <c r="B10">
        <f>$C$3*A10</f>
        <v/>
      </c>
      <c r="C10" s="8">
        <f>B10*'Costo por analisis'!$C$13</f>
        <v/>
      </c>
      <c r="D10" s="8">
        <f>(Supuestos!$B$39*Supuestos!$B$14+Supuestos!$B$40*Supuestos!$B$13+Supuestos!$B$41+Supuestos!$B$42*Supuestos!$B$19+Supuestos!$B$43*Supuestos!$B$20+Supuestos!$B$44*Supuestos!$B$21+Supuestos!$B$45*Supuestos!$B$22)</f>
        <v/>
      </c>
      <c r="E10" s="8">
        <f>C10+D10</f>
        <v/>
      </c>
      <c r="F10" s="10">
        <f>IF(B10=0,0,E10/B10)</f>
        <v/>
      </c>
    </row>
    <row r="12" ht="210" customHeight="1" s="19">
      <c r="A12" s="3" t="inlineStr">
        <is>
          <t>Notas:</t>
        </is>
      </c>
      <c r="B12" s="18" t="inlineStr">
        <is>
          <t>La columna Factor multiplica el volumen base. Con base=50 veras 50, 100, 200, 500, 1000. El costo por analisis sale de 'Costo por analisis'. Los Fijos ahora incluyen WAF y Cognito del To-Be.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topLeftCell="A3" workbookViewId="0">
      <selection activeCell="A8" sqref="A8"/>
    </sheetView>
  </sheetViews>
  <sheetFormatPr baseColWidth="10" defaultColWidth="9.140625" defaultRowHeight="15"/>
  <cols>
    <col width="26" customWidth="1" style="19" min="1" max="1"/>
    <col width="16" customWidth="1" style="19" min="2" max="2"/>
    <col width="20" customWidth="1" style="19" min="3" max="3"/>
    <col width="10" customWidth="1" style="19" min="4" max="4"/>
    <col width="52" customWidth="1" style="19" min="5" max="5"/>
  </cols>
  <sheetData>
    <row r="1" ht="17.25" customHeight="1" s="19">
      <c r="A1" s="1" t="inlineStr">
        <is>
          <t>Verificacion vs AWS Pricing Calculator (200 analisis/mes, modelo Sonnet, us-east-1)</t>
        </is>
      </c>
    </row>
    <row r="2">
      <c r="A2" t="inlineStr">
        <is>
          <t>URL de la estimacion en la calculadora de AWS (precios al 2026-10-16):</t>
        </is>
      </c>
    </row>
    <row r="3">
      <c r="A3" t="inlineStr">
        <is>
          <t>https://calculator.aws/#/estimate?id=9522a31ec4a7ecf35ed6def968263ccf9fd3711f</t>
        </is>
      </c>
    </row>
    <row r="4">
      <c r="A4" t="inlineStr">
        <is>
          <t>Version con precios computados (Update+Share):</t>
        </is>
      </c>
    </row>
    <row r="5">
      <c r="A5" t="inlineStr">
        <is>
          <t>https://calculator.aws/#/estimate?id=0ea593458fbb3a44f0a11b361ff5b7e7261c5671</t>
        </is>
      </c>
    </row>
    <row r="6">
      <c r="A6" s="3" t="inlineStr">
        <is>
          <t>Estimacion To-Be (incluye WAF + Cognito + Bedrock Sonnet, 200 analisis/mes, us-east-1):</t>
        </is>
      </c>
    </row>
    <row r="7">
      <c r="A7" s="20" t="inlineStr">
        <is>
          <t>https://calculator.aws/#/estimate?id=8748b8884c260d78b625d6ce3fbf631f45f8e552</t>
        </is>
      </c>
    </row>
    <row r="8">
      <c r="A8" s="4" t="inlineStr">
        <is>
          <t>Servicio</t>
        </is>
      </c>
      <c r="B8" s="4" t="inlineStr">
        <is>
          <t>Excel (USD/mes)</t>
        </is>
      </c>
      <c r="C8" s="4" t="inlineStr">
        <is>
          <t>Calculadora (USD/mes)</t>
        </is>
      </c>
      <c r="D8" s="4" t="inlineStr">
        <is>
          <t>Dif.</t>
        </is>
      </c>
      <c r="E8" s="4" t="inlineStr">
        <is>
          <t>Nota</t>
        </is>
      </c>
    </row>
    <row r="9">
      <c r="A9" t="inlineStr">
        <is>
          <t>Lambda</t>
        </is>
      </c>
      <c r="B9" s="8" t="n">
        <v>1.4</v>
      </c>
      <c r="C9" t="n">
        <v>0</v>
      </c>
      <c r="D9" s="8">
        <f>C9-B9</f>
        <v/>
      </c>
      <c r="E9" s="18" t="inlineStr">
        <is>
          <t>Calc muestra 0 (redondeo de su vista); real ~1.40</t>
        </is>
      </c>
    </row>
    <row r="10">
      <c r="A10" t="inlineStr">
        <is>
          <t>Step Functions</t>
        </is>
      </c>
      <c r="B10" s="8" t="n">
        <v>0.2</v>
      </c>
      <c r="C10" t="n">
        <v>0.1</v>
      </c>
      <c r="D10" s="8">
        <f>C10-B10</f>
        <v/>
      </c>
      <c r="E10" s="18" t="inlineStr">
        <is>
          <t>Calc aplica matiz de tier en transiciones</t>
        </is>
      </c>
    </row>
    <row r="11">
      <c r="A11" t="inlineStr">
        <is>
          <t>API Gateway</t>
        </is>
      </c>
      <c r="B11" s="8" t="n">
        <v>0</v>
      </c>
      <c r="C11" t="n">
        <v>0</v>
      </c>
      <c r="D11" s="8">
        <f>C11-B11</f>
        <v/>
      </c>
      <c r="E11" s="18" t="inlineStr">
        <is>
          <t>Ambos ~0 a este volumen</t>
        </is>
      </c>
    </row>
    <row r="12">
      <c r="A12" t="inlineStr">
        <is>
          <t>CloudWatch</t>
        </is>
      </c>
      <c r="B12" s="8" t="n">
        <v>5</v>
      </c>
      <c r="C12" t="n">
        <v>5.05</v>
      </c>
      <c r="D12" s="8">
        <f>C12-B12</f>
        <v/>
      </c>
      <c r="E12" s="18" t="inlineStr">
        <is>
          <t>Calc suma cargo fijo de almacenamiento de logs</t>
        </is>
      </c>
    </row>
    <row r="13">
      <c r="A13" t="inlineStr">
        <is>
          <t>DynamoDB</t>
        </is>
      </c>
      <c r="B13" s="8" t="n">
        <v>0.01</v>
      </c>
      <c r="C13" t="inlineStr">
        <is>
          <t>n/d</t>
        </is>
      </c>
      <c r="D13" t="inlineStr">
        <is>
          <t>-</t>
        </is>
      </c>
      <c r="E13" s="18" t="inlineStr">
        <is>
          <t>Centavos; servicio sin campos expuestos en calc</t>
        </is>
      </c>
    </row>
    <row r="14">
      <c r="A14" t="inlineStr">
        <is>
          <t>Bedrock (Sonnet)</t>
        </is>
      </c>
      <c r="B14" s="8" t="n">
        <v>21</v>
      </c>
      <c r="C14" t="n">
        <v>20.99</v>
      </c>
      <c r="D14" s="8">
        <f>C14-B14</f>
        <v/>
      </c>
      <c r="E14" s="18" t="inlineStr">
        <is>
          <t>COINCIDE (dif. por redondeo de tokens)</t>
        </is>
      </c>
    </row>
    <row r="15">
      <c r="A15" t="inlineStr">
        <is>
          <t>Secrets Manager</t>
        </is>
      </c>
      <c r="B15" s="8" t="n">
        <v>4</v>
      </c>
      <c r="C15" t="n">
        <v>4.05</v>
      </c>
      <c r="D15" s="8">
        <f>C15-B15</f>
        <v/>
      </c>
      <c r="E15" s="18" t="inlineStr">
        <is>
          <t>Calc suma llamadas API</t>
        </is>
      </c>
    </row>
    <row r="16">
      <c r="A16" t="inlineStr">
        <is>
          <t>KMS</t>
        </is>
      </c>
      <c r="B16" s="8" t="n">
        <v>1</v>
      </c>
      <c r="C16" t="n">
        <v>1.06</v>
      </c>
      <c r="D16" s="8">
        <f>C16-B16</f>
        <v/>
      </c>
      <c r="E16" s="18" t="inlineStr">
        <is>
          <t>Calc suma requests simetricas</t>
        </is>
      </c>
    </row>
    <row r="17">
      <c r="A17" t="inlineStr">
        <is>
          <t>WAF (To-Be)</t>
        </is>
      </c>
      <c r="B17" s="8" t="n">
        <v>8.300000000000001</v>
      </c>
      <c r="C17" t="inlineStr">
        <is>
          <t>por verificar</t>
        </is>
      </c>
      <c r="D17" t="inlineStr">
        <is>
          <t>-</t>
        </is>
      </c>
      <c r="E17" s="18" t="inlineStr">
        <is>
          <t>web ACL 5 + 3 reglas 3 + 1M req 0.60</t>
        </is>
      </c>
    </row>
    <row r="18">
      <c r="A18" t="inlineStr">
        <is>
          <t>Cognito (To-Be)</t>
        </is>
      </c>
      <c r="B18" s="8" t="n">
        <v>0</v>
      </c>
      <c r="C18" t="inlineStr">
        <is>
          <t>por verificar</t>
        </is>
      </c>
      <c r="D18" t="inlineStr">
        <is>
          <t>-</t>
        </is>
      </c>
      <c r="E18" s="18" t="inlineStr">
        <is>
          <t>MAU dentro de capa gratis Essentials en escenario base</t>
        </is>
      </c>
    </row>
    <row r="19">
      <c r="A19" t="inlineStr">
        <is>
          <t>Hosting CloudFront+S3</t>
        </is>
      </c>
      <c r="B19" s="8" t="n">
        <v>5</v>
      </c>
      <c r="C19" t="inlineStr">
        <is>
          <t>n/d</t>
        </is>
      </c>
      <c r="D19" t="inlineStr">
        <is>
          <t>-</t>
        </is>
      </c>
      <c r="E19" s="18" t="inlineStr">
        <is>
          <t>Fijo estimado</t>
        </is>
      </c>
    </row>
    <row r="20">
      <c r="A20" s="3" t="inlineStr">
        <is>
          <t>TOTAL</t>
        </is>
      </c>
      <c r="B20" s="11">
        <f>SUM(B9:B19)</f>
        <v/>
      </c>
    </row>
    <row r="22" ht="360" customHeight="1" s="19">
      <c r="A22" s="3" t="inlineStr">
        <is>
          <t>Conclusion:</t>
        </is>
      </c>
      <c r="B22" s="18" t="inlineStr">
        <is>
          <t>El To-Be agrega WAF (~US$8/mes fijo) y Cognito (~0 en volumen bajo, crece con MAU). Los componentes dominantes del As-Is (Bedrock, CloudWatch, Secrets, KMS) ya estaban verificados contra la calculadora con diferencias de centavos. Pendiente: nueva estimacion en la calculadora incluyendo WAF+Cognito.</t>
        </is>
      </c>
    </row>
  </sheetData>
  <hyperlinks>
    <hyperlink xmlns:r="http://schemas.openxmlformats.org/officeDocument/2006/relationships" ref="A7" location="/estimate?id=8748b8884c260d78b625d6ce3fbf631f45f8e55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10" defaultColWidth="9.140625" defaultRowHeight="15"/>
  <cols>
    <col width="34" customWidth="1" style="19" min="1" max="1"/>
    <col width="18" customWidth="1" style="19" min="2" max="3"/>
    <col width="16" customWidth="1" style="19" min="4" max="4"/>
  </cols>
  <sheetData>
    <row r="1" ht="17.25" customHeight="1" s="19">
      <c r="A1" s="1" t="inlineStr">
        <is>
          <t>Costos AWS por ambiente (Produccion vs Staging)</t>
        </is>
      </c>
    </row>
    <row r="2" ht="45" customHeight="1" s="19">
      <c r="A2" s="18" t="inlineStr">
        <is>
          <t>Produccion = 200 analisis/mes (celda Supuestos B37). Staging = volumen editable abajo.</t>
        </is>
      </c>
    </row>
    <row r="4">
      <c r="A4" s="3" t="inlineStr">
        <is>
          <t>PARAMETROS STAGING (editables)</t>
        </is>
      </c>
      <c r="B4" s="4" t="inlineStr">
        <is>
          <t>Valor</t>
        </is>
      </c>
    </row>
    <row r="5">
      <c r="A5" t="inlineStr">
        <is>
          <t>Analisis por mes (staging)</t>
        </is>
      </c>
      <c r="B5" s="5" t="n">
        <v>50</v>
      </c>
    </row>
    <row r="6">
      <c r="A6" t="inlineStr">
        <is>
          <t>WAF: web ACLs (staging)</t>
        </is>
      </c>
      <c r="B6" s="5" t="n">
        <v>1</v>
      </c>
    </row>
    <row r="7">
      <c r="A7" t="inlineStr">
        <is>
          <t>WAF: reglas/grupos (staging)</t>
        </is>
      </c>
      <c r="B7" s="5" t="n">
        <v>1</v>
      </c>
    </row>
    <row r="8">
      <c r="A8" t="inlineStr">
        <is>
          <t>WAF: requests/mes millones (staging)</t>
        </is>
      </c>
      <c r="B8" s="5" t="n">
        <v>0.1</v>
      </c>
    </row>
    <row r="9">
      <c r="A9" t="inlineStr">
        <is>
          <t>Hosting CloudFront+S3 (staging)</t>
        </is>
      </c>
      <c r="B9" s="5" t="n">
        <v>5</v>
      </c>
    </row>
    <row r="10">
      <c r="A10" t="inlineStr">
        <is>
          <t>Secretos almacenados (staging)</t>
        </is>
      </c>
      <c r="B10" s="5" t="n">
        <v>3</v>
      </c>
    </row>
    <row r="11">
      <c r="A11" t="inlineStr">
        <is>
          <t>Claves KMS (staging)</t>
        </is>
      </c>
      <c r="B11" s="5" t="n">
        <v>1</v>
      </c>
    </row>
    <row r="13">
      <c r="A13" s="4" t="inlineStr">
        <is>
          <t>Concepto</t>
        </is>
      </c>
      <c r="B13" s="4" t="inlineStr">
        <is>
          <t>Produccion (USD/mes)</t>
        </is>
      </c>
      <c r="C13" s="4" t="inlineStr">
        <is>
          <t>Staging (USD/mes)</t>
        </is>
      </c>
      <c r="D13" s="4" t="inlineStr">
        <is>
          <t>Formula base</t>
        </is>
      </c>
    </row>
    <row r="14">
      <c r="A14" t="inlineStr">
        <is>
          <t>Variable: analisis del mes</t>
        </is>
      </c>
      <c r="B14" s="8">
        <f>Supuestos!$B$37*'Costo por analisis'!$C$13</f>
        <v/>
      </c>
      <c r="C14" s="8">
        <f>$B$5*'Costo por analisis'!$C$13</f>
        <v/>
      </c>
      <c r="D14" t="inlineStr">
        <is>
          <t>analisis x costo/analisis</t>
        </is>
      </c>
    </row>
    <row r="15">
      <c r="A15" t="inlineStr">
        <is>
          <t>Fijo: Secrets Manager</t>
        </is>
      </c>
      <c r="B15" s="8">
        <f>Supuestos!$B$39*Supuestos!$B$14</f>
        <v/>
      </c>
      <c r="C15" s="8">
        <f>$B$10*Supuestos!$B$14</f>
        <v/>
      </c>
      <c r="D15" t="inlineStr">
        <is>
          <t>secretos x precio</t>
        </is>
      </c>
    </row>
    <row r="16">
      <c r="A16" t="inlineStr">
        <is>
          <t>Fijo: KMS</t>
        </is>
      </c>
      <c r="B16" s="8">
        <f>Supuestos!$B$40*Supuestos!$B$13</f>
        <v/>
      </c>
      <c r="C16" s="8">
        <f>$B$11*Supuestos!$B$13</f>
        <v/>
      </c>
      <c r="D16" t="inlineStr">
        <is>
          <t>claves x precio</t>
        </is>
      </c>
    </row>
    <row r="17">
      <c r="A17" t="inlineStr">
        <is>
          <t>Fijo: Hosting CloudFront+S3</t>
        </is>
      </c>
      <c r="B17" s="8">
        <f>Supuestos!$B$41</f>
        <v/>
      </c>
      <c r="C17" s="8">
        <f>$B$9</f>
        <v/>
      </c>
      <c r="D17" t="inlineStr">
        <is>
          <t>valor fijo</t>
        </is>
      </c>
    </row>
    <row r="18">
      <c r="A18" t="inlineStr">
        <is>
          <t>Fijo: WAF (web ACL + reglas)</t>
        </is>
      </c>
      <c r="B18" s="8">
        <f>Supuestos!$B$42*Supuestos!$B$19+Supuestos!$B$43*Supuestos!$B$20</f>
        <v/>
      </c>
      <c r="C18" s="8">
        <f>$B$6*Supuestos!$B$19+$B$7*Supuestos!$B$20</f>
        <v/>
      </c>
      <c r="D18" t="inlineStr">
        <is>
          <t>ACLs x precio + reglas x precio</t>
        </is>
      </c>
    </row>
    <row r="19">
      <c r="A19" t="inlineStr">
        <is>
          <t>Variable: WAF requests</t>
        </is>
      </c>
      <c r="B19" s="8">
        <f>Supuestos!$B$44*Supuestos!$B$21</f>
        <v/>
      </c>
      <c r="C19" s="8">
        <f>$B$8*Supuestos!$B$21</f>
        <v/>
      </c>
      <c r="D19" t="inlineStr">
        <is>
          <t>millones req x precio</t>
        </is>
      </c>
    </row>
    <row r="20">
      <c r="A20" t="inlineStr">
        <is>
          <t>Variable: Cognito MAU</t>
        </is>
      </c>
      <c r="B20" s="8">
        <f>Supuestos!$B$45*Supuestos!$B$22</f>
        <v/>
      </c>
      <c r="C20" s="8">
        <f>0</f>
        <v/>
      </c>
      <c r="D20" t="inlineStr">
        <is>
          <t>MAU x precio (staging ~0)</t>
        </is>
      </c>
    </row>
    <row r="21">
      <c r="A21" s="3" t="inlineStr">
        <is>
          <t>TOTAL AWS por ambiente</t>
        </is>
      </c>
      <c r="B21" s="12">
        <f>SUM(B14:B20)</f>
        <v/>
      </c>
      <c r="C21" s="12">
        <f>SUM(C14:C20)</f>
        <v/>
      </c>
    </row>
    <row r="23">
      <c r="A23" s="3" t="inlineStr">
        <is>
          <t>CONSOLIDADO AWS (Prod + Staging)</t>
        </is>
      </c>
    </row>
    <row r="24">
      <c r="A24" t="inlineStr">
        <is>
          <t>Total AWS mensual (ambos ambientes)</t>
        </is>
      </c>
      <c r="B24" s="9">
        <f>B21+C21</f>
        <v/>
      </c>
    </row>
    <row r="25">
      <c r="A25" t="inlineStr">
        <is>
          <t>Total AWS anual (ambos ambientes)</t>
        </is>
      </c>
      <c r="B25" s="8">
        <f>B24*12</f>
        <v/>
      </c>
    </row>
    <row r="26">
      <c r="A26" t="inlineStr">
        <is>
          <t>Equivalente COP/mes (TRM 3500)</t>
        </is>
      </c>
      <c r="B26" s="13">
        <f>B24*3500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10" defaultColWidth="9.140625" defaultRowHeight="15"/>
  <cols>
    <col width="40" customWidth="1" style="19" min="1" max="1"/>
    <col width="18" customWidth="1" style="19" min="2" max="3"/>
    <col width="30" customWidth="1" style="19" min="4" max="4"/>
  </cols>
  <sheetData>
    <row r="1" ht="17.25" customHeight="1" s="19">
      <c r="A1" s="1" t="inlineStr">
        <is>
          <t>Inversion inicial y gastos operativos (OPEX)</t>
        </is>
      </c>
    </row>
    <row r="3">
      <c r="A3" s="3" t="inlineStr">
        <is>
          <t>INVERSION INICIAL (una vez)</t>
        </is>
      </c>
      <c r="B3" s="4" t="inlineStr">
        <is>
          <t>Valor</t>
        </is>
      </c>
      <c r="C3" s="4" t="inlineStr">
        <is>
          <t>USD</t>
        </is>
      </c>
      <c r="D3" s="4" t="inlineStr">
        <is>
          <t>Nota</t>
        </is>
      </c>
    </row>
    <row r="4">
      <c r="A4" t="inlineStr">
        <is>
          <t>Horas de desarrollo</t>
        </is>
      </c>
      <c r="B4" s="5" t="n">
        <v>360</v>
      </c>
    </row>
    <row r="5">
      <c r="A5" t="inlineStr">
        <is>
          <t>Horas otras areas</t>
        </is>
      </c>
      <c r="B5" s="5" t="n">
        <v>360</v>
      </c>
    </row>
    <row r="6">
      <c r="A6" t="inlineStr">
        <is>
          <t>Tarifa (USD/hora)</t>
        </is>
      </c>
      <c r="B6" s="5" t="n">
        <v>30</v>
      </c>
    </row>
    <row r="7">
      <c r="A7" t="inlineStr">
        <is>
          <t>Horas totales</t>
        </is>
      </c>
      <c r="C7">
        <f>B4+B5</f>
        <v/>
      </c>
    </row>
    <row r="8">
      <c r="A8" t="inlineStr">
        <is>
          <t>Costo total desarrollo (USD)</t>
        </is>
      </c>
      <c r="C8" s="14">
        <f>(B4+B5)*B6</f>
        <v/>
      </c>
    </row>
    <row r="9">
      <c r="A9" t="inlineStr">
        <is>
          <t>Equivalente COP (TRM 3500)</t>
        </is>
      </c>
      <c r="C9" s="13">
        <f>C8*3500</f>
        <v/>
      </c>
    </row>
    <row r="11">
      <c r="A11" s="3" t="inlineStr">
        <is>
          <t>OPEX RECURRENTE</t>
        </is>
      </c>
      <c r="B11" s="4" t="inlineStr">
        <is>
          <t>USD/mes</t>
        </is>
      </c>
      <c r="C11" s="4" t="inlineStr">
        <is>
          <t>USD/anio</t>
        </is>
      </c>
      <c r="D11" s="4" t="inlineStr">
        <is>
          <t>Nota</t>
        </is>
      </c>
    </row>
    <row r="12">
      <c r="A12" t="inlineStr">
        <is>
          <t>AWS (Prod + Staging)</t>
        </is>
      </c>
      <c r="B12" s="8">
        <f>Ambientes!$B$24</f>
        <v/>
      </c>
      <c r="C12" s="8">
        <f>B12*12</f>
        <v/>
      </c>
      <c r="D12" t="inlineStr">
        <is>
          <t>consolidado hoja Ambientes</t>
        </is>
      </c>
    </row>
    <row r="13">
      <c r="A13" t="inlineStr">
        <is>
          <t>Kiro (plan Power)</t>
        </is>
      </c>
      <c r="B13" s="5" t="n">
        <v>200</v>
      </c>
      <c r="C13" s="8">
        <f>B13*12</f>
        <v/>
      </c>
      <c r="D13" t="inlineStr">
        <is>
          <t>USD$200/mes, 10k creditos (uso ~1.500/mes)</t>
        </is>
      </c>
    </row>
    <row r="14">
      <c r="A14" t="inlineStr">
        <is>
          <t>OPEX TOTAL</t>
        </is>
      </c>
      <c r="B14" s="9">
        <f>B12+B13</f>
        <v/>
      </c>
      <c r="C14" s="9">
        <f>C12+C13</f>
        <v/>
      </c>
    </row>
    <row r="15">
      <c r="A15" t="inlineStr">
        <is>
          <t>OPEX TOTAL COP/mes (TRM 3500)</t>
        </is>
      </c>
      <c r="B15" s="13">
        <f>B14*3500</f>
        <v/>
      </c>
    </row>
    <row r="17">
      <c r="A17" s="3" t="inlineStr">
        <is>
          <t>Nota</t>
        </is>
      </c>
      <c r="B17" s="18" t="inlineStr">
        <is>
          <t>Kiro Power incluye 10.000 creditos; el uso previsto (~1.500/mes) cabe en planes menores. Se usa Power por indicacion del equipo.</t>
        </is>
      </c>
    </row>
    <row r="18"/>
  </sheetData>
  <mergeCells count="1">
    <mergeCell ref="B17:D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10" defaultColWidth="9.140625" defaultRowHeight="15"/>
  <cols>
    <col width="32" customWidth="1" style="19" min="1" max="1"/>
    <col width="16" customWidth="1" style="19" min="2" max="4"/>
    <col width="28" customWidth="1" style="19" min="5" max="5"/>
  </cols>
  <sheetData>
    <row r="1" ht="17.25" customHeight="1" s="19">
      <c r="A1" s="1" t="inlineStr">
        <is>
          <t>Resumen financiero (3 escenarios, horizonte 3 anios)</t>
        </is>
      </c>
    </row>
    <row r="2">
      <c r="A2" t="inlineStr">
        <is>
          <t>Moneda USD | TRM COP 3500 | Tasa de descuento (editable):</t>
        </is>
      </c>
      <c r="E2" s="15" t="n">
        <v>0.14</v>
      </c>
    </row>
    <row r="4">
      <c r="A4" s="3" t="inlineStr">
        <is>
          <t>SUPUESTOS DE INGRESO (editables)</t>
        </is>
      </c>
      <c r="B4" s="4" t="inlineStr">
        <is>
          <t>Conservador</t>
        </is>
      </c>
      <c r="C4" s="4" t="inlineStr">
        <is>
          <t>Base</t>
        </is>
      </c>
      <c r="D4" s="4" t="inlineStr">
        <is>
          <t>Optimista</t>
        </is>
      </c>
    </row>
    <row r="5">
      <c r="A5" t="inlineStr">
        <is>
          <t>ARPU (USD/cuenta/mes)</t>
        </is>
      </c>
      <c r="B5" s="5" t="n">
        <v>95</v>
      </c>
      <c r="C5" s="5" t="n">
        <v>125</v>
      </c>
      <c r="D5" s="5" t="n">
        <v>160</v>
      </c>
    </row>
    <row r="6">
      <c r="A6" t="inlineStr">
        <is>
          <t>Cuentas activas Ano 1</t>
        </is>
      </c>
      <c r="B6" s="5" t="n">
        <v>6</v>
      </c>
      <c r="C6" s="5" t="n">
        <v>10</v>
      </c>
      <c r="D6" s="5" t="n">
        <v>18</v>
      </c>
    </row>
    <row r="7">
      <c r="A7" t="inlineStr">
        <is>
          <t>Cuentas activas Ano 2</t>
        </is>
      </c>
      <c r="B7" s="5" t="n">
        <v>14</v>
      </c>
      <c r="C7" s="5" t="n">
        <v>26</v>
      </c>
      <c r="D7" s="5" t="n">
        <v>48</v>
      </c>
    </row>
    <row r="8">
      <c r="A8" t="inlineStr">
        <is>
          <t>Cuentas activas Ano 3</t>
        </is>
      </c>
      <c r="B8" s="5" t="n">
        <v>26</v>
      </c>
      <c r="C8" s="5" t="n">
        <v>55</v>
      </c>
      <c r="D8" s="5" t="n">
        <v>100</v>
      </c>
    </row>
    <row r="10">
      <c r="A10" t="inlineStr">
        <is>
          <t>Ingresos Ano 1 (USD)</t>
        </is>
      </c>
      <c r="B10" s="13">
        <f>B6*B5*12</f>
        <v/>
      </c>
      <c r="C10" s="13">
        <f>C6*C5*12</f>
        <v/>
      </c>
      <c r="D10" s="13">
        <f>D6*D5*12</f>
        <v/>
      </c>
    </row>
    <row r="11">
      <c r="A11" t="inlineStr">
        <is>
          <t>Ingresos Ano 2 (USD)</t>
        </is>
      </c>
      <c r="B11" s="13">
        <f>B7*B5*12</f>
        <v/>
      </c>
      <c r="C11" s="13">
        <f>C7*C5*12</f>
        <v/>
      </c>
      <c r="D11" s="13">
        <f>D7*D5*12</f>
        <v/>
      </c>
    </row>
    <row r="12">
      <c r="A12" t="inlineStr">
        <is>
          <t>Ingresos Ano 3 (USD)</t>
        </is>
      </c>
      <c r="B12" s="13">
        <f>B8*B5*12</f>
        <v/>
      </c>
      <c r="C12" s="13">
        <f>C8*C5*12</f>
        <v/>
      </c>
      <c r="D12" s="13">
        <f>D8*D5*12</f>
        <v/>
      </c>
    </row>
    <row r="13">
      <c r="A13" t="inlineStr">
        <is>
          <t>OPEX Ano 1 (USD)</t>
        </is>
      </c>
      <c r="B13" s="13">
        <f>'Inversion y OPEX'!$C$14</f>
        <v/>
      </c>
      <c r="C13" s="13">
        <f>'Inversion y OPEX'!$C$14</f>
        <v/>
      </c>
      <c r="D13" s="13">
        <f>'Inversion y OPEX'!$C$14</f>
        <v/>
      </c>
    </row>
    <row r="14">
      <c r="A14" t="inlineStr">
        <is>
          <t>OPEX Ano 2 (USD)</t>
        </is>
      </c>
      <c r="B14" s="13">
        <f>'Inversion y OPEX'!$C$14*1.12</f>
        <v/>
      </c>
      <c r="C14" s="13">
        <f>'Inversion y OPEX'!$C$14*1.12</f>
        <v/>
      </c>
      <c r="D14" s="13">
        <f>'Inversion y OPEX'!$C$14*1.12</f>
        <v/>
      </c>
    </row>
    <row r="15">
      <c r="A15" t="inlineStr">
        <is>
          <t>OPEX Ano 3 (USD)</t>
        </is>
      </c>
      <c r="B15" s="13">
        <f>'Inversion y OPEX'!$C$14*1.25</f>
        <v/>
      </c>
      <c r="C15" s="13">
        <f>'Inversion y OPEX'!$C$14*1.25</f>
        <v/>
      </c>
      <c r="D15" s="13">
        <f>'Inversion y OPEX'!$C$14*1.25</f>
        <v/>
      </c>
    </row>
    <row r="16">
      <c r="A16" t="inlineStr">
        <is>
          <t>EBITDA Ano 1 (USD)</t>
        </is>
      </c>
      <c r="B16" s="13">
        <f>B10-B13</f>
        <v/>
      </c>
      <c r="C16" s="13">
        <f>C10-C13</f>
        <v/>
      </c>
      <c r="D16" s="13">
        <f>D10-D13</f>
        <v/>
      </c>
    </row>
    <row r="17">
      <c r="A17" t="inlineStr">
        <is>
          <t>EBITDA Ano 2 (USD)</t>
        </is>
      </c>
      <c r="B17" s="13">
        <f>B11-B14</f>
        <v/>
      </c>
      <c r="C17" s="13">
        <f>C11-C14</f>
        <v/>
      </c>
      <c r="D17" s="13">
        <f>D11-D14</f>
        <v/>
      </c>
    </row>
    <row r="18">
      <c r="A18" t="inlineStr">
        <is>
          <t>EBITDA Ano 3 (USD)</t>
        </is>
      </c>
      <c r="B18" s="13">
        <f>B12-B15</f>
        <v/>
      </c>
      <c r="C18" s="13">
        <f>C12-C15</f>
        <v/>
      </c>
      <c r="D18" s="13">
        <f>D12-D15</f>
        <v/>
      </c>
    </row>
    <row r="19">
      <c r="A19" t="inlineStr">
        <is>
          <t>Inversion inicial (USD)</t>
        </is>
      </c>
      <c r="B19" s="13">
        <f>'Inversion y OPEX'!$C$8</f>
        <v/>
      </c>
      <c r="C19" s="13">
        <f>'Inversion y OPEX'!$C$8</f>
        <v/>
      </c>
      <c r="D19" s="13">
        <f>'Inversion y OPEX'!$C$8</f>
        <v/>
      </c>
    </row>
    <row r="21">
      <c r="A21" s="3" t="inlineStr">
        <is>
          <t>INDICADORES</t>
        </is>
      </c>
      <c r="B21" s="4" t="inlineStr">
        <is>
          <t>Conservador</t>
        </is>
      </c>
      <c r="C21" s="4" t="inlineStr">
        <is>
          <t>Base</t>
        </is>
      </c>
      <c r="D21" s="4" t="inlineStr">
        <is>
          <t>Optimista</t>
        </is>
      </c>
    </row>
    <row r="22">
      <c r="A22" t="inlineStr">
        <is>
          <t>EBITDA acumulado 3 anios</t>
        </is>
      </c>
      <c r="B22" s="13">
        <f>SUM(B16:B18)</f>
        <v/>
      </c>
      <c r="C22" s="13">
        <f>SUM(C16:C18)</f>
        <v/>
      </c>
      <c r="D22" s="13">
        <f>SUM(D16:D18)</f>
        <v/>
      </c>
    </row>
    <row r="23">
      <c r="A23" t="inlineStr">
        <is>
          <t>ROI 3 anios (%)</t>
        </is>
      </c>
      <c r="B23" s="16">
        <f>(B22-B19)/B19</f>
        <v/>
      </c>
      <c r="C23" s="16">
        <f>(C22-C19)/C19</f>
        <v/>
      </c>
      <c r="D23" s="16">
        <f>(D22-D19)/D19</f>
        <v/>
      </c>
    </row>
    <row r="24">
      <c r="A24" t="inlineStr">
        <is>
          <t>VPN (USD)</t>
        </is>
      </c>
      <c r="B24" s="13">
        <f>-B19 + B16/(1+$E$2) + B17/(1+$E$2)^2 + B18/(1+$E$2)^3</f>
        <v/>
      </c>
      <c r="C24" s="13">
        <f>-C19 + C16/(1+$E$2) + C17/(1+$E$2)^2 + C18/(1+$E$2)^3</f>
        <v/>
      </c>
      <c r="D24" s="13">
        <f>-D19 + D16/(1+$E$2) + D17/(1+$E$2)^2 + D18/(1+$E$2)^3</f>
        <v/>
      </c>
    </row>
    <row r="25">
      <c r="A25" t="inlineStr">
        <is>
          <t>TIR (%)</t>
        </is>
      </c>
      <c r="B25" s="16">
        <f>IRR(B28:B31)</f>
        <v/>
      </c>
      <c r="C25" s="16">
        <f>IRR(C28:C31)</f>
        <v/>
      </c>
      <c r="D25" s="16">
        <f>IRR(D28:D31)</f>
        <v/>
      </c>
    </row>
    <row r="26">
      <c r="A26" t="inlineStr">
        <is>
          <t>Payback simple (meses, base EBITDA Ano 1)</t>
        </is>
      </c>
      <c r="B26" s="17">
        <f>B19/(B16/12)</f>
        <v/>
      </c>
      <c r="C26" s="17">
        <f>C19/(C16/12)</f>
        <v/>
      </c>
      <c r="D26" s="17">
        <f>D19/(D16/12)</f>
        <v/>
      </c>
    </row>
    <row r="28">
      <c r="A28" t="inlineStr">
        <is>
          <t>Flujo 0 (=-inversion)</t>
        </is>
      </c>
      <c r="B28" s="13">
        <f>-B19</f>
        <v/>
      </c>
      <c r="C28" s="13">
        <f>-C19</f>
        <v/>
      </c>
      <c r="D28" s="13">
        <f>-D19</f>
        <v/>
      </c>
    </row>
    <row r="29">
      <c r="A29" t="inlineStr">
        <is>
          <t>Flujo Ano 1</t>
        </is>
      </c>
      <c r="B29" s="13">
        <f>B16</f>
        <v/>
      </c>
      <c r="C29" s="13">
        <f>C16</f>
        <v/>
      </c>
      <c r="D29" s="13">
        <f>D16</f>
        <v/>
      </c>
    </row>
    <row r="30">
      <c r="A30" t="inlineStr">
        <is>
          <t>Flujo Ano 2</t>
        </is>
      </c>
      <c r="B30" s="13">
        <f>B17</f>
        <v/>
      </c>
      <c r="C30" s="13">
        <f>C17</f>
        <v/>
      </c>
      <c r="D30" s="13">
        <f>D17</f>
        <v/>
      </c>
    </row>
    <row r="31">
      <c r="A31" t="inlineStr">
        <is>
          <t>Flujo Ano 3</t>
        </is>
      </c>
      <c r="B31" s="13">
        <f>B18</f>
        <v/>
      </c>
      <c r="C31" s="13">
        <f>C18</f>
        <v/>
      </c>
      <c r="D31" s="13">
        <f>D18</f>
        <v/>
      </c>
    </row>
    <row r="33">
      <c r="A33" s="18" t="inlineStr">
        <is>
          <t>Nota: ROI = (EBITDA acumulado - inversion)/inversion. VPN descuenta los EBITDA anuales a la tasa editable (E2). TIR via IRR sobre flujos anuales (filas 28-31). El Payback simple usa el EBITDA mensual del Ano 1 (metodo conservador/lineal); el payback real considerando el crecimiento de los Anos 2-3 es menor (ver documento de analisis). Cambia ARPU, cuentas o la tasa y todo recalcula.</t>
        </is>
      </c>
    </row>
    <row r="34"/>
    <row r="35"/>
  </sheetData>
  <mergeCells count="1">
    <mergeCell ref="A33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2026-10-20T14:51:40Z</dcterms:created>
  <dcterms:modified xmlns:dcterms="http://purl.org/dc/terms/" xmlns:xsi="http://www.w3.org/2001/XMLSchema-instance" xsi:type="dcterms:W3CDTF">2026-10-27T19:18:27Z</dcterms:modified>
  <cp:lastModifiedBy>FGT FONGRANTIERRA</cp:lastModifiedBy>
</cp:coreProperties>
</file>