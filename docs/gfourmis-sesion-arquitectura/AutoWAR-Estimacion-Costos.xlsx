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uestos" sheetId="1" state="visible" r:id="rId1"/>
    <sheet xmlns:r="http://schemas.openxmlformats.org/officeDocument/2006/relationships" name="Costo por analisis" sheetId="2" state="visible" r:id="rId2"/>
    <sheet xmlns:r="http://schemas.openxmlformats.org/officeDocument/2006/relationships" name="Costo mensual" sheetId="3" state="visible" r:id="rId3"/>
    <sheet xmlns:r="http://schemas.openxmlformats.org/officeDocument/2006/relationships" name="Comparativa Bedrock" sheetId="4" state="visible" r:id="rId4"/>
    <sheet xmlns:r="http://schemas.openxmlformats.org/officeDocument/2006/relationships" name="Sensibilidad" sheetId="5" state="visible" r:id="rId5"/>
    <sheet xmlns:r="http://schemas.openxmlformats.org/officeDocument/2006/relationships" name="Verif. Calculadora AW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</font>
    <font>
      <b val="1"/>
    </font>
    <font>
      <color rgb="000563C1"/>
      <u val="single"/>
    </font>
    <font>
      <color rgb="000563C1"/>
      <sz val="9"/>
      <u val="single"/>
    </font>
    <font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pivotButton="0" quotePrefix="0" xfId="0"/>
    <xf numFmtId="0" fontId="0" fillId="0" borderId="1" pivotButton="0" quotePrefix="0" xfId="0"/>
    <xf numFmtId="164" fontId="0" fillId="4" borderId="1" applyAlignment="1" pivotButton="0" quotePrefix="0" xfId="0">
      <alignment horizontal="right"/>
    </xf>
    <xf numFmtId="0" fontId="2" fillId="0" borderId="1" pivotButton="0" quotePrefix="0" xfId="0"/>
    <xf numFmtId="4" fontId="0" fillId="4" borderId="1" applyAlignment="1" pivotButton="0" quotePrefix="0" xfId="0">
      <alignment horizontal="right"/>
    </xf>
    <xf numFmtId="0" fontId="0" fillId="4" borderId="1" applyAlignment="1" pivotButton="0" quotePrefix="0" xfId="0">
      <alignment horizontal="right"/>
    </xf>
    <xf numFmtId="0" fontId="0" fillId="3" borderId="1" pivotButton="0" quotePrefix="0" xfId="0"/>
    <xf numFmtId="0" fontId="2" fillId="0" borderId="1" applyAlignment="1" pivotButton="0" quotePrefix="0" xfId="0">
      <alignment vertical="top" wrapText="1"/>
    </xf>
    <xf numFmtId="164" fontId="0" fillId="5" borderId="1" applyAlignment="1" pivotButton="0" quotePrefix="0" xfId="0">
      <alignment horizontal="right"/>
    </xf>
    <xf numFmtId="0" fontId="4" fillId="6" borderId="1" pivotButton="0" quotePrefix="0" xfId="0"/>
    <xf numFmtId="0" fontId="2" fillId="6" borderId="1" pivotButton="0" quotePrefix="0" xfId="0"/>
    <xf numFmtId="4" fontId="4" fillId="6" borderId="1" applyAlignment="1" pivotButton="0" quotePrefix="0" xfId="0">
      <alignment horizontal="right"/>
    </xf>
    <xf numFmtId="0" fontId="4" fillId="0" borderId="0" pivotButton="0" quotePrefix="0" xfId="0"/>
    <xf numFmtId="4" fontId="0" fillId="5" borderId="1" applyAlignment="1" pivotButton="0" quotePrefix="0" xfId="0">
      <alignment horizontal="right"/>
    </xf>
    <xf numFmtId="164" fontId="0" fillId="5" borderId="1" pivotButton="0" quotePrefix="0" xfId="0"/>
    <xf numFmtId="0" fontId="4" fillId="0" borderId="1" pivotButton="0" quotePrefix="0" xfId="0"/>
    <xf numFmtId="4" fontId="4" fillId="6" borderId="1" pivotButton="0" quotePrefix="0" xfId="0"/>
    <xf numFmtId="0" fontId="4" fillId="4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0" fillId="6" borderId="1" applyAlignment="1" pivotButton="0" quotePrefix="0" xfId="0">
      <alignment horizontal="right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4" fontId="0" fillId="0" borderId="1" applyAlignment="1" pivotButton="0" quotePrefix="0" xfId="0">
      <alignment horizontal="right"/>
    </xf>
    <xf numFmtId="4" fontId="0" fillId="7" borderId="1" applyAlignment="1" pivotButton="0" quotePrefix="0" xfId="0">
      <alignment horizontal="right"/>
    </xf>
    <xf numFmtId="0" fontId="7" fillId="0" borderId="1" applyAlignment="1" pivotButton="0" quotePrefix="0" xfId="0">
      <alignment vertical="top" wrapText="1"/>
    </xf>
    <xf numFmtId="4" fontId="0" fillId="8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4" customWidth="1" min="3" max="3"/>
    <col width="50" customWidth="1" min="4" max="4"/>
  </cols>
  <sheetData>
    <row r="1" ht="24" customHeight="1">
      <c r="A1" s="1" t="inlineStr">
        <is>
          <t>AutoWAR - Supuestos de costo (celdas AMARILLAS = editables)</t>
        </is>
      </c>
    </row>
    <row r="2">
      <c r="A2" s="2" t="inlineStr">
        <is>
          <t>Region: us-east-1 | Moneda: USD | Precios de referencia publicos (oct-2026). Validar en la calculadora AWS para cotizacion formal.</t>
        </is>
      </c>
    </row>
    <row r="4">
      <c r="A4" s="3" t="inlineStr">
        <is>
          <t>PRECIOS UNITARIOS AWS</t>
        </is>
      </c>
      <c r="B4" s="3" t="inlineStr">
        <is>
          <t>Valor</t>
        </is>
      </c>
      <c r="C4" s="3" t="inlineStr">
        <is>
          <t>Unidad</t>
        </is>
      </c>
      <c r="D4" s="3" t="inlineStr">
        <is>
          <t>Fuente / nota</t>
        </is>
      </c>
    </row>
    <row r="5">
      <c r="A5" s="4" t="inlineStr">
        <is>
          <t>Lambda: precio por request</t>
        </is>
      </c>
      <c r="B5" s="5" t="n">
        <v>2e-07</v>
      </c>
      <c r="C5" s="4" t="inlineStr">
        <is>
          <t>USD/request</t>
        </is>
      </c>
      <c r="D5" s="6" t="inlineStr">
        <is>
          <t>US$0.20 por 1M requests</t>
        </is>
      </c>
    </row>
    <row r="6">
      <c r="A6" s="4" t="inlineStr">
        <is>
          <t>Lambda: precio por GB-segundo (x86)</t>
        </is>
      </c>
      <c r="B6" s="5" t="n">
        <v>1.66667e-05</v>
      </c>
      <c r="C6" s="4" t="inlineStr">
        <is>
          <t>USD/GB-s</t>
        </is>
      </c>
      <c r="D6" s="6" t="inlineStr">
        <is>
          <t>x86 on-demand</t>
        </is>
      </c>
    </row>
    <row r="7">
      <c r="A7" s="4" t="inlineStr">
        <is>
          <t>Step Functions: por transicion (Standard)</t>
        </is>
      </c>
      <c r="B7" s="5" t="n">
        <v>2.5e-05</v>
      </c>
      <c r="C7" s="4" t="inlineStr">
        <is>
          <t>USD/transicion</t>
        </is>
      </c>
      <c r="D7" s="6" t="inlineStr">
        <is>
          <t>US$0.025 por 1.000 transiciones</t>
        </is>
      </c>
    </row>
    <row r="8">
      <c r="A8" s="4" t="inlineStr">
        <is>
          <t>API Gateway REST: por request</t>
        </is>
      </c>
      <c r="B8" s="5" t="n">
        <v>3.5e-06</v>
      </c>
      <c r="C8" s="4" t="inlineStr">
        <is>
          <t>USD/request</t>
        </is>
      </c>
      <c r="D8" s="6" t="inlineStr">
        <is>
          <t>US$3.50 por 1M requests</t>
        </is>
      </c>
    </row>
    <row r="9">
      <c r="A9" s="4" t="inlineStr">
        <is>
          <t>DynamoDB on-demand: por escritura (WRU)</t>
        </is>
      </c>
      <c r="B9" s="5" t="n">
        <v>1.25e-06</v>
      </c>
      <c r="C9" s="4" t="inlineStr">
        <is>
          <t>USD/escritura</t>
        </is>
      </c>
      <c r="D9" s="6" t="inlineStr">
        <is>
          <t>US$1.25 por 1M WRU</t>
        </is>
      </c>
    </row>
    <row r="10">
      <c r="A10" s="4" t="inlineStr">
        <is>
          <t>DynamoDB on-demand: por lectura (RRU)</t>
        </is>
      </c>
      <c r="B10" s="5" t="n">
        <v>2.5e-07</v>
      </c>
      <c r="C10" s="4" t="inlineStr">
        <is>
          <t>USD/lectura</t>
        </is>
      </c>
      <c r="D10" s="6" t="inlineStr">
        <is>
          <t>US$0.25 por 1M RRU</t>
        </is>
      </c>
    </row>
    <row r="11">
      <c r="A11" s="4" t="inlineStr">
        <is>
          <t>S3: almacenamiento por GB-mes</t>
        </is>
      </c>
      <c r="B11" s="5" t="n">
        <v>0.023</v>
      </c>
      <c r="C11" s="4" t="inlineStr">
        <is>
          <t>USD/GB-mes</t>
        </is>
      </c>
      <c r="D11" s="6" t="inlineStr">
        <is>
          <t>S3 Standard</t>
        </is>
      </c>
    </row>
    <row r="12">
      <c r="A12" s="4" t="inlineStr">
        <is>
          <t>CloudWatch: por GB de logs ingeridos</t>
        </is>
      </c>
      <c r="B12" s="5" t="n">
        <v>0.5</v>
      </c>
      <c r="C12" s="4" t="inlineStr">
        <is>
          <t>USD/GB</t>
        </is>
      </c>
      <c r="D12" s="6" t="inlineStr">
        <is>
          <t>ingestion de logs</t>
        </is>
      </c>
    </row>
    <row r="13">
      <c r="A13" s="4" t="inlineStr">
        <is>
          <t>KMS: por clave-mes</t>
        </is>
      </c>
      <c r="B13" s="7" t="n">
        <v>1</v>
      </c>
      <c r="C13" s="4" t="inlineStr">
        <is>
          <t>USD/clave-mes</t>
        </is>
      </c>
      <c r="D13" s="6" t="inlineStr">
        <is>
          <t>clave gestionada</t>
        </is>
      </c>
    </row>
    <row r="14">
      <c r="A14" s="4" t="inlineStr">
        <is>
          <t>Secrets Manager: por secreto-mes</t>
        </is>
      </c>
      <c r="B14" s="5" t="n">
        <v>0.4</v>
      </c>
      <c r="C14" s="4" t="inlineStr">
        <is>
          <t>USD/secreto-mes</t>
        </is>
      </c>
      <c r="D14" s="6" t="inlineStr">
        <is>
          <t>+US$0.05 por 10k llamadas (despreciable)</t>
        </is>
      </c>
    </row>
    <row r="15">
      <c r="A15" s="4" t="inlineStr">
        <is>
          <t>Bedrock Sonnet: por token entrada</t>
        </is>
      </c>
      <c r="B15" s="5" t="n">
        <v>3e-06</v>
      </c>
      <c r="C15" s="4" t="inlineStr">
        <is>
          <t>USD/token</t>
        </is>
      </c>
      <c r="D15" s="6" t="inlineStr">
        <is>
          <t>US$3 por 1M tokens in</t>
        </is>
      </c>
    </row>
    <row r="16">
      <c r="A16" s="4" t="inlineStr">
        <is>
          <t>Bedrock Sonnet: por token salida</t>
        </is>
      </c>
      <c r="B16" s="5" t="n">
        <v>1.5e-05</v>
      </c>
      <c r="C16" s="4" t="inlineStr">
        <is>
          <t>USD/token</t>
        </is>
      </c>
      <c r="D16" s="6" t="inlineStr">
        <is>
          <t>US$15 por 1M tokens out</t>
        </is>
      </c>
    </row>
    <row r="17">
      <c r="A17" s="4" t="inlineStr">
        <is>
          <t>Bedrock Haiku: por token entrada</t>
        </is>
      </c>
      <c r="B17" s="5" t="n">
        <v>8e-07</v>
      </c>
      <c r="C17" s="4" t="inlineStr">
        <is>
          <t>USD/token</t>
        </is>
      </c>
      <c r="D17" s="6" t="inlineStr">
        <is>
          <t>~US$0.80 por 1M tokens in</t>
        </is>
      </c>
    </row>
    <row r="18">
      <c r="A18" s="4" t="inlineStr">
        <is>
          <t>Bedrock Haiku: por token salida</t>
        </is>
      </c>
      <c r="B18" s="5" t="n">
        <v>4e-06</v>
      </c>
      <c r="C18" s="4" t="inlineStr">
        <is>
          <t>USD/token</t>
        </is>
      </c>
      <c r="D18" s="6" t="inlineStr">
        <is>
          <t>~US$4 por 1M tokens out</t>
        </is>
      </c>
    </row>
    <row r="21">
      <c r="A21" s="3" t="inlineStr">
        <is>
          <t>PARAMETROS POR ANALISIS (1 cuenta, 6 pilares)</t>
        </is>
      </c>
      <c r="B21" s="3" t="inlineStr">
        <is>
          <t>Valor</t>
        </is>
      </c>
      <c r="C21" s="3" t="inlineStr">
        <is>
          <t>Unidad</t>
        </is>
      </c>
      <c r="D21" s="3" t="inlineStr">
        <is>
          <t>Nota</t>
        </is>
      </c>
    </row>
    <row r="22">
      <c r="A22" s="4" t="inlineStr">
        <is>
          <t>Invocaciones Lambda por analisis</t>
        </is>
      </c>
      <c r="B22" s="8" t="n">
        <v>7</v>
      </c>
      <c r="C22" s="4" t="inlineStr">
        <is>
          <t>invocaciones</t>
        </is>
      </c>
      <c r="D22" s="6" t="inlineStr">
        <is>
          <t>6 pilares + 1 orquestador</t>
        </is>
      </c>
    </row>
    <row r="23">
      <c r="A23" s="4" t="inlineStr">
        <is>
          <t>Duracion promedio por Lambda</t>
        </is>
      </c>
      <c r="B23" s="8" t="n">
        <v>60</v>
      </c>
      <c r="C23" s="4" t="inlineStr">
        <is>
          <t>segundos</t>
        </is>
      </c>
      <c r="D23" s="6" t="inlineStr">
        <is>
          <t>editable segun cuenta</t>
        </is>
      </c>
    </row>
    <row r="24">
      <c r="A24" s="4" t="inlineStr">
        <is>
          <t>Memoria Lambda</t>
        </is>
      </c>
      <c r="B24" s="8" t="n">
        <v>1</v>
      </c>
      <c r="C24" s="4" t="inlineStr">
        <is>
          <t>GB</t>
        </is>
      </c>
      <c r="D24" s="6" t="inlineStr">
        <is>
          <t>1024 MB</t>
        </is>
      </c>
    </row>
    <row r="25">
      <c r="A25" s="4" t="inlineStr">
        <is>
          <t>Transiciones Step Functions</t>
        </is>
      </c>
      <c r="B25" s="8" t="n">
        <v>40</v>
      </c>
      <c r="C25" s="4" t="inlineStr">
        <is>
          <t>transiciones</t>
        </is>
      </c>
      <c r="D25" s="6" t="inlineStr">
        <is>
          <t>fan-out + joins</t>
        </is>
      </c>
    </row>
    <row r="26">
      <c r="A26" s="4" t="inlineStr">
        <is>
          <t>Requests API Gateway</t>
        </is>
      </c>
      <c r="B26" s="8" t="n">
        <v>5</v>
      </c>
      <c r="C26" s="4" t="inlineStr">
        <is>
          <t>requests</t>
        </is>
      </c>
      <c r="D26" s="6" t="inlineStr">
        <is>
          <t>validar + analizar + polling</t>
        </is>
      </c>
    </row>
    <row r="27">
      <c r="A27" s="4" t="inlineStr">
        <is>
          <t>Escrituras DynamoDB</t>
        </is>
      </c>
      <c r="B27" s="8" t="n">
        <v>20</v>
      </c>
      <c r="C27" s="4" t="inlineStr">
        <is>
          <t>escrituras</t>
        </is>
      </c>
      <c r="D27" s="6" t="inlineStr">
        <is>
          <t>resultados + items por pilar</t>
        </is>
      </c>
    </row>
    <row r="28">
      <c r="A28" s="4" t="inlineStr">
        <is>
          <t>Lecturas DynamoDB</t>
        </is>
      </c>
      <c r="B28" s="8" t="n">
        <v>20</v>
      </c>
      <c r="C28" s="4" t="inlineStr">
        <is>
          <t>lecturas</t>
        </is>
      </c>
      <c r="D28" s="6" t="inlineStr">
        <is>
          <t>lectura de resultados</t>
        </is>
      </c>
    </row>
    <row r="29">
      <c r="A29" s="4" t="inlineStr">
        <is>
          <t>Logs generados</t>
        </is>
      </c>
      <c r="B29" s="8" t="n">
        <v>0.05</v>
      </c>
      <c r="C29" s="4" t="inlineStr">
        <is>
          <t>GB</t>
        </is>
      </c>
      <c r="D29" s="6" t="inlineStr">
        <is>
          <t>~50 MB de logs por analisis</t>
        </is>
      </c>
    </row>
    <row r="30">
      <c r="A30" s="4" t="inlineStr">
        <is>
          <t>Tokens entrada Bedrock</t>
        </is>
      </c>
      <c r="B30" s="8" t="n">
        <v>15000</v>
      </c>
      <c r="C30" s="4" t="inlineStr">
        <is>
          <t>tokens</t>
        </is>
      </c>
      <c r="D30" s="6" t="inlineStr">
        <is>
          <t>hallazgos + contexto</t>
        </is>
      </c>
    </row>
    <row r="31">
      <c r="A31" s="4" t="inlineStr">
        <is>
          <t>Tokens salida Bedrock</t>
        </is>
      </c>
      <c r="B31" s="8" t="n">
        <v>4000</v>
      </c>
      <c r="C31" s="4" t="inlineStr">
        <is>
          <t>tokens</t>
        </is>
      </c>
      <c r="D31" s="6" t="inlineStr">
        <is>
          <t>resumen redactado</t>
        </is>
      </c>
    </row>
    <row r="34">
      <c r="A34" s="3" t="inlineStr">
        <is>
          <t>ESCENARIO MENSUAL</t>
        </is>
      </c>
      <c r="B34" s="3" t="inlineStr">
        <is>
          <t>Valor</t>
        </is>
      </c>
      <c r="C34" s="9" t="n"/>
      <c r="D34" s="9" t="n"/>
    </row>
    <row r="35">
      <c r="A35" s="4" t="inlineStr">
        <is>
          <t>Analisis por mes</t>
        </is>
      </c>
      <c r="B35" s="8" t="n">
        <v>200</v>
      </c>
      <c r="C35" s="4" t="n"/>
      <c r="D35" s="4" t="n"/>
    </row>
    <row r="36">
      <c r="A36" s="4" t="inlineStr">
        <is>
          <t>Modelo Bedrock (1=Sonnet, 2=Haiku)</t>
        </is>
      </c>
      <c r="B36" s="8" t="n">
        <v>2</v>
      </c>
      <c r="C36" s="4" t="n"/>
      <c r="D36" s="4" t="n"/>
    </row>
    <row r="37">
      <c r="A37" s="4" t="inlineStr">
        <is>
          <t>Secretos (clientes) almacenados</t>
        </is>
      </c>
      <c r="B37" s="8" t="n">
        <v>10</v>
      </c>
      <c r="C37" s="4" t="n"/>
      <c r="D37" s="4" t="n"/>
    </row>
    <row r="38">
      <c r="A38" s="4" t="inlineStr">
        <is>
          <t>Claves KMS</t>
        </is>
      </c>
      <c r="B38" s="8" t="n">
        <v>1</v>
      </c>
      <c r="C38" s="4" t="n"/>
      <c r="D38" s="4" t="n"/>
    </row>
    <row r="39">
      <c r="A39" s="4" t="inlineStr">
        <is>
          <t>Hosting CloudFront+S3 (fijo/mes)</t>
        </is>
      </c>
      <c r="B39" s="7" t="n">
        <v>5</v>
      </c>
      <c r="C39" s="4" t="n"/>
      <c r="D39" s="4" t="n"/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58" customWidth="1" min="2" max="2"/>
    <col width="16" customWidth="1" min="3" max="3"/>
  </cols>
  <sheetData>
    <row r="1" ht="24" customHeight="1">
      <c r="A1" s="1" t="inlineStr">
        <is>
          <t>Costo variable por 1 analisis (1 cuenta, 6 pilares)</t>
        </is>
      </c>
    </row>
    <row r="3">
      <c r="A3" s="3" t="inlineStr">
        <is>
          <t>Servicio</t>
        </is>
      </c>
      <c r="B3" s="3" t="inlineStr">
        <is>
          <t>Formula (de donde sale)</t>
        </is>
      </c>
      <c r="C3" s="3" t="inlineStr">
        <is>
          <t>Costo USD</t>
        </is>
      </c>
    </row>
    <row r="4">
      <c r="A4" s="4" t="inlineStr">
        <is>
          <t>Lambda - requests</t>
        </is>
      </c>
      <c r="B4" s="10" t="inlineStr">
        <is>
          <t>invocaciones x precio/request</t>
        </is>
      </c>
      <c r="C4" s="11">
        <f>Supuestos!$B$22*Supuestos!$B$5</f>
        <v/>
      </c>
    </row>
    <row r="5">
      <c r="A5" s="4" t="inlineStr">
        <is>
          <t>Lambda - computo (GB-s)</t>
        </is>
      </c>
      <c r="B5" s="10" t="inlineStr">
        <is>
          <t>inv x duracion(s) x memoria(GB) x precio/GB-s</t>
        </is>
      </c>
      <c r="C5" s="11">
        <f>Supuestos!$B$22*Supuestos!$B$23*Supuestos!$B$24*Supuestos!$B$6</f>
        <v/>
      </c>
    </row>
    <row r="6">
      <c r="A6" s="4" t="inlineStr">
        <is>
          <t>Step Functions</t>
        </is>
      </c>
      <c r="B6" s="10" t="inlineStr">
        <is>
          <t>transiciones x precio/transicion</t>
        </is>
      </c>
      <c r="C6" s="11">
        <f>Supuestos!$B$25*Supuestos!$B$7</f>
        <v/>
      </c>
    </row>
    <row r="7">
      <c r="A7" s="4" t="inlineStr">
        <is>
          <t>API Gateway</t>
        </is>
      </c>
      <c r="B7" s="10" t="inlineStr">
        <is>
          <t>requests x precio/request</t>
        </is>
      </c>
      <c r="C7" s="11">
        <f>Supuestos!$B$26*Supuestos!$B$8</f>
        <v/>
      </c>
    </row>
    <row r="8">
      <c r="A8" s="4" t="inlineStr">
        <is>
          <t>DynamoDB - escrituras</t>
        </is>
      </c>
      <c r="B8" s="10" t="inlineStr">
        <is>
          <t>escrituras x precio/WRU</t>
        </is>
      </c>
      <c r="C8" s="11">
        <f>Supuestos!$B$27*Supuestos!$B$9</f>
        <v/>
      </c>
    </row>
    <row r="9">
      <c r="A9" s="4" t="inlineStr">
        <is>
          <t>DynamoDB - lecturas</t>
        </is>
      </c>
      <c r="B9" s="10" t="inlineStr">
        <is>
          <t>lecturas x precio/RRU</t>
        </is>
      </c>
      <c r="C9" s="11">
        <f>Supuestos!$B$28*Supuestos!$B$10</f>
        <v/>
      </c>
    </row>
    <row r="10">
      <c r="A10" s="4" t="inlineStr">
        <is>
          <t>CloudWatch - logs</t>
        </is>
      </c>
      <c r="B10" s="10" t="inlineStr">
        <is>
          <t>GB logs x precio/GB</t>
        </is>
      </c>
      <c r="C10" s="11">
        <f>Supuestos!$B$29*Supuestos!$B$12</f>
        <v/>
      </c>
    </row>
    <row r="11">
      <c r="A11" s="4" t="inlineStr">
        <is>
          <t>Bedrock (segun modelo elegido)</t>
        </is>
      </c>
      <c r="B11" s="10" t="inlineStr">
        <is>
          <t>IF Sonnet vs Haiku: tokens_in x precio_in + tokens_out x precio_out</t>
        </is>
      </c>
      <c r="C11" s="11">
        <f>IF(Supuestos!$B$36=1,Supuestos!$B$30*Supuestos!$B$15+Supuestos!$B$31*Supuestos!$B$16,Supuestos!$B$30*Supuestos!$B$17+Supuestos!$B$31*Supuestos!$B$18)</f>
        <v/>
      </c>
    </row>
    <row r="12">
      <c r="A12" s="12" t="inlineStr">
        <is>
          <t>TOTAL variable por analisis</t>
        </is>
      </c>
      <c r="B12" s="13" t="inlineStr">
        <is>
          <t>suma de los componentes de arriba</t>
        </is>
      </c>
      <c r="C12" s="14">
        <f>SUM(C4:C11)</f>
        <v/>
      </c>
    </row>
    <row r="14">
      <c r="A14" s="15" t="inlineStr">
        <is>
          <t>Nota:</t>
        </is>
      </c>
      <c r="B14" t="inlineStr">
        <is>
          <t>Cambia el modelo en Supuestos (1=Sonnet, 2=Haiku) y veras recalcular Bedrock y el total.</t>
        </is>
      </c>
    </row>
  </sheetData>
  <mergeCells count="2">
    <mergeCell ref="A1:C1"/>
    <mergeCell ref="B14:C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16" customWidth="1" min="3" max="3"/>
  </cols>
  <sheetData>
    <row r="1" ht="24" customHeight="1">
      <c r="A1" s="1" t="inlineStr">
        <is>
          <t>Costo mensual estimado (variable + fijo)</t>
        </is>
      </c>
    </row>
    <row r="3">
      <c r="A3" s="3" t="inlineStr">
        <is>
          <t>Concepto</t>
        </is>
      </c>
      <c r="B3" s="3" t="inlineStr">
        <is>
          <t>Formula</t>
        </is>
      </c>
      <c r="C3" s="3" t="inlineStr">
        <is>
          <t>USD/mes</t>
        </is>
      </c>
    </row>
    <row r="4">
      <c r="A4" s="4" t="inlineStr">
        <is>
          <t>Variable: analisis del mes</t>
        </is>
      </c>
      <c r="B4" s="10" t="inlineStr">
        <is>
          <t>analisis/mes x costo por analisis</t>
        </is>
      </c>
      <c r="C4" s="16">
        <f>Supuestos!$B$35*'Costo por analisis'!$C$12</f>
        <v/>
      </c>
    </row>
    <row r="5">
      <c r="A5" s="4" t="inlineStr">
        <is>
          <t>Fijo: Secrets Manager</t>
        </is>
      </c>
      <c r="B5" s="10" t="inlineStr">
        <is>
          <t>secretos x precio/secreto-mes</t>
        </is>
      </c>
      <c r="C5" s="16">
        <f>Supuestos!$B$37*Supuestos!$B$14</f>
        <v/>
      </c>
    </row>
    <row r="6">
      <c r="A6" s="4" t="inlineStr">
        <is>
          <t>Fijo: KMS</t>
        </is>
      </c>
      <c r="B6" s="10" t="inlineStr">
        <is>
          <t>claves x precio/clave-mes</t>
        </is>
      </c>
      <c r="C6" s="16">
        <f>Supuestos!$B$38*Supuestos!$B$13</f>
        <v/>
      </c>
    </row>
    <row r="7">
      <c r="A7" s="4" t="inlineStr">
        <is>
          <t>Fijo: Hosting CloudFront+S3</t>
        </is>
      </c>
      <c r="B7" s="10" t="inlineStr">
        <is>
          <t>valor fijo editable en Supuestos</t>
        </is>
      </c>
      <c r="C7" s="16">
        <f>Supuestos!$B$39</f>
        <v/>
      </c>
    </row>
    <row r="8">
      <c r="A8" s="12" t="inlineStr">
        <is>
          <t>TOTAL mensual estimado</t>
        </is>
      </c>
      <c r="B8" s="13" t="inlineStr">
        <is>
          <t>suma variable + fijos</t>
        </is>
      </c>
      <c r="C8" s="14">
        <f>SUM(C4:C7)</f>
        <v/>
      </c>
    </row>
    <row r="10">
      <c r="A10" s="12" t="inlineStr">
        <is>
          <t>Costo medio por analisis (incl. fijos)</t>
        </is>
      </c>
      <c r="B10" s="13" t="inlineStr">
        <is>
          <t>total mensual / analisis del mes</t>
        </is>
      </c>
      <c r="C10" s="14">
        <f>C8/Supuestos!$B$35</f>
        <v/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40" customWidth="1" min="4" max="4"/>
  </cols>
  <sheetData>
    <row r="1">
      <c r="A1" s="1" t="inlineStr">
        <is>
          <t>Bedrock por analisis: Sonnet vs Haiku</t>
        </is>
      </c>
    </row>
    <row r="3">
      <c r="A3" s="3" t="inlineStr">
        <is>
          <t>Concepto</t>
        </is>
      </c>
      <c r="B3" s="3" t="inlineStr">
        <is>
          <t>Sonnet (USD)</t>
        </is>
      </c>
      <c r="C3" s="3" t="inlineStr">
        <is>
          <t>Haiku (USD)</t>
        </is>
      </c>
      <c r="D3" s="3" t="inlineStr">
        <is>
          <t>Formula</t>
        </is>
      </c>
    </row>
    <row r="4">
      <c r="A4" s="4" t="inlineStr">
        <is>
          <t>Tokens entrada</t>
        </is>
      </c>
      <c r="B4" s="17">
        <f>Supuestos!$B$30*Supuestos!$B$15</f>
        <v/>
      </c>
      <c r="C4" s="17">
        <f>Supuestos!$B$30*Supuestos!$B$17</f>
        <v/>
      </c>
      <c r="D4" s="6" t="inlineStr">
        <is>
          <t>tokens_in x precio_in</t>
        </is>
      </c>
    </row>
    <row r="5">
      <c r="A5" s="4" t="inlineStr">
        <is>
          <t>Tokens salida</t>
        </is>
      </c>
      <c r="B5" s="17">
        <f>Supuestos!$B$31*Supuestos!$B$16</f>
        <v/>
      </c>
      <c r="C5" s="17">
        <f>Supuestos!$B$31*Supuestos!$B$18</f>
        <v/>
      </c>
      <c r="D5" s="6" t="inlineStr">
        <is>
          <t>tokens_out x precio_out</t>
        </is>
      </c>
    </row>
    <row r="6">
      <c r="A6" s="18" t="inlineStr">
        <is>
          <t>Total Bedrock / analisis</t>
        </is>
      </c>
      <c r="B6" s="19">
        <f>SUM(B4:B5)</f>
        <v/>
      </c>
      <c r="C6" s="19">
        <f>SUM(C4:C5)</f>
        <v/>
      </c>
      <c r="D6" s="4" t="n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22" customWidth="1" min="3" max="3"/>
    <col width="20" customWidth="1" min="4" max="4"/>
    <col width="22" customWidth="1" min="5" max="5"/>
    <col width="24" customWidth="1" min="6" max="6"/>
  </cols>
  <sheetData>
    <row r="1" ht="24" customHeight="1">
      <c r="A1" s="1" t="inlineStr">
        <is>
          <t>Sensibilidad: costo mensual segun volumen de analisis</t>
        </is>
      </c>
    </row>
    <row r="3">
      <c r="A3" s="15" t="inlineStr">
        <is>
          <t>Volumen base (editable):</t>
        </is>
      </c>
      <c r="C3" s="20" t="n">
        <v>50</v>
      </c>
      <c r="D3" s="2" t="inlineStr">
        <is>
          <t>&lt;- cambia este 50 y toda la tabla se recalcula</t>
        </is>
      </c>
    </row>
    <row r="5">
      <c r="A5" s="21" t="inlineStr">
        <is>
          <t>Factor</t>
        </is>
      </c>
      <c r="B5" s="21" t="inlineStr">
        <is>
          <t>Analisis/mes</t>
        </is>
      </c>
      <c r="C5" s="21" t="inlineStr">
        <is>
          <t>Variable (USD/mes)</t>
        </is>
      </c>
      <c r="D5" s="21" t="inlineStr">
        <is>
          <t>Fijos (USD/mes)</t>
        </is>
      </c>
      <c r="E5" s="21" t="inlineStr">
        <is>
          <t>Total (USD/mes)</t>
        </is>
      </c>
      <c r="F5" s="21" t="inlineStr">
        <is>
          <t>Costo medio/analisis</t>
        </is>
      </c>
    </row>
    <row r="6">
      <c r="A6" s="22" t="n">
        <v>1</v>
      </c>
      <c r="B6" s="22">
        <f>$C$3*A6</f>
        <v/>
      </c>
      <c r="C6" s="16">
        <f>B6*'Costo por analisis'!$C$12</f>
        <v/>
      </c>
      <c r="D6" s="16">
        <f>(Supuestos!$B$37*Supuestos!$B$14+Supuestos!$B$38*Supuestos!$B$13+Supuestos!$B$39)</f>
        <v/>
      </c>
      <c r="E6" s="14">
        <f>C6+D6</f>
        <v/>
      </c>
      <c r="F6" s="23">
        <f>IF(B6=0,0,E6/B6)</f>
        <v/>
      </c>
    </row>
    <row r="7">
      <c r="A7" s="22" t="n">
        <v>2</v>
      </c>
      <c r="B7" s="22">
        <f>$C$3*A7</f>
        <v/>
      </c>
      <c r="C7" s="16">
        <f>B7*'Costo por analisis'!$C$12</f>
        <v/>
      </c>
      <c r="D7" s="16">
        <f>(Supuestos!$B$37*Supuestos!$B$14+Supuestos!$B$38*Supuestos!$B$13+Supuestos!$B$39)</f>
        <v/>
      </c>
      <c r="E7" s="14">
        <f>C7+D7</f>
        <v/>
      </c>
      <c r="F7" s="23">
        <f>IF(B7=0,0,E7/B7)</f>
        <v/>
      </c>
    </row>
    <row r="8">
      <c r="A8" s="22" t="n">
        <v>4</v>
      </c>
      <c r="B8" s="22">
        <f>$C$3*A8</f>
        <v/>
      </c>
      <c r="C8" s="16">
        <f>B8*'Costo por analisis'!$C$12</f>
        <v/>
      </c>
      <c r="D8" s="16">
        <f>(Supuestos!$B$37*Supuestos!$B$14+Supuestos!$B$38*Supuestos!$B$13+Supuestos!$B$39)</f>
        <v/>
      </c>
      <c r="E8" s="14">
        <f>C8+D8</f>
        <v/>
      </c>
      <c r="F8" s="23">
        <f>IF(B8=0,0,E8/B8)</f>
        <v/>
      </c>
    </row>
    <row r="9">
      <c r="A9" s="22" t="n">
        <v>10</v>
      </c>
      <c r="B9" s="22">
        <f>$C$3*A9</f>
        <v/>
      </c>
      <c r="C9" s="16">
        <f>B9*'Costo por analisis'!$C$12</f>
        <v/>
      </c>
      <c r="D9" s="16">
        <f>(Supuestos!$B$37*Supuestos!$B$14+Supuestos!$B$38*Supuestos!$B$13+Supuestos!$B$39)</f>
        <v/>
      </c>
      <c r="E9" s="14">
        <f>C9+D9</f>
        <v/>
      </c>
      <c r="F9" s="23">
        <f>IF(B9=0,0,E9/B9)</f>
        <v/>
      </c>
    </row>
    <row r="10">
      <c r="A10" s="22" t="n">
        <v>20</v>
      </c>
      <c r="B10" s="22">
        <f>$C$3*A10</f>
        <v/>
      </c>
      <c r="C10" s="16">
        <f>B10*'Costo por analisis'!$C$12</f>
        <v/>
      </c>
      <c r="D10" s="16">
        <f>(Supuestos!$B$37*Supuestos!$B$14+Supuestos!$B$38*Supuestos!$B$13+Supuestos!$B$39)</f>
        <v/>
      </c>
      <c r="E10" s="14">
        <f>C10+D10</f>
        <v/>
      </c>
      <c r="F10" s="23">
        <f>IF(B10=0,0,E10/B10)</f>
        <v/>
      </c>
    </row>
    <row r="12" ht="42" customHeight="1">
      <c r="A12" s="15" t="inlineStr">
        <is>
          <t>Notas:</t>
        </is>
      </c>
      <c r="B12" s="24" t="inlineStr">
        <is>
          <t>La columna Factor multiplica el volumen base. Con base=50 veras 50, 100, 200, 500, 1000. El costo por analisis sale de la hoja 'Costo por analisis' (depende del modelo Bedrock elegido en Supuestos).</t>
        </is>
      </c>
    </row>
  </sheetData>
  <mergeCells count="4">
    <mergeCell ref="A3:B3"/>
    <mergeCell ref="A1:F1"/>
    <mergeCell ref="D3:F3"/>
    <mergeCell ref="B12:F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4" customWidth="1" min="4" max="4"/>
    <col width="50" customWidth="1" min="5" max="5"/>
  </cols>
  <sheetData>
    <row r="1" ht="24" customHeight="1">
      <c r="A1" s="1" t="inlineStr">
        <is>
          <t>Verificacion vs AWS Pricing Calculator (200 analisis/mes, modelo Sonnet, us-east-1)</t>
        </is>
      </c>
    </row>
    <row r="2">
      <c r="A2" s="15" t="inlineStr">
        <is>
          <t>URL de la estimacion en la calculadora de AWS (precios al 2026-10-16):</t>
        </is>
      </c>
    </row>
    <row r="3">
      <c r="A3" s="25" t="inlineStr">
        <is>
          <t>https://calculator.aws/#/estimate?id=9522a31ec4a7ecf35ed6def968263ccf9fd3711f</t>
        </is>
      </c>
    </row>
    <row r="4">
      <c r="A4" s="2" t="inlineStr">
        <is>
          <t>Version con precios computados (Update+Share):</t>
        </is>
      </c>
    </row>
    <row r="5">
      <c r="A5" s="26" t="inlineStr">
        <is>
          <t>https://calculator.aws/#/estimate?id=0ea593458fbb3a44f0a11b361ff5b7e7261c5671</t>
        </is>
      </c>
    </row>
    <row r="7">
      <c r="A7" s="21" t="inlineStr">
        <is>
          <t>Servicio</t>
        </is>
      </c>
      <c r="B7" s="21" t="inlineStr">
        <is>
          <t>Excel (USD/mes)</t>
        </is>
      </c>
      <c r="C7" s="21" t="inlineStr">
        <is>
          <t>Calculadora (USD/mes)</t>
        </is>
      </c>
      <c r="D7" s="21" t="inlineStr">
        <is>
          <t>Dif.</t>
        </is>
      </c>
      <c r="E7" s="21" t="inlineStr">
        <is>
          <t>Nota</t>
        </is>
      </c>
    </row>
    <row r="8">
      <c r="A8" s="4" t="inlineStr">
        <is>
          <t>Lambda</t>
        </is>
      </c>
      <c r="B8" s="27" t="n">
        <v>1.4</v>
      </c>
      <c r="C8" s="27" t="n">
        <v>0</v>
      </c>
      <c r="D8" s="28">
        <f>C8-B8</f>
        <v/>
      </c>
      <c r="E8" s="29" t="inlineStr">
        <is>
          <t>Calc muestra 0 (redondeo de su vista); el valor real ~1.40 esta en el Excel</t>
        </is>
      </c>
    </row>
    <row r="9">
      <c r="A9" s="4" t="inlineStr">
        <is>
          <t>Step Functions</t>
        </is>
      </c>
      <c r="B9" s="27" t="n">
        <v>0.2</v>
      </c>
      <c r="C9" s="27" t="n">
        <v>0.1</v>
      </c>
      <c r="D9" s="30">
        <f>C9-B9</f>
        <v/>
      </c>
      <c r="E9" s="29" t="inlineStr">
        <is>
          <t>Calc aplica matiz de tier en transiciones</t>
        </is>
      </c>
    </row>
    <row r="10">
      <c r="A10" s="4" t="inlineStr">
        <is>
          <t>API Gateway</t>
        </is>
      </c>
      <c r="B10" s="27" t="n">
        <v>0</v>
      </c>
      <c r="C10" s="27" t="n">
        <v>0</v>
      </c>
      <c r="D10" s="30">
        <f>C10-B10</f>
        <v/>
      </c>
      <c r="E10" s="29" t="inlineStr">
        <is>
          <t>Ambos ~0 a este volumen</t>
        </is>
      </c>
    </row>
    <row r="11">
      <c r="A11" s="4" t="inlineStr">
        <is>
          <t>CloudWatch</t>
        </is>
      </c>
      <c r="B11" s="27" t="n">
        <v>5</v>
      </c>
      <c r="C11" s="27" t="n">
        <v>5.05</v>
      </c>
      <c r="D11" s="30">
        <f>C11-B11</f>
        <v/>
      </c>
      <c r="E11" s="29" t="inlineStr">
        <is>
          <t>Calc suma cargo fijo de almacenamiento de logs</t>
        </is>
      </c>
    </row>
    <row r="12">
      <c r="A12" s="4" t="inlineStr">
        <is>
          <t>DynamoDB</t>
        </is>
      </c>
      <c r="B12" s="27" t="n">
        <v>0.01</v>
      </c>
      <c r="C12" s="31" t="inlineStr">
        <is>
          <t>n/d</t>
        </is>
      </c>
      <c r="D12" s="22" t="inlineStr">
        <is>
          <t>-</t>
        </is>
      </c>
      <c r="E12" s="29" t="inlineStr">
        <is>
          <t>No modelado en calc (servicio sin campos expuestos); centavos</t>
        </is>
      </c>
    </row>
    <row r="13">
      <c r="A13" s="4" t="inlineStr">
        <is>
          <t>Bedrock (Sonnet)</t>
        </is>
      </c>
      <c r="B13" s="27" t="n">
        <v>21</v>
      </c>
      <c r="C13" s="27" t="n">
        <v>20.99</v>
      </c>
      <c r="D13" s="30">
        <f>C13-B13</f>
        <v/>
      </c>
      <c r="E13" s="29" t="inlineStr">
        <is>
          <t>COINCIDE (dif. por redondeo de tokens)</t>
        </is>
      </c>
    </row>
    <row r="14">
      <c r="A14" s="4" t="inlineStr">
        <is>
          <t>Secrets Manager</t>
        </is>
      </c>
      <c r="B14" s="27" t="n">
        <v>4</v>
      </c>
      <c r="C14" s="27" t="n">
        <v>4.05</v>
      </c>
      <c r="D14" s="30">
        <f>C14-B14</f>
        <v/>
      </c>
      <c r="E14" s="29" t="inlineStr">
        <is>
          <t>Calc suma llamadas API</t>
        </is>
      </c>
    </row>
    <row r="15">
      <c r="A15" s="4" t="inlineStr">
        <is>
          <t>KMS</t>
        </is>
      </c>
      <c r="B15" s="27" t="n">
        <v>1</v>
      </c>
      <c r="C15" s="27" t="n">
        <v>1.06</v>
      </c>
      <c r="D15" s="30">
        <f>C15-B15</f>
        <v/>
      </c>
      <c r="E15" s="29" t="inlineStr">
        <is>
          <t>Calc suma requests simetricas</t>
        </is>
      </c>
    </row>
    <row r="16">
      <c r="A16" s="4" t="inlineStr">
        <is>
          <t>Hosting CloudFront+S3</t>
        </is>
      </c>
      <c r="B16" s="27" t="n">
        <v>5</v>
      </c>
      <c r="C16" s="31" t="inlineStr">
        <is>
          <t>n/d</t>
        </is>
      </c>
      <c r="D16" s="22" t="inlineStr">
        <is>
          <t>-</t>
        </is>
      </c>
      <c r="E16" s="29" t="inlineStr">
        <is>
          <t>Fijo estimado; no incluido en esta estimacion de calc</t>
        </is>
      </c>
    </row>
    <row r="17">
      <c r="A17" s="12" t="inlineStr">
        <is>
          <t>TOTAL</t>
        </is>
      </c>
      <c r="B17" s="14">
        <f>SUM(B8:B16)</f>
        <v/>
      </c>
      <c r="C17" s="14">
        <f>C8+C9+C10+C11+C13+C14+C15</f>
        <v/>
      </c>
      <c r="D17" s="32" t="n"/>
      <c r="E17" s="13" t="inlineStr">
        <is>
          <t>Total calc = 31.25 (sin DynamoDB ni Hosting). Excel incluye esos dos.</t>
        </is>
      </c>
    </row>
    <row r="19">
      <c r="A19" s="15" t="inlineStr">
        <is>
          <t>Conclusion:</t>
        </is>
      </c>
      <c r="B19" s="24" t="inlineStr">
        <is>
          <t>Los componentes dominantes (Bedrock ~21, CloudWatch ~5, Secrets ~4, KMS ~1) coinciden con la calculadora de AWS con diferencias de centavos. Las diferencias restantes se explican por: (1) la calculadora muestra Lambda en 0 por redondeo de su vista; (2) hosting CloudFront+S3 y DynamoDB no se incluyeron en esa estimacion. Excel y calculadora son consistentes para decisiones.</t>
        </is>
      </c>
    </row>
    <row r="20"/>
    <row r="21"/>
  </sheetData>
  <mergeCells count="6">
    <mergeCell ref="A4:E4"/>
    <mergeCell ref="A2:E2"/>
    <mergeCell ref="A1:E1"/>
    <mergeCell ref="A5:E5"/>
    <mergeCell ref="B19:E21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2026-10-16T16:18:38Z</dcterms:created>
  <dcterms:modified xmlns:dcterms="http://purl.org/dc/terms/" xmlns:xsi="http://www.w3.org/2001/XMLSchema-instance" xsi:type="dcterms:W3CDTF">2026-10-16T16:29:07Z</dcterms:modified>
</cp:coreProperties>
</file>