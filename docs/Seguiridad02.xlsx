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alexa\Downloads\"/>
    </mc:Choice>
  </mc:AlternateContent>
  <xr:revisionPtr revIDLastSave="0" documentId="13_ncr:1_{E9A616CD-BB0C-4943-9CE1-96417D917FB1}" xr6:coauthVersionLast="47" xr6:coauthVersionMax="47" xr10:uidLastSave="{00000000-0000-0000-0000-000000000000}"/>
  <bookViews>
    <workbookView xWindow="-28920" yWindow="7485" windowWidth="29040" windowHeight="15720" xr2:uid="{00000000-000D-0000-FFFF-FFFF00000000}"/>
  </bookViews>
  <sheets>
    <sheet name="B. Seguridad" sheetId="1" r:id="rId1"/>
  </sheets>
  <definedNames>
    <definedName name="_xlnm._FilterDatabase" localSheetId="0" hidden="1">'B. Seguridad'!$A$1:$AB$66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B75" i="1" l="1"/>
  <c r="L75" i="1"/>
  <c r="B75" i="1"/>
  <c r="W74" i="1"/>
  <c r="U74" i="1"/>
  <c r="S74" i="1"/>
  <c r="Y74" i="1" s="1"/>
  <c r="X74" i="1" s="1"/>
  <c r="I74" i="1"/>
  <c r="G74" i="1"/>
  <c r="W73" i="1"/>
  <c r="U73" i="1"/>
  <c r="S73" i="1"/>
  <c r="Y73" i="1" s="1"/>
  <c r="X73" i="1" s="1"/>
  <c r="I73" i="1"/>
  <c r="G73" i="1"/>
  <c r="K73" i="1" s="1"/>
  <c r="J73" i="1" s="1"/>
  <c r="W72" i="1"/>
  <c r="U72" i="1"/>
  <c r="S72" i="1"/>
  <c r="Y72" i="1" s="1"/>
  <c r="X72" i="1" s="1"/>
  <c r="I72" i="1"/>
  <c r="G72" i="1"/>
  <c r="W71" i="1"/>
  <c r="U71" i="1"/>
  <c r="S71" i="1"/>
  <c r="I71" i="1"/>
  <c r="G71" i="1"/>
  <c r="K71" i="1" s="1"/>
  <c r="J71" i="1" s="1"/>
  <c r="W70" i="1"/>
  <c r="U70" i="1"/>
  <c r="S70" i="1"/>
  <c r="I70" i="1"/>
  <c r="G70" i="1"/>
  <c r="W69" i="1"/>
  <c r="U69" i="1"/>
  <c r="S69" i="1"/>
  <c r="I69" i="1"/>
  <c r="G69" i="1"/>
  <c r="K69" i="1" s="1"/>
  <c r="J69" i="1" s="1"/>
  <c r="W68" i="1"/>
  <c r="U68" i="1"/>
  <c r="S68" i="1"/>
  <c r="I68" i="1"/>
  <c r="G68" i="1"/>
  <c r="W67" i="1"/>
  <c r="U67" i="1"/>
  <c r="S67" i="1"/>
  <c r="I67" i="1"/>
  <c r="G67" i="1"/>
  <c r="AB66" i="1"/>
  <c r="AA66" i="1"/>
  <c r="AA75" i="1" s="1"/>
  <c r="Z66" i="1"/>
  <c r="P66" i="1"/>
  <c r="O66" i="1"/>
  <c r="N66" i="1"/>
  <c r="L66" i="1"/>
  <c r="D66" i="1"/>
  <c r="C66" i="1"/>
  <c r="B66" i="1"/>
  <c r="W65" i="1"/>
  <c r="U65" i="1"/>
  <c r="S65" i="1"/>
  <c r="I65" i="1"/>
  <c r="G65" i="1"/>
  <c r="W64" i="1"/>
  <c r="U64" i="1"/>
  <c r="S64" i="1"/>
  <c r="I64" i="1"/>
  <c r="G64" i="1"/>
  <c r="K64" i="1" s="1"/>
  <c r="J64" i="1" s="1"/>
  <c r="W63" i="1"/>
  <c r="U63" i="1"/>
  <c r="S63" i="1"/>
  <c r="I63" i="1"/>
  <c r="G63" i="1"/>
  <c r="K63" i="1" s="1"/>
  <c r="J63" i="1" s="1"/>
  <c r="W62" i="1"/>
  <c r="U62" i="1"/>
  <c r="S62" i="1"/>
  <c r="I62" i="1"/>
  <c r="G62" i="1"/>
  <c r="W61" i="1"/>
  <c r="U61" i="1"/>
  <c r="S61" i="1"/>
  <c r="I61" i="1"/>
  <c r="G61" i="1"/>
  <c r="K61" i="1" s="1"/>
  <c r="J61" i="1" s="1"/>
  <c r="W60" i="1"/>
  <c r="U60" i="1"/>
  <c r="S60" i="1"/>
  <c r="I60" i="1"/>
  <c r="G60" i="1"/>
  <c r="K60" i="1" s="1"/>
  <c r="J60" i="1" s="1"/>
  <c r="W59" i="1"/>
  <c r="U59" i="1"/>
  <c r="S59" i="1"/>
  <c r="Y59" i="1" s="1"/>
  <c r="X59" i="1" s="1"/>
  <c r="I59" i="1"/>
  <c r="G59" i="1"/>
  <c r="K59" i="1" s="1"/>
  <c r="J59" i="1" s="1"/>
  <c r="W58" i="1"/>
  <c r="U58" i="1"/>
  <c r="S58" i="1"/>
  <c r="I58" i="1"/>
  <c r="G58" i="1"/>
  <c r="AB57" i="1"/>
  <c r="AA57" i="1"/>
  <c r="Z57" i="1"/>
  <c r="P57" i="1"/>
  <c r="O57" i="1"/>
  <c r="N57" i="1"/>
  <c r="L57" i="1"/>
  <c r="D57" i="1"/>
  <c r="C57" i="1"/>
  <c r="B57" i="1"/>
  <c r="W56" i="1"/>
  <c r="U56" i="1"/>
  <c r="S56" i="1"/>
  <c r="Y56" i="1" s="1"/>
  <c r="X56" i="1" s="1"/>
  <c r="I56" i="1"/>
  <c r="G56" i="1"/>
  <c r="W55" i="1"/>
  <c r="U55" i="1"/>
  <c r="S55" i="1"/>
  <c r="I55" i="1"/>
  <c r="G55" i="1"/>
  <c r="W54" i="1"/>
  <c r="U54" i="1"/>
  <c r="S54" i="1"/>
  <c r="Y54" i="1" s="1"/>
  <c r="X54" i="1" s="1"/>
  <c r="I54" i="1"/>
  <c r="G54" i="1"/>
  <c r="K54" i="1" s="1"/>
  <c r="J54" i="1" s="1"/>
  <c r="AB53" i="1"/>
  <c r="AA53" i="1"/>
  <c r="Z53" i="1"/>
  <c r="P53" i="1"/>
  <c r="O53" i="1"/>
  <c r="N53" i="1"/>
  <c r="L53" i="1"/>
  <c r="D53" i="1"/>
  <c r="C53" i="1"/>
  <c r="B53" i="1"/>
  <c r="W52" i="1"/>
  <c r="U52" i="1"/>
  <c r="S52" i="1"/>
  <c r="I52" i="1"/>
  <c r="G52" i="1"/>
  <c r="W51" i="1"/>
  <c r="U51" i="1"/>
  <c r="S51" i="1"/>
  <c r="Y51" i="1" s="1"/>
  <c r="X51" i="1" s="1"/>
  <c r="I51" i="1"/>
  <c r="G51" i="1"/>
  <c r="W50" i="1"/>
  <c r="U50" i="1"/>
  <c r="S50" i="1"/>
  <c r="I50" i="1"/>
  <c r="G50" i="1"/>
  <c r="W49" i="1"/>
  <c r="U49" i="1"/>
  <c r="S49" i="1"/>
  <c r="I49" i="1"/>
  <c r="G49" i="1"/>
  <c r="AB48" i="1"/>
  <c r="AA48" i="1"/>
  <c r="Z48" i="1"/>
  <c r="P48" i="1"/>
  <c r="O48" i="1"/>
  <c r="N48" i="1"/>
  <c r="L48" i="1"/>
  <c r="D48" i="1"/>
  <c r="C48" i="1"/>
  <c r="B48" i="1"/>
  <c r="W47" i="1"/>
  <c r="U47" i="1"/>
  <c r="S47" i="1"/>
  <c r="Y47" i="1" s="1"/>
  <c r="X47" i="1" s="1"/>
  <c r="I47" i="1"/>
  <c r="G47" i="1"/>
  <c r="W46" i="1"/>
  <c r="U46" i="1"/>
  <c r="S46" i="1"/>
  <c r="I46" i="1"/>
  <c r="G46" i="1"/>
  <c r="W45" i="1"/>
  <c r="U45" i="1"/>
  <c r="S45" i="1"/>
  <c r="I45" i="1"/>
  <c r="G45" i="1"/>
  <c r="K45" i="1" s="1"/>
  <c r="J45" i="1" s="1"/>
  <c r="W44" i="1"/>
  <c r="U44" i="1"/>
  <c r="S44" i="1"/>
  <c r="I44" i="1"/>
  <c r="G44" i="1"/>
  <c r="AB43" i="1"/>
  <c r="AA43" i="1"/>
  <c r="Z43" i="1"/>
  <c r="P43" i="1"/>
  <c r="O43" i="1"/>
  <c r="N43" i="1"/>
  <c r="L43" i="1"/>
  <c r="D43" i="1"/>
  <c r="C43" i="1"/>
  <c r="B43" i="1"/>
  <c r="W42" i="1"/>
  <c r="U42" i="1"/>
  <c r="S42" i="1"/>
  <c r="I42" i="1"/>
  <c r="G42" i="1"/>
  <c r="K42" i="1" s="1"/>
  <c r="J42" i="1" s="1"/>
  <c r="W41" i="1"/>
  <c r="U41" i="1"/>
  <c r="S41" i="1"/>
  <c r="I41" i="1"/>
  <c r="G41" i="1"/>
  <c r="W40" i="1"/>
  <c r="U40" i="1"/>
  <c r="S40" i="1"/>
  <c r="I40" i="1"/>
  <c r="G40" i="1"/>
  <c r="W39" i="1"/>
  <c r="U39" i="1"/>
  <c r="S39" i="1"/>
  <c r="Y39" i="1" s="1"/>
  <c r="X39" i="1" s="1"/>
  <c r="I39" i="1"/>
  <c r="G39" i="1"/>
  <c r="K39" i="1" s="1"/>
  <c r="J39" i="1" s="1"/>
  <c r="W38" i="1"/>
  <c r="U38" i="1"/>
  <c r="S38" i="1"/>
  <c r="I38" i="1"/>
  <c r="G38" i="1"/>
  <c r="K38" i="1" s="1"/>
  <c r="J38" i="1" s="1"/>
  <c r="AB37" i="1"/>
  <c r="AA37" i="1"/>
  <c r="Z37" i="1"/>
  <c r="P37" i="1"/>
  <c r="O37" i="1"/>
  <c r="N37" i="1"/>
  <c r="L37" i="1"/>
  <c r="D37" i="1"/>
  <c r="C37" i="1"/>
  <c r="B37" i="1"/>
  <c r="W36" i="1"/>
  <c r="U36" i="1"/>
  <c r="S36" i="1"/>
  <c r="Y36" i="1" s="1"/>
  <c r="X36" i="1" s="1"/>
  <c r="I36" i="1"/>
  <c r="G36" i="1"/>
  <c r="W35" i="1"/>
  <c r="U35" i="1"/>
  <c r="S35" i="1"/>
  <c r="Y35" i="1" s="1"/>
  <c r="X35" i="1" s="1"/>
  <c r="I35" i="1"/>
  <c r="G35" i="1"/>
  <c r="W34" i="1"/>
  <c r="U34" i="1"/>
  <c r="S34" i="1"/>
  <c r="I34" i="1"/>
  <c r="G34" i="1"/>
  <c r="W33" i="1"/>
  <c r="U33" i="1"/>
  <c r="S33" i="1"/>
  <c r="Y33" i="1" s="1"/>
  <c r="X33" i="1" s="1"/>
  <c r="I33" i="1"/>
  <c r="G33" i="1"/>
  <c r="AB32" i="1"/>
  <c r="AA32" i="1"/>
  <c r="AA17" i="1" s="1"/>
  <c r="Z32" i="1"/>
  <c r="P32" i="1"/>
  <c r="O32" i="1"/>
  <c r="N32" i="1"/>
  <c r="L32" i="1"/>
  <c r="D32" i="1"/>
  <c r="C32" i="1"/>
  <c r="B32" i="1"/>
  <c r="W31" i="1"/>
  <c r="U31" i="1"/>
  <c r="S31" i="1"/>
  <c r="I31" i="1"/>
  <c r="G31" i="1"/>
  <c r="K31" i="1" s="1"/>
  <c r="J31" i="1" s="1"/>
  <c r="W30" i="1"/>
  <c r="U30" i="1"/>
  <c r="S30" i="1"/>
  <c r="I30" i="1"/>
  <c r="G30" i="1"/>
  <c r="K30" i="1" s="1"/>
  <c r="J30" i="1" s="1"/>
  <c r="W29" i="1"/>
  <c r="U29" i="1"/>
  <c r="S29" i="1"/>
  <c r="I29" i="1"/>
  <c r="G29" i="1"/>
  <c r="K29" i="1" s="1"/>
  <c r="J29" i="1" s="1"/>
  <c r="W28" i="1"/>
  <c r="U28" i="1"/>
  <c r="S28" i="1"/>
  <c r="I28" i="1"/>
  <c r="G28" i="1"/>
  <c r="AB27" i="1"/>
  <c r="AA27" i="1"/>
  <c r="Z27" i="1"/>
  <c r="P27" i="1"/>
  <c r="O27" i="1"/>
  <c r="N27" i="1"/>
  <c r="L27" i="1"/>
  <c r="D27" i="1"/>
  <c r="C27" i="1"/>
  <c r="B27" i="1"/>
  <c r="W26" i="1"/>
  <c r="U26" i="1"/>
  <c r="S26" i="1"/>
  <c r="I26" i="1"/>
  <c r="G26" i="1"/>
  <c r="W25" i="1"/>
  <c r="U25" i="1"/>
  <c r="S25" i="1"/>
  <c r="I25" i="1"/>
  <c r="G25" i="1"/>
  <c r="W24" i="1"/>
  <c r="U24" i="1"/>
  <c r="S24" i="1"/>
  <c r="I24" i="1"/>
  <c r="G24" i="1"/>
  <c r="K24" i="1" s="1"/>
  <c r="J24" i="1" s="1"/>
  <c r="W23" i="1"/>
  <c r="U23" i="1"/>
  <c r="S23" i="1"/>
  <c r="I23" i="1"/>
  <c r="G23" i="1"/>
  <c r="K23" i="1" s="1"/>
  <c r="J23" i="1" s="1"/>
  <c r="W22" i="1"/>
  <c r="U22" i="1"/>
  <c r="S22" i="1"/>
  <c r="I22" i="1"/>
  <c r="G22" i="1"/>
  <c r="W21" i="1"/>
  <c r="U21" i="1"/>
  <c r="S21" i="1"/>
  <c r="I21" i="1"/>
  <c r="G21" i="1"/>
  <c r="W20" i="1"/>
  <c r="U20" i="1"/>
  <c r="S20" i="1"/>
  <c r="Y20" i="1" s="1"/>
  <c r="X20" i="1" s="1"/>
  <c r="I20" i="1"/>
  <c r="G20" i="1"/>
  <c r="W19" i="1"/>
  <c r="U19" i="1"/>
  <c r="S19" i="1"/>
  <c r="Y19" i="1" s="1"/>
  <c r="X19" i="1" s="1"/>
  <c r="I19" i="1"/>
  <c r="G19" i="1"/>
  <c r="K19" i="1" s="1"/>
  <c r="J19" i="1" s="1"/>
  <c r="W18" i="1"/>
  <c r="U18" i="1"/>
  <c r="S18" i="1"/>
  <c r="I18" i="1"/>
  <c r="G18" i="1"/>
  <c r="AB17" i="1"/>
  <c r="Z17" i="1"/>
  <c r="P17" i="1"/>
  <c r="O17" i="1"/>
  <c r="N17" i="1"/>
  <c r="L17" i="1"/>
  <c r="D17" i="1"/>
  <c r="C17" i="1"/>
  <c r="B17" i="1"/>
  <c r="W16" i="1"/>
  <c r="U16" i="1"/>
  <c r="S16" i="1"/>
  <c r="I16" i="1"/>
  <c r="G16" i="1"/>
  <c r="W15" i="1"/>
  <c r="U15" i="1"/>
  <c r="S15" i="1"/>
  <c r="I15" i="1"/>
  <c r="G15" i="1"/>
  <c r="W14" i="1"/>
  <c r="U14" i="1"/>
  <c r="S14" i="1"/>
  <c r="I14" i="1"/>
  <c r="G14" i="1"/>
  <c r="K14" i="1" s="1"/>
  <c r="J14" i="1" s="1"/>
  <c r="W13" i="1"/>
  <c r="U13" i="1"/>
  <c r="S13" i="1"/>
  <c r="I13" i="1"/>
  <c r="G13" i="1"/>
  <c r="W12" i="1"/>
  <c r="U12" i="1"/>
  <c r="S12" i="1"/>
  <c r="I12" i="1"/>
  <c r="G12" i="1"/>
  <c r="W11" i="1"/>
  <c r="U11" i="1"/>
  <c r="S11" i="1"/>
  <c r="I11" i="1"/>
  <c r="G11" i="1"/>
  <c r="AB10" i="1"/>
  <c r="AA10" i="1"/>
  <c r="Z10" i="1"/>
  <c r="P10" i="1"/>
  <c r="O10" i="1"/>
  <c r="N10" i="1"/>
  <c r="L10" i="1"/>
  <c r="D10" i="1"/>
  <c r="C10" i="1"/>
  <c r="B10" i="1"/>
  <c r="W9" i="1"/>
  <c r="U9" i="1"/>
  <c r="S9" i="1"/>
  <c r="I9" i="1"/>
  <c r="G9" i="1"/>
  <c r="W8" i="1"/>
  <c r="U8" i="1"/>
  <c r="S8" i="1"/>
  <c r="Y8" i="1" s="1"/>
  <c r="X8" i="1" s="1"/>
  <c r="I8" i="1"/>
  <c r="G8" i="1"/>
  <c r="W7" i="1"/>
  <c r="U7" i="1"/>
  <c r="S7" i="1"/>
  <c r="I7" i="1"/>
  <c r="G7" i="1"/>
  <c r="W6" i="1"/>
  <c r="U6" i="1"/>
  <c r="S6" i="1"/>
  <c r="I6" i="1"/>
  <c r="G6" i="1"/>
  <c r="W5" i="1"/>
  <c r="U5" i="1"/>
  <c r="S5" i="1"/>
  <c r="I5" i="1"/>
  <c r="G5" i="1"/>
  <c r="K5" i="1" s="1"/>
  <c r="J5" i="1" s="1"/>
  <c r="W4" i="1"/>
  <c r="U4" i="1"/>
  <c r="S4" i="1"/>
  <c r="Y4" i="1" s="1"/>
  <c r="X4" i="1" s="1"/>
  <c r="I4" i="1"/>
  <c r="G4" i="1"/>
  <c r="K4" i="1" s="1"/>
  <c r="J4" i="1" s="1"/>
  <c r="W3" i="1"/>
  <c r="U3" i="1"/>
  <c r="S3" i="1"/>
  <c r="I3" i="1"/>
  <c r="G3" i="1"/>
  <c r="K3" i="1" s="1"/>
  <c r="J3" i="1" s="1"/>
  <c r="W2" i="1"/>
  <c r="U2" i="1"/>
  <c r="S2" i="1"/>
  <c r="I2" i="1"/>
  <c r="G2" i="1"/>
  <c r="AB1" i="1"/>
  <c r="AA1" i="1"/>
  <c r="Z1" i="1"/>
  <c r="P1" i="1"/>
  <c r="O1" i="1"/>
  <c r="N1" i="1"/>
  <c r="L1" i="1"/>
  <c r="D1" i="1"/>
  <c r="C1" i="1"/>
  <c r="B1" i="1"/>
  <c r="Z75" i="1" l="1"/>
  <c r="K72" i="1"/>
  <c r="J72" i="1" s="1"/>
  <c r="K25" i="1"/>
  <c r="J25" i="1" s="1"/>
  <c r="K40" i="1"/>
  <c r="J40" i="1" s="1"/>
  <c r="K55" i="1"/>
  <c r="J55" i="1" s="1"/>
  <c r="C75" i="1"/>
  <c r="D75" i="1"/>
  <c r="N75" i="1"/>
  <c r="P75" i="1"/>
  <c r="K2" i="1"/>
  <c r="J2" i="1" s="1"/>
  <c r="Y15" i="1"/>
  <c r="X15" i="1" s="1"/>
  <c r="Y25" i="1"/>
  <c r="X25" i="1" s="1"/>
  <c r="K28" i="1"/>
  <c r="J28" i="1" s="1"/>
  <c r="O75" i="1"/>
  <c r="Y65" i="1"/>
  <c r="X65" i="1" s="1"/>
  <c r="Y67" i="1"/>
  <c r="X67" i="1" s="1"/>
  <c r="K65" i="1"/>
  <c r="J65" i="1" s="1"/>
  <c r="Y34" i="1"/>
  <c r="X34" i="1" s="1"/>
  <c r="K44" i="1"/>
  <c r="J44" i="1" s="1"/>
  <c r="K7" i="1"/>
  <c r="J7" i="1" s="1"/>
  <c r="K20" i="1"/>
  <c r="J20" i="1" s="1"/>
  <c r="K36" i="1"/>
  <c r="J36" i="1" s="1"/>
  <c r="K51" i="1"/>
  <c r="J51" i="1" s="1"/>
  <c r="Y63" i="1"/>
  <c r="X63" i="1" s="1"/>
  <c r="Y6" i="1"/>
  <c r="X6" i="1" s="1"/>
  <c r="Y30" i="1"/>
  <c r="X30" i="1" s="1"/>
  <c r="Y11" i="1"/>
  <c r="X11" i="1" s="1"/>
  <c r="Y21" i="1"/>
  <c r="X21" i="1" s="1"/>
  <c r="K46" i="1"/>
  <c r="J46" i="1" s="1"/>
  <c r="Y52" i="1"/>
  <c r="X52" i="1" s="1"/>
  <c r="Y5" i="1"/>
  <c r="X5" i="1" s="1"/>
  <c r="K9" i="1"/>
  <c r="J9" i="1" s="1"/>
  <c r="K18" i="1"/>
  <c r="J18" i="1" s="1"/>
  <c r="K49" i="1"/>
  <c r="J49" i="1" s="1"/>
  <c r="K58" i="1"/>
  <c r="J58" i="1" s="1"/>
  <c r="K11" i="1"/>
  <c r="J11" i="1" s="1"/>
  <c r="Y2" i="1"/>
  <c r="X2" i="1" s="1"/>
  <c r="K6" i="1"/>
  <c r="J6" i="1" s="1"/>
  <c r="Y28" i="1"/>
  <c r="X28" i="1" s="1"/>
  <c r="K47" i="1"/>
  <c r="J47" i="1" s="1"/>
  <c r="K62" i="1"/>
  <c r="J62" i="1" s="1"/>
  <c r="Y12" i="1"/>
  <c r="X12" i="1" s="1"/>
  <c r="K16" i="1"/>
  <c r="J16" i="1" s="1"/>
  <c r="Y22" i="1"/>
  <c r="X22" i="1" s="1"/>
  <c r="K26" i="1"/>
  <c r="J26" i="1" s="1"/>
  <c r="K41" i="1"/>
  <c r="J41" i="1" s="1"/>
  <c r="K56" i="1"/>
  <c r="J56" i="1" s="1"/>
  <c r="Y40" i="1"/>
  <c r="X40" i="1" s="1"/>
  <c r="Y3" i="1"/>
  <c r="X3" i="1" s="1"/>
  <c r="Y14" i="1"/>
  <c r="X14" i="1" s="1"/>
  <c r="Y24" i="1"/>
  <c r="X24" i="1" s="1"/>
  <c r="Y41" i="1"/>
  <c r="X41" i="1" s="1"/>
  <c r="Y46" i="1"/>
  <c r="X46" i="1" s="1"/>
  <c r="Y60" i="1"/>
  <c r="X60" i="1" s="1"/>
  <c r="Y69" i="1"/>
  <c r="X69" i="1" s="1"/>
  <c r="K21" i="1"/>
  <c r="J21" i="1" s="1"/>
  <c r="K33" i="1"/>
  <c r="J33" i="1" s="1"/>
  <c r="Y49" i="1"/>
  <c r="X49" i="1" s="1"/>
  <c r="Y55" i="1"/>
  <c r="X55" i="1" s="1"/>
  <c r="K50" i="1"/>
  <c r="J50" i="1" s="1"/>
  <c r="Y61" i="1"/>
  <c r="X61" i="1" s="1"/>
  <c r="Y70" i="1"/>
  <c r="X70" i="1" s="1"/>
  <c r="Y9" i="1"/>
  <c r="X9" i="1" s="1"/>
  <c r="K12" i="1"/>
  <c r="J12" i="1" s="1"/>
  <c r="Y18" i="1"/>
  <c r="X18" i="1" s="1"/>
  <c r="K22" i="1"/>
  <c r="J22" i="1" s="1"/>
  <c r="Y31" i="1"/>
  <c r="X31" i="1" s="1"/>
  <c r="K34" i="1"/>
  <c r="J34" i="1" s="1"/>
  <c r="Y44" i="1"/>
  <c r="X44" i="1" s="1"/>
  <c r="Y50" i="1"/>
  <c r="X50" i="1" s="1"/>
  <c r="Y58" i="1"/>
  <c r="X58" i="1" s="1"/>
  <c r="Y64" i="1"/>
  <c r="X64" i="1" s="1"/>
  <c r="K67" i="1"/>
  <c r="J67" i="1" s="1"/>
  <c r="K74" i="1"/>
  <c r="J74" i="1" s="1"/>
  <c r="K52" i="1"/>
  <c r="J52" i="1" s="1"/>
  <c r="Y7" i="1"/>
  <c r="X7" i="1" s="1"/>
  <c r="Y16" i="1"/>
  <c r="X16" i="1" s="1"/>
  <c r="Y26" i="1"/>
  <c r="X26" i="1" s="1"/>
  <c r="Y45" i="1"/>
  <c r="X45" i="1" s="1"/>
  <c r="Y71" i="1"/>
  <c r="X71" i="1" s="1"/>
  <c r="K15" i="1"/>
  <c r="J15" i="1" s="1"/>
  <c r="Y42" i="1"/>
  <c r="X42" i="1" s="1"/>
  <c r="Y38" i="1"/>
  <c r="X38" i="1" s="1"/>
  <c r="K70" i="1"/>
  <c r="J70" i="1" s="1"/>
  <c r="K13" i="1"/>
  <c r="J13" i="1" s="1"/>
  <c r="Y62" i="1"/>
  <c r="X62" i="1" s="1"/>
  <c r="K68" i="1"/>
  <c r="J68" i="1" s="1"/>
  <c r="J1" i="1"/>
  <c r="K8" i="1"/>
  <c r="J8" i="1" s="1"/>
  <c r="Y13" i="1"/>
  <c r="X13" i="1" s="1"/>
  <c r="Y23" i="1"/>
  <c r="X23" i="1" s="1"/>
  <c r="Y29" i="1"/>
  <c r="X29" i="1" s="1"/>
  <c r="K35" i="1"/>
  <c r="J35" i="1" s="1"/>
  <c r="Y68" i="1"/>
  <c r="X68"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B2" authorId="0" shapeId="0" xr:uid="{00000000-0006-0000-0000-000002000000}">
      <text>
        <r>
          <rPr>
            <sz val="10"/>
            <color rgb="FF000000"/>
            <rFont val="Arial"/>
            <scheme val="minor"/>
          </rPr>
          <t>1. Colocar en la misma cuenta varias cargas de trabajo no relacionadas con diferentes niveles de confidencialidad de los datos.
2. Definir de manera insuficiente la estructura de la unidad organizativa (OU).</t>
        </r>
      </text>
    </comment>
    <comment ref="D2" authorId="0" shapeId="0" xr:uid="{00000000-0006-0000-0000-000003000000}">
      <text>
        <r>
          <rPr>
            <sz val="10"/>
            <color rgb="FF000000"/>
            <rFont val="Arial"/>
            <scheme val="minor"/>
          </rPr>
          <t>clickup/tarea</t>
        </r>
      </text>
    </comment>
    <comment ref="B3" authorId="0" shapeId="0" xr:uid="{00000000-0006-0000-0000-000004000000}">
      <text>
        <r>
          <rPr>
            <sz val="10"/>
            <color rgb="FF000000"/>
            <rFont val="Arial"/>
            <scheme val="minor"/>
          </rPr>
          <t>Utilizar el usuario raíz para llevar a cabo tareas que no se encuentran entre las pocas que requieren credenciales de usuario raíz. 
Dejar de comprobar periódicamente los planes de contingencia para verificar el funcionamiento de las infraestructuras críticas, los procesos y el personal durante una emergencia.
Considerar únicamente el flujo de inicio de sesión típico de la cuenta y olvidarse de considerar o probar métodos alternativos de recuperación de la cuenta.
No ocuparse de DNS, servidores de correo electrónico y proveedores de telefonía como parte del perímetro crítico de seguridad, ya que estos se utilizan en el flujo de recuperación de la cuenta.</t>
        </r>
      </text>
    </comment>
    <comment ref="B4" authorId="0" shapeId="0" xr:uid="{00000000-0006-0000-0000-000005000000}">
      <text>
        <r>
          <rPr>
            <sz val="10"/>
            <color rgb="FF000000"/>
            <rFont val="Arial"/>
            <scheme val="minor"/>
          </rPr>
          <t>Incomprensión por parte de la empresa de los requisitos normativos, las expectativas del mercado y los estándares del sector en cuanto al control de la seguridad.
Alineación incorrecta de los marcos de ciberseguridad y los objetivos de control con los requisitos de la empresa.
Ausencia de una correspondencia estrecha y medible entre la implementación de los controles y los objetivos de control.
Falta de uso de la automatización para informar sobre la eficacia de los controles.</t>
        </r>
      </text>
    </comment>
    <comment ref="B5" authorId="0" shapeId="0" xr:uid="{00000000-0006-0000-0000-000006000000}">
      <text>
        <r>
          <rPr>
            <sz val="10"/>
            <color rgb="FF000000"/>
            <rFont val="Arial"/>
            <scheme val="minor"/>
          </rPr>
          <t>No disponer de un mecanismo fiable y repetible para mantenerse al día de la información más reciente sobre amenazas.
Mantener un inventario manual de su cartera de tecnología, cargas de trabajo y dependencias que requiera una revisión humana para detectar posibles vulnerabilidades y exposiciones.
No disponer de mecanismos para actualizar sus cargas de trabajo y dependencias a las versiones más recientes disponibles que incluyan mitigaciones de amenazas conocidas.</t>
        </r>
      </text>
    </comment>
    <comment ref="B6" authorId="0" shapeId="0" xr:uid="{00000000-0006-0000-0000-000007000000}">
      <text>
        <r>
          <rPr>
            <sz val="10"/>
            <color rgb="FF000000"/>
            <rFont val="Arial"/>
            <scheme val="minor"/>
          </rPr>
          <t>Implementar cargas de trabajo sin comprender a fondo el modelo de responsabilidad compartida para los servicios que seleccione.
Alojar bases de datos y otras tecnologías en máquinas virtuales sin haber evaluado un servicio administrado equivalente.
No incluir las tareas de administración de la seguridad en el costo total de la propiedad de las tecnologías de host en máquinas virtuales en comparación con las opciones de servicios administrados.</t>
        </r>
      </text>
    </comment>
    <comment ref="B7" authorId="0" shapeId="0" xr:uid="{00000000-0006-0000-0000-000008000000}">
      <text>
        <r>
          <rPr>
            <sz val="10"/>
            <color rgb="FF000000"/>
            <rFont val="Arial"/>
            <scheme val="minor"/>
          </rPr>
          <t xml:space="preserve">Hacer cambios en los controles de seguridad estándar de forma manual, mediante una consola web o una interfaz de línea de comandos.
Confiar en los equipos de carga de trabajo individuales para implementar manualmente los controles que define un equipo central.
Confiar en un equipo de seguridad central para implementar controles en el nivel de la carga de trabajo a petición de un equipo de carga de trabajo.
Permitir que las mismas personas o equipos desarrollen, prueben e implementen scripts de automatización del control de seguridad sin una separación adecuada de funciones ni de controles y contrapesos. 
</t>
        </r>
      </text>
    </comment>
    <comment ref="B9" authorId="0" shapeId="0" xr:uid="{00000000-0006-0000-0000-000009000000}">
      <text>
        <r>
          <rPr>
            <sz val="10"/>
            <color rgb="FF000000"/>
            <rFont val="Arial"/>
            <scheme val="minor"/>
          </rPr>
          <t>No se suscribe a blogs de AWS y fuentes RSS para enterarse rápidamente de las nuevas características y servicios pertinentes.
Confía en las noticias y actualizaciones sobre los servicios y características de seguridad de fuentes de segunda mano
No fomenta entre los usuarios de AWS de su organización a mantenerse al día de las últimas actualizaciones</t>
        </r>
      </text>
    </comment>
    <comment ref="B11" authorId="0" shapeId="0" xr:uid="{00000000-0006-0000-0000-00000A000000}">
      <text>
        <r>
          <rPr>
            <sz val="10"/>
            <color rgb="FF000000"/>
            <rFont val="Arial"/>
            <scheme val="minor"/>
          </rPr>
          <t>No aplicar una política de contraseñas segura para sus identidades que incluya contraseñas complejas y MFA.
Compartir las mismas credenciales entre diferentes usuarios.
No utilizar controles de detección de inicios de sesión sospechosos.</t>
        </r>
      </text>
    </comment>
    <comment ref="B12" authorId="0" shapeId="0" xr:uid="{00000000-0006-0000-0000-00000B000000}">
      <text>
        <r>
          <rPr>
            <sz val="10"/>
            <color rgb="FF000000"/>
            <rFont val="Arial"/>
            <scheme val="minor"/>
          </rPr>
          <t>No rotar las credenciales.
Almacenar credenciales a largo plazo en el código fuente o en archivos de configuración.
Almacenar credenciales en reposo sin cifrar.</t>
        </r>
      </text>
    </comment>
    <comment ref="B13" authorId="0" shapeId="0" xr:uid="{00000000-0006-0000-0000-00000C000000}">
      <text>
        <r>
          <rPr>
            <sz val="10"/>
            <color rgb="FF000000"/>
            <rFont val="Arial"/>
            <scheme val="minor"/>
          </rPr>
          <t>No rotar las credenciales.
Almacenar credenciales a largo plazo en el código fuente o en archivos de configuración.
Almacenar credenciales en reposo sin cifrar.</t>
        </r>
      </text>
    </comment>
    <comment ref="B14" authorId="0" shapeId="0" xr:uid="{00000000-0006-0000-0000-00000D000000}">
      <text>
        <r>
          <rPr>
            <sz val="10"/>
            <color rgb="FF000000"/>
            <rFont val="Arial"/>
            <scheme val="minor"/>
          </rPr>
          <t>No utiliza la federación ni el inicio de sesión único. Los usuarios de la plantilla crean cuentas de usuario y credenciales independientes en diversas aplicaciones y sistemas.
No ha automatizado el ciclo de vida de las identidades de los usuarios de la plantilla, por ejemplo, no ha integrado su proveedor de identidades en sus sistemas de recursos humanos. Cuando un usuario abandona la organización o cambia de rol, se sigue un proceso manual para eliminar o actualizar sus registros en varias aplicaciones y sistemas.</t>
        </r>
      </text>
    </comment>
    <comment ref="B15" authorId="0" shapeId="0" xr:uid="{00000000-0006-0000-0000-00000E000000}">
      <text>
        <r>
          <rPr>
            <sz val="10"/>
            <color rgb="FF000000"/>
            <rFont val="Arial"/>
            <scheme val="minor"/>
          </rPr>
          <t>No auditar el uso de credenciales.
Utilizar credenciales de larga duración de forma innecesaria.
Utilizar credenciales de larga duración y no rotarlas regularmente.</t>
        </r>
      </text>
    </comment>
    <comment ref="B16" authorId="0" shapeId="0" xr:uid="{00000000-0006-0000-0000-00000F000000}">
      <text>
        <r>
          <rPr>
            <sz val="10"/>
            <color rgb="FF000000"/>
            <rFont val="Arial"/>
            <scheme val="minor"/>
          </rPr>
          <t>Administrar los permisos de usuarios individuales y duplicarlos para muchos usuarios.
Definir grupos en un nivel demasiado alto y conceder permisos demasiado amplios.
Definir grupos en un nivel demasiado detallado, lo que crea duplicación y confusión en torno a la pertenencia a dichos grupos.
Usar grupos con permisos duplicados en diversos subconjuntos de recursos cuando, en su lugar, se pueden usar atributos.
No administrar grupos, atributos y pertenencias a grupos con un proveedor de identidades estandarizado integrado con sus entornos de AWS.
Usar encadenamiento de roles al utilizar las sesiones del AWS IAM Identity Center.</t>
        </r>
      </text>
    </comment>
    <comment ref="B18" authorId="0" shapeId="0" xr:uid="{00000000-0006-0000-0000-000010000000}">
      <text>
        <r>
          <rPr>
            <sz val="10"/>
            <color rgb="FF000000"/>
            <rFont val="Arial"/>
            <scheme val="minor"/>
          </rPr>
          <t>Codificar de forma rígida o almacenar secretos en la aplicación.
Conceder permisos personalizados para cada usuario.
Utilizar credenciales de larga duración.</t>
        </r>
      </text>
    </comment>
    <comment ref="B19" authorId="0" shapeId="0" xr:uid="{00000000-0006-0000-0000-000011000000}">
      <text>
        <r>
          <rPr>
            <sz val="10"/>
            <color rgb="FF000000"/>
            <rFont val="Arial"/>
            <scheme val="minor"/>
          </rPr>
          <t>Concede permisos de administrador a los usuarios de forma predeterminada.
Utiliza la cuenta de usuario raíz para tareas cotidianas.
Crea políticas demasiado permisivas sin un alcance adecuado.
Revisa sus permisos con poca frecuencia, lo que provoca un aumento excesivo de los permisos.
Aísla el entorno o gestiona los permisos basándose exclusivamente en un control de acceso basado en atributos.</t>
        </r>
      </text>
    </comment>
    <comment ref="B20" authorId="0" shapeId="0" xr:uid="{00000000-0006-0000-0000-000012000000}">
      <text>
        <r>
          <rPr>
            <sz val="10"/>
            <color rgb="FF000000"/>
            <rFont val="Arial"/>
            <scheme val="minor"/>
          </rPr>
          <t>No tiene procesos de acceso de emergencia bien documentados y probados. Cuando los usuarios no están preparados para emergencias, siguen procesos improvisados cuando estas se producen.
Tener procesos de acceso de emergencia que dependan de los mismos sistemas (como un proveedor de identidades centralizado) que sus mecanismos de acceso normales. Esto significa que el error de un sistema de este tipo podría afectar tanto a sus mecanismos de acceso normales como a los de emergencia y, por lo tanto, repercutir en la capacidad para recuperarse del error.
Se utilizan los procesos de acceso de emergencia en situaciones que no son de emergencia. Por ejemplo, los usuarios suelen hacer un uso inapropiado de los procesos de acceso de emergencia, ya que les resulta más fácil hacer cambios directamente que enviarlos a través de una canalización.
Tener procesos de acceso de emergencia que no generan registros suficientes para auditar los procesos o no supervisar los registros para alertar de un posible uso indebido de los procesos.</t>
        </r>
      </text>
    </comment>
    <comment ref="B21" authorId="0" shapeId="0" xr:uid="{00000000-0006-0000-0000-000013000000}">
      <text>
        <r>
          <rPr>
            <sz val="10"/>
            <color rgb="FF000000"/>
            <rFont val="Arial"/>
            <scheme val="minor"/>
          </rPr>
          <t>Conceder permisos de administrador a los usuarios de forma predeterminada.
Crear políticas excesivamente permisivas, pero sin todos los privilegios de administrador.
Mantener políticas de permisos después de que ya no son necesarias.</t>
        </r>
      </text>
    </comment>
    <comment ref="B22" authorId="0" shapeId="0" xr:uid="{00000000-0006-0000-0000-000014000000}">
      <text>
        <r>
          <rPr>
            <sz val="10"/>
            <color rgb="FF000000"/>
            <rFont val="Arial"/>
            <scheme val="minor"/>
          </rPr>
          <t>Crear Cuentas de AWS de miembros dentro de una organización de AWS, pero no usar SCP para restringir el uso y los permisos disponibles para sus credenciales raíz.
Asignar permisos según el principio de privilegio mínimo, pero sin aplicar barreras de protección al conjunto máximo de permisos que se pueden conceder.
Confiar en el principio de denegación implícita de AWS IAM para restringir los permisos y esperar que las políticas no concedan un permiso explícito no deseado.
Ejecutar varios entornos de carga de trabajo en la misma Cuenta de AWS y, a continuación, recurrir a mecanismos como las VPC, las etiquetas o las políticas de recursos para hacer cumplir los límites de los permisos.</t>
        </r>
      </text>
    </comment>
    <comment ref="B23" authorId="0" shapeId="0" xr:uid="{00000000-0006-0000-0000-000015000000}">
      <text>
        <r>
          <rPr>
            <sz val="10"/>
            <color rgb="FF000000"/>
            <rFont val="Arial"/>
            <scheme val="minor"/>
          </rPr>
          <t>Concede privilegios de acceso excesivos o amplios a las identidades por adelantado, más allá de lo que se requiere inicialmente.
No revisa ni ajusta los privilegios de acceso, a medida que los cargos y las responsabilidades cambian con el tiempo.
Deja identidades inactivas o terminadas con privilegios de acceso activos. Esto aumenta el riesgo de acceso no autorizado.
No aprovecha la automatización para gestionar el ciclo de vida de las identidades.</t>
        </r>
      </text>
    </comment>
    <comment ref="B24" authorId="0" shapeId="0" xr:uid="{00000000-0006-0000-0000-000016000000}">
      <text>
        <r>
          <rPr>
            <sz val="10"/>
            <color rgb="FF000000"/>
            <rFont val="Arial"/>
            <scheme val="minor"/>
          </rPr>
          <t>No mantener un inventario de los recursos compartidos.
No seguir un proceso para aprobar el acceso público o entre cuentas a los recursos.</t>
        </r>
      </text>
    </comment>
    <comment ref="B25" authorId="0" shapeId="0" xr:uid="{00000000-0006-0000-0000-000017000000}">
      <text>
        <r>
          <rPr>
            <sz val="10"/>
            <color rgb="FF000000"/>
            <rFont val="Arial"/>
            <scheme val="minor"/>
          </rPr>
          <t>Falta de un proceso para supervisar continuamente y alertar automáticamente sobre un uso compartido externo inesperado.
Falta de una referencia sobre lo que se debe compartir y lo que no.
Adoptar de manera predeterminada una política muy abierta en lugar de compartir explícitamente cuando es necesario.
Crear manualmente recursos fundamentales que se solapan cuando es necesario.</t>
        </r>
      </text>
    </comment>
    <comment ref="B26" authorId="0" shapeId="0" xr:uid="{00000000-0006-0000-0000-000018000000}">
      <text>
        <r>
          <rPr>
            <sz val="10"/>
            <color rgb="FF000000"/>
            <rFont val="Arial"/>
            <scheme val="minor"/>
          </rPr>
          <t>Utilizar la política de confianza de IAM predeterminada sin ninguna condición.
Utilizar claves de acceso y credenciales de IAM a largo plazo.
Reutilizar ID externos.</t>
        </r>
      </text>
    </comment>
    <comment ref="B28" authorId="0" shapeId="0" xr:uid="{00000000-0006-0000-0000-000019000000}">
      <text>
        <r>
          <rPr>
            <sz val="10"/>
            <color rgb="FF000000"/>
            <rFont val="Arial"/>
            <scheme val="minor"/>
          </rPr>
          <t>Almacenar los registros de forma indefinida o eliminarlos demasiado pronto.
Todo el mundo puede acceder a los registros.
Depender por completo de procesos manuales para la gobernanza y el uso de los registros.
Almacenar todos y cada uno de los tipos de registros por si fueran necesarios.
Comprobar la integridad de los registros solo cuando es necesario.</t>
        </r>
      </text>
    </comment>
    <comment ref="B29" authorId="0" shapeId="0" xr:uid="{00000000-0006-0000-0000-00001A000000}">
      <text>
        <r>
          <rPr>
            <sz val="10"/>
            <color rgb="FF000000"/>
            <rFont val="Arial"/>
            <scheme val="minor"/>
          </rPr>
          <t>Los equipos tienen y administran de forma independiente registros y recopilaciones de métricas que no se ajustan a la estrategia de registro de la organización.
Los equipos no tienen controles de acceso adecuados para restringir la visibilidad y la alteración de los datos recopilados.
Los equipos no gestionan sus registros, resultados y métricas de seguridad como parte de su política de clasificación de datos.
Los equipos no tienen en cuenta los requisitos de soberanía y localización de los datos al configurar las recopilaciones de datos.</t>
        </r>
      </text>
    </comment>
    <comment ref="B30" authorId="0" shapeId="0" xr:uid="{00000000-0006-0000-0000-00001B000000}">
      <text>
        <r>
          <rPr>
            <sz val="10"/>
            <color rgb="FF000000"/>
            <rFont val="Arial"/>
            <scheme val="minor"/>
          </rPr>
          <t>Existen grupos de personas distintos que investigan los resultados y alertas generados por los diferentes sistemas, a menos que los requisitos de separación de funciones exijan lo contrario.  
Canalizar en la organización todos los datos de alertas y resultados de seguridad a ubicaciones estándar, pero con la necesidad de que los investigadores lleven a cabo una correlación y un enriquecimiento manuales.
Confiar únicamente en la inteligencia de los sistemas de detección de amenazas para informar sobre los resultados y establecer el nivel de gravedad.</t>
        </r>
      </text>
    </comment>
    <comment ref="B31" authorId="0" shapeId="0" xr:uid="{00000000-0006-0000-0000-00001C000000}">
      <text>
        <r>
          <rPr>
            <sz val="10"/>
            <color rgb="FF000000"/>
            <rFont val="Arial"/>
            <scheme val="minor"/>
          </rPr>
          <t>Implementar la automatización, pero no verificar ni validar minuciosamente las acciones de corrección. Esto puede tener consecuencias imprevistas, como obstaculizar las operaciones empresariales legítimas o provocar inestabilidad en el sistema.
Mejorar los tiempos de respuesta y los procedimientos mediante la automatización, pero sin contar con la supervisión y los mecanismos adecuados que permitan la intervención y la decisión de un humano en los casos necesarios.
Confiar únicamente en las correcciones, en lugar de incluirlas como parte de un programa más amplio de respuesta y recuperación ante incidentes.</t>
        </r>
      </text>
    </comment>
    <comment ref="B33" authorId="0" shapeId="0" xr:uid="{00000000-0006-0000-0000-00001D000000}">
      <text>
        <r>
          <rPr>
            <sz val="10"/>
            <color rgb="FF000000"/>
            <rFont val="Arial"/>
            <scheme val="minor"/>
          </rPr>
          <t>Crea todos los recursos en una única VPC o subred.
Desarrolla las capas de red sin tener en cuenta los requisitos de confidencialidad de los datos, el comportamiento de los componentes o la funcionalidad.
Utiliza las VPC y las subredes de forma predeterminada para todas las consideraciones sobre las capas de red y no tener en cuenta la forma en que los servicios administrados de AWS influyen en la topología.</t>
        </r>
      </text>
    </comment>
    <comment ref="B34" authorId="0" shapeId="0" xr:uid="{00000000-0006-0000-0000-00001E000000}">
      <text>
        <r>
          <rPr>
            <sz val="10"/>
            <color rgb="FF000000"/>
            <rFont val="Arial"/>
            <scheme val="minor"/>
          </rPr>
          <t>Adoptar un enfoque de seguridad de red basado en el perímetro y controlar solamente el flujo de tráfico dentro de los límites de las capas de red.
Dar por sentado que todo el tráfico dentro de una capa de red está autenticado y autorizado.
Aplicar controles para el tráfico de entrada o de salida, pero no para ambos.
Confiar solo en los componentes de la carga de trabajo y los controles de red para autenticar y autorizar el tráfico.</t>
        </r>
      </text>
    </comment>
    <comment ref="B35" authorId="0" shapeId="0" xr:uid="{00000000-0006-0000-0000-00001F000000}">
      <text>
        <r>
          <rPr>
            <sz val="10"/>
            <color rgb="FF000000"/>
            <rFont val="Arial"/>
            <scheme val="minor"/>
          </rPr>
          <t>Confiar únicamente en las reglas de firewall basadas en puertos y protocolos. No aprovechar los sistemas inteligentes.
Crear reglas de firewall sobre la base de patrones de amenazas actuales específicos sujetos a cambios.
Inspeccionar únicamente el tráfico cuando fluye de subredes privadas a públicas, o de subredes públicas a Internet.
No tener una visión básica del tráfico de la red para comparar las anomalías de comportamiento.</t>
        </r>
      </text>
    </comment>
    <comment ref="B36" authorId="0" shapeId="0" xr:uid="{00000000-0006-0000-0000-000020000000}">
      <text>
        <r>
          <rPr>
            <sz val="10"/>
            <color rgb="FF000000"/>
            <rFont val="Arial"/>
            <scheme val="minor"/>
          </rPr>
          <t>Confiar en que los equipos de cada carga de trabajo definan individualmente toda su pila de red, sus protecciones y sus automatizaciones.  No publicar los aspectos estándares de la pila de red y las protecciones de forma centralizada para que los consuman los equipos de carga de trabajo.
Confiar en un equipo de red central para definir todos los aspectos de la red, las protecciones y las automatizaciones.  No delegar los aspectos específicos de la carga de trabajo de la pila de red y las protecciones al equipo de esa carga de trabajo.
Lograr el equilibrio adecuado entre la centralización y la delegación entre un equipo de red y los equipos de las cargas de trabajo, pero no aplicar estándares de prueba e implementación uniformes en todas las plantillas de IaC y las canalizaciones de CI/CD.  No recoger las configuraciones requeridas en herramientas que comprueben si las plantillas se ajustan a dichas configuraciones.</t>
        </r>
      </text>
    </comment>
    <comment ref="B38" authorId="0" shapeId="0" xr:uid="{00000000-0006-0000-0000-000021000000}">
      <text>
        <r>
          <rPr>
            <sz val="10"/>
            <color rgb="FF000000"/>
            <rFont val="Arial"/>
            <scheme val="minor"/>
          </rPr>
          <t>No disponer de un programa de administración de vulnerabilidades.
Aplicar parches en el sistema sin tener en cuenta la gravedad o la forma de evitar riesgos.
Utilizar software que haya superado la fecha de fin de vida útil (EOL) de su proveedor.
Implementar código en producción antes de analizarlo en busca de problemas de seguridad.</t>
        </r>
      </text>
    </comment>
    <comment ref="B39" authorId="0" shapeId="0" xr:uid="{00000000-0006-0000-0000-000022000000}">
      <text>
        <r>
          <rPr>
            <sz val="10"/>
            <color rgb="FF000000"/>
            <rFont val="Arial"/>
            <scheme val="minor"/>
          </rPr>
          <t>Adquirir imágenes y bibliotecas de registros fiables, pero no verificar su firma ni analizar las vulnerabilidades antes de utilizarlas.
Reforzar las imágenes, pero no probarlas con regularidad para detectar nuevas vulnerabilidades ni actualizarlas a la versión más reciente.
Instalar o no eliminar paquetes de software que no sean necesarios durante el ciclo de vida esperado de la imagen.
Confiar únicamente en los parches para mantener actualizados los recursos de computación de producción. El uso de parches por sí solo puede seguir haciendo que los recursos de computación diverjan del estándar reforzado con el paso del tiempo. También es posible que el uso de parches no elimine el malware que un actor de amenazas pueda haber instalado durante un evento de seguridad.</t>
        </r>
      </text>
    </comment>
    <comment ref="B40" authorId="0" shapeId="0" xr:uid="{00000000-0006-0000-0000-000023000000}">
      <text>
        <r>
          <rPr>
            <sz val="10"/>
            <color rgb="FF000000"/>
            <rFont val="Arial"/>
            <scheme val="minor"/>
          </rPr>
          <t>Acceso interactivo a instancias de Amazon EC2 con protocolos como SSH o RDP.
Mantener inicios de sesión de los usuarios individuales, como /etc/passwd o los usuarios locales de Windows.
Compartir una contraseña o una clave privada para acceder a una instancia entre varios usuarios.
Instalar el software y crear o actualizar los archivos de configuración manualmente.
Actualizar o parchear el software manualmente.
Iniciar sesión en una instancia para solucionar problemas.</t>
        </r>
      </text>
    </comment>
    <comment ref="B41" authorId="0" shapeId="0" xr:uid="{00000000-0006-0000-0000-000024000000}">
      <text>
        <r>
          <rPr>
            <sz val="10"/>
            <color rgb="FF000000"/>
            <rFont val="Arial"/>
            <scheme val="minor"/>
          </rPr>
          <t xml:space="preserve">Confiar en los sitios web de proveedores acreditados para obtener artefactos de software, pero ignorar los avisos de caducidad de los certificados.  Continuar con las descargas sin confirmar que los certificados son válidos.
Validar los certificados de los sitios web de los proveedores, pero no verificar criptográficamente los artefactos descargados de estos sitios web.
Confiar únicamente en resúmenes o hashes para validar la integridad del software.  Los hashes establecen que los artefactos no se han modificado con respecto a la versión original, pero no validan su fuente.
No firmar su propio software, código o bibliotecas, aunque solo los utilice en sus propias implementaciones. Confiar en los sitios web de proveedores acreditados para obtener artefactos de software, pero ignorar los avisos de caducidad de los certificados.  Continuar con las descargas sin confirmar que los certificados son válidos.
Validar los certificados de los sitios web de los proveedores, pero no verificar criptográficamente los artefactos descargados de estos sitios web.
Confiar únicamente en resúmenes o hashes para validar la integridad del software.  Los hashes establecen que los artefactos no se han modificado con respecto a la versión original, pero no validan su fuente.
No firmar su propio software, código o bibliotecas, aunque solo los utilice en sus propias implementaciones. </t>
        </r>
      </text>
    </comment>
    <comment ref="B42" authorId="0" shapeId="0" xr:uid="{00000000-0006-0000-0000-000025000000}">
      <text>
        <r>
          <rPr>
            <sz val="10"/>
            <color rgb="FF000000"/>
            <rFont val="Arial"/>
            <scheme val="minor"/>
          </rPr>
          <t>Seguir la práctica de una infraestructura inmutable sin contar con una solución para la instalación de parches de emergencia o la sustitución de sistemas de producción.
Usar la automatización para corregir los recursos mal configurados sin contar con un mecanismo de anulación manual.  Es posible que surjan situaciones en las que necesite ajustar los requisitos y tenga que suspender las automatizaciones hasta haber hecho estos cambios.</t>
        </r>
      </text>
    </comment>
    <comment ref="B44" authorId="0" shapeId="0" xr:uid="{00000000-0006-0000-0000-000026000000}">
      <text>
        <r>
          <rPr>
            <sz val="10"/>
            <color rgb="FF000000"/>
            <rFont val="Arial"/>
            <scheme val="minor"/>
          </rPr>
          <t>No contar con una política formal de clasificación de datos para definir los niveles de confidencialidad de los datos y sus requisitos de tratamiento
No comprender bien los niveles de confidencialidad de los datos dentro de su carga de trabajo y no reflejar esta información en la documentación de la arquitectura y las operaciones
No aplicar los controles adecuados en torno a sus datos en función de su confidencialidad y sus requisitos, tal como se describe en su política de clasificación y tratamiento de datos
No proporcionar comentarios sobre los requisitos de clasificación y tratamiento de datos a los propietarios de las políticas.</t>
        </r>
      </text>
    </comment>
    <comment ref="B45" authorId="0" shapeId="0" xr:uid="{00000000-0006-0000-0000-000027000000}">
      <text>
        <r>
          <rPr>
            <sz val="10"/>
            <color rgb="FF000000"/>
            <rFont val="Arial"/>
            <scheme val="minor"/>
          </rPr>
          <t>Aplicar el mismo nivel de controles de protección a todos los datos. Esto puede provocar un aprovisionamiento excesivo de controles de seguridad para datos con un bajo nivel de confidencialidad o una protección insuficiente de los datos altamente confidenciales.
No implicar a las partes interesadas pertinentes de los equipos de seguridad, de cumplimiento y de empresa al definir los controles de protección de datos.
Pasar por alto los gastos operativos y los costos asociados con la implementación y el mantenimiento de los controles de protección de datos.
No llevar a cabo revisiones periódicas del control de protección de datos para mantener la alineación con las políticas de clasificación.
No tener un inventario completo de dónde se encuentran los datos en reposo y en tránsito.</t>
        </r>
      </text>
    </comment>
    <comment ref="B46" authorId="0" shapeId="0" xr:uid="{00000000-0006-0000-0000-000028000000}">
      <text>
        <r>
          <rPr>
            <sz val="10"/>
            <color rgb="FF000000"/>
            <rFont val="Arial"/>
            <scheme val="minor"/>
          </rPr>
          <t>Confiar únicamente en procesos manuales para la identificación y clasificación de datos, que pueden ser propensos a errores y requerir mucho tiempo.  Esto puede provocar una clasificación de datos ineficiente e incoherente, especialmente a medida que aumentan los volúmenes de datos.
No disponer de mecanismos para rastrear y administrar los activos de datos en toda la organización.
Pasar por alto la necesidad de supervisar y clasificar continuamente los datos a medida que circulan y evolucionan dentro de la organización.</t>
        </r>
      </text>
    </comment>
    <comment ref="B47" authorId="0" shapeId="0" xr:uid="{00000000-0006-0000-0000-000029000000}">
      <text>
        <r>
          <rPr>
            <sz val="10"/>
            <color rgb="FF000000"/>
            <rFont val="Arial"/>
            <scheme val="minor"/>
          </rPr>
          <t>Implementar un enfoque único para la administración del ciclo de vida de los datos, sin tener en cuenta los diferentes niveles de confidencialidad y los requisitos de acceso.
Plantearse la administración del ciclo de vida únicamente desde la perspectiva de los datos utilizables o de los datos para los que existan copias de seguridad, pero no desde ambas perspectivas.
Dar por sentado que los datos que han llegado a la carga de trabajo son válidos, sin determinar su valor o procedencia.
Confiar en la durabilidad de los datos como alternativa a hacer copias de seguridad y protegerlos.
Retener los datos más allá de su plazo de utilidad y del periodo de retención requerido.</t>
        </r>
      </text>
    </comment>
    <comment ref="B49" authorId="0" shapeId="0" xr:uid="{00000000-0006-0000-0000-00002A000000}">
      <text>
        <r>
          <rPr>
            <sz val="10"/>
            <color rgb="FF000000"/>
            <rFont val="Arial"/>
            <scheme val="minor"/>
          </rPr>
          <t>Acceso humano a material de claves no cifrado.
Crear algoritmos criptográficos personalizados.
Permisos demasiado amplios para acceder a material de claves.</t>
        </r>
      </text>
    </comment>
    <comment ref="B50" authorId="0" shapeId="0" xr:uid="{00000000-0006-0000-0000-00002B000000}">
      <text>
        <r>
          <rPr>
            <sz val="10"/>
            <color rgb="FF000000"/>
            <rFont val="Arial"/>
            <scheme val="minor"/>
          </rPr>
          <t>No utilizar configuraciones para que el cifrado se haga de forma predeterminada.
Proporcionar un acceso demasiado permisivo a las claves de descifrado.
No supervisar el uso de las claves de cifrado y descifrado.
Almacenar datos sin cifrar.
Utilizar la misma clave de cifrado para todos los datos, independientemente de su uso, tipos y clasificación.</t>
        </r>
      </text>
    </comment>
    <comment ref="B51" authorId="0" shapeId="0" xr:uid="{00000000-0006-0000-0000-00002C000000}">
      <text>
        <r>
          <rPr>
            <sz val="10"/>
            <color rgb="FF000000"/>
            <rFont val="Arial"/>
            <scheme val="minor"/>
          </rPr>
          <t>No tener en cuenta las opciones de habilitar el cifrado de forma predeterminada, cuando sea posible.
No tener en cuenta los eventos de seguridad, además de los eventos operativos, al formular una estrategia automatizada de copias de seguridad y recuperación.
No aplicar la configuración de acceso público a los servicios de almacenamiento.
No supervisar ni auditar los controles para proteger los datos en reposo.</t>
        </r>
      </text>
    </comment>
    <comment ref="B52" authorId="0" shapeId="0" xr:uid="{00000000-0006-0000-0000-00002D000000}">
      <text>
        <r>
          <rPr>
            <sz val="10"/>
            <color rgb="FF000000"/>
            <rFont val="Arial"/>
            <scheme val="minor"/>
          </rPr>
          <t>Almacenar juntos datos con diferentes requisitos de confidencialidad o clasificación.
Utilizar permisos demasiado permisivos en las claves de descifrado.
Clasificar incorrectamente los datos.
No conservar copias de seguridad detalladas de los datos importantes.
Proporcionar acceso persistente a los datos de producción.
No auditar el acceso a los datos ni revisar periódicamente los permisos.</t>
        </r>
      </text>
    </comment>
    <comment ref="B54" authorId="0" shapeId="0" xr:uid="{00000000-0006-0000-0000-00002E000000}">
      <text>
        <r>
          <rPr>
            <sz val="10"/>
            <color rgb="FF000000"/>
            <rFont val="Arial"/>
            <scheme val="minor"/>
          </rPr>
          <t>Seguir pasos manuales durante los procesos de implementación o renovación del certificado.
No prestar suficiente atención a la jerarquía de la autoridad de certificación (CA) al diseñar una CA privada.
Usar certificados autofirmados para recursos públicos.</t>
        </r>
      </text>
    </comment>
    <comment ref="B55" authorId="0" shapeId="0" xr:uid="{00000000-0006-0000-0000-00002F000000}">
      <text>
        <r>
          <rPr>
            <sz val="10"/>
            <color rgb="FF000000"/>
            <rFont val="Arial"/>
            <scheme val="minor"/>
          </rPr>
          <t>Utilizar versiones de SSL, TLS y componentes del conjunto de cifrado obsoletos (por ejemplo, SSL v3.0, claves RSA de 1024 bits y cifrado RC4).
Permitir tráfico no cifrado (HTTP) hacia o desde recursos destinados al público.
No supervisar y sustituir los certificados X.509 antes de que caduquen.
Utilizar certificados X.509 autofirmados para TLS.</t>
        </r>
      </text>
    </comment>
    <comment ref="B56" authorId="0" shapeId="0" xr:uid="{00000000-0006-0000-0000-000030000000}">
      <text>
        <r>
          <rPr>
            <sz val="10"/>
            <color rgb="FF000000"/>
            <rFont val="Arial"/>
            <scheme val="minor"/>
          </rPr>
          <t>Tener tráfico no cifrado o no autenticado en la carga de trabajo.
Reutilizar credenciales de autenticación para varios usuarios o entidades.
Confiar únicamente en los controles de red como mecanismo de control de acceso.
Crear un mecanismo de autenticación personalizado en lugar de confiar en los mecanismos de autenticación estándar del sector.
Tener un tráfico excesivamente permisivo entre los componentes del servicio u otros recursos de la VPC.</t>
        </r>
      </text>
    </comment>
    <comment ref="B58" authorId="0" shapeId="0" xr:uid="{00000000-0006-0000-0000-000031000000}">
      <text>
        <r>
          <rPr>
            <sz val="10"/>
            <color rgb="FF000000"/>
            <rFont val="Arial"/>
            <scheme val="minor"/>
          </rPr>
          <t>No mantener una lista actualizada del personal clave con información de contacto, sus cargos y responsabilidades al responder a los eventos de seguridad.
Dar por sentada una comprensión general de las personas, las dependencias, la infraestructura y las soluciones pertinentes a la hora de responder a un evento y recuperarse de él. 
No contar con un repositorio de documentos o conocimientos relacionados con la infraestructura clave o el diseño de aplicaciones.
No disponer de procesos de incorporación adecuados para que los nuevos empleados contribuyan de manera eficaz a la respuesta a un evento de seguridad, como llevar a cabo simulacros de eventos.
No disponer de una ruta de escalado para los casos en los que el personal clave no esté disponible temporalmente o no responda durante los eventos de seguridad.</t>
        </r>
      </text>
    </comment>
    <comment ref="B62" authorId="0" shapeId="0" xr:uid="{00000000-0006-0000-0000-000032000000}">
      <text>
        <r>
          <rPr>
            <sz val="10"/>
            <color rgb="FF000000"/>
            <rFont val="Arial"/>
            <scheme val="minor"/>
          </rPr>
          <t>Usar la cuenta raíz para la respuesta ante incidentes.
Alterar las cuentas existentes.
Manipular los permisos de IAM directamente al proporcionar un aumento puntual de los privilegios.</t>
        </r>
      </text>
    </comment>
    <comment ref="B67" authorId="0" shapeId="0" xr:uid="{00000000-0006-0000-0000-000033000000}">
      <text>
        <r>
          <rPr>
            <sz val="10"/>
            <color rgb="FF000000"/>
            <rFont val="Arial"/>
            <scheme val="minor"/>
          </rPr>
          <t>Espera a una revisión de seguridad para estudiar las propiedades de seguridad de un sistema.
Deja todas las decisiones de seguridad en manos del equipo de seguridad.
No comunica claramente cómo se relacionan las decisiones tomadas en el SDLC con las expectativas o políticas generales de seguridad de la organización.
Interviene demasiado tarde en el proceso de revisión de la seguridad.</t>
        </r>
      </text>
    </comment>
    <comment ref="B68" authorId="0" shapeId="0" xr:uid="{00000000-0006-0000-0000-000034000000}">
      <text>
        <r>
          <rPr>
            <sz val="10"/>
            <color rgb="FF000000"/>
            <rFont val="Arial"/>
            <scheme val="minor"/>
          </rPr>
          <t>No comunicar los casos de prueba y los resultados de las pruebas automatizadas.
Llevar a cabo las pruebas automatizadas solo justo antes del lanzamiento.
Automatizar casos de prueba con requisitos que cambian con frecuencia.
No proporcionar orientación sobre cómo abordar los resultados de las pruebas de seguridad.</t>
        </r>
      </text>
    </comment>
    <comment ref="B69" authorId="0" shapeId="0" xr:uid="{00000000-0006-0000-0000-000035000000}">
      <text>
        <r>
          <rPr>
            <sz val="10"/>
            <color rgb="FF000000"/>
            <rFont val="Arial"/>
            <scheme val="minor"/>
          </rPr>
          <t>Hacer pruebas de penetración solo para problemas de seguridad conocidos o frecuentes.
Hacer pruebas de penetración de aplicaciones sin herramientas ni bibliotecas de terceros dependientes.
Hacer pruebas de penetración solo para problemas de seguridad de paquete, sin evaluar la lógica empresarial implementada.</t>
        </r>
      </text>
    </comment>
    <comment ref="B70" authorId="0" shapeId="0" xr:uid="{00000000-0006-0000-0000-000036000000}">
      <text>
        <r>
          <rPr>
            <sz val="10"/>
            <color rgb="FF000000"/>
            <rFont val="Arial"/>
            <scheme val="minor"/>
          </rPr>
          <t>No revisa el código antes de la implementación.
El código lo escribe y lo revisa la misma persona.
No utiliza la automatización como ayuda con las revisiones del código o para su organización.
No forma a los creadores en seguridad de las aplicaciones antes de que revisen el código.</t>
        </r>
      </text>
    </comment>
    <comment ref="B71" authorId="0" shapeId="0" xr:uid="{00000000-0006-0000-0000-000037000000}">
      <text>
        <r>
          <rPr>
            <sz val="10"/>
            <color rgb="FF000000"/>
            <rFont val="Arial"/>
            <scheme val="minor"/>
          </rPr>
          <t>Obtiene paquetes de repositorios arbitrarios de Internet.
No prueba los nuevos paquetes antes de ponerlos a disposición de los creadores.</t>
        </r>
      </text>
    </comment>
    <comment ref="B72" authorId="0" shapeId="0" xr:uid="{00000000-0006-0000-0000-000038000000}">
      <text>
        <r>
          <rPr>
            <sz val="10"/>
            <color rgb="FF000000"/>
            <rFont val="Arial"/>
            <scheme val="minor"/>
          </rPr>
          <t>Implementar manualmente el software en producción.
Hacer cambios manualmente en el software para adaptarlo a distintos entornos.</t>
        </r>
      </text>
    </comment>
    <comment ref="B73" authorId="0" shapeId="0" xr:uid="{00000000-0006-0000-0000-000039000000}">
      <text>
        <r>
          <rPr>
            <sz val="10"/>
            <color rgb="FF000000"/>
            <rFont val="Arial"/>
            <scheme val="minor"/>
          </rPr>
          <t>Pruebas de seguridad que los creadores pueden omitir.
Permisos demasiado amplios para las canalizaciones de implementación.
Canalizaciones no configuradas para validar entradas.
No revisar periódicamente los permisos asociados a la infraestructura de CI/CD.
Uso de credenciales a largo plazo o codificadas.</t>
        </r>
      </text>
    </comment>
    <comment ref="B74" authorId="0" shapeId="0" xr:uid="{00000000-0006-0000-0000-00003A000000}">
      <text>
        <r>
          <rPr>
            <sz val="10"/>
            <color rgb="FF000000"/>
            <rFont val="Arial"/>
            <scheme val="minor"/>
          </rPr>
          <t xml:space="preserve">Dejar todas las decisiones del diseño de la seguridad en manos del equipo de seguridad.
No hacer frente a los requisitos de seguridad con suficiente antelación en el proceso de desarrollo.
No obtener comentarios de los creadores y del personal de seguridad sobre el funcionamiento del programa.
</t>
        </r>
      </text>
    </comment>
  </commentList>
</comments>
</file>

<file path=xl/sharedStrings.xml><?xml version="1.0" encoding="utf-8"?>
<sst xmlns="http://schemas.openxmlformats.org/spreadsheetml/2006/main" count="509" uniqueCount="316">
  <si>
    <t>Fundamentos de seguridad
SEC 1. ¿Cómo opera usted su carga de trabajo de forma segura?</t>
  </si>
  <si>
    <r>
      <rPr>
        <b/>
        <sz val="11"/>
        <color rgb="FF000000"/>
        <rFont val="Montserrat"/>
      </rPr>
      <t>SEC01-BP01</t>
    </r>
    <r>
      <rPr>
        <sz val="11"/>
        <color rgb="FF000000"/>
        <rFont val="Montserrat"/>
      </rPr>
      <t xml:space="preserve"> Cargas de trabajo separadas mediante cuentas</t>
    </r>
  </si>
  <si>
    <t>Establezca barreras de protección y medidas de aislamiento comunes entre los entornos (por ejemplo, producción, desarrollo y pruebas) y las cargas de trabajo mediante una estrategia de varias cuentas. Es muy recomendable que la separación se haga en la cuenta, ya que así se consigue una barrera de aislamiento sólida para gestionar la seguridad, la facturación y el acceso.</t>
  </si>
  <si>
    <t>Sí</t>
  </si>
  <si>
    <t xml:space="preserve">
- Límites de seguridad débiles: Sin aislamiento entre cargas de trabajo críticas
- Gestión de permisos compleja: Dificultad para aplicar principio de menor privilegio
- Cumplimiento regulatorio: Imposibilidad de segregar datos según requerimientos
- Exposición de bases de datos (BD SeeOn, BD Trinity) junto con servicios públicos
- Amazon Connect y API Gateway sin aislamiento de infraestructura crítica
- Buckets S3 mezclados (amazon-connect, aplicaciones, CloudFormation)</t>
  </si>
  <si>
    <t>Frecuente</t>
  </si>
  <si>
    <t>Moderado</t>
  </si>
  <si>
    <t>- Esta dentro de la Organización de GFourmis</t>
  </si>
  <si>
    <r>
      <rPr>
        <b/>
        <sz val="11"/>
        <color rgb="FF000000"/>
        <rFont val="Montserrat"/>
      </rPr>
      <t>AAAA/MM/DD:</t>
    </r>
    <r>
      <rPr>
        <sz val="11"/>
        <color rgb="FF000000"/>
        <rFont val="Montserrat"/>
      </rPr>
      <t xml:space="preserve">
-</t>
    </r>
  </si>
  <si>
    <r>
      <rPr>
        <b/>
        <sz val="11"/>
        <color rgb="FF000000"/>
        <rFont val="Montserrat"/>
      </rPr>
      <t>SEC01-BP02</t>
    </r>
    <r>
      <rPr>
        <sz val="11"/>
        <color rgb="FF000000"/>
        <rFont val="Montserrat"/>
      </rPr>
      <t xml:space="preserve"> Proteger el usuario raíz de la cuenta y sus propiedades</t>
    </r>
  </si>
  <si>
    <t>El usuario raíz es el usuario con más privilegios de una Cuenta de AWS. Tiene acceso administrativo completo a todos los recursos de la cuenta y, en algunos casos, no se puede limitar con políticas de seguridad. Deshabilitar el acceso programático al usuario raíz, establecer controles apropiados para este usuario y evitar su uso rutinario ayuda a reducir el riesgo de exposición inadvertida de las credenciales raíz y el consiguiente peligro que esto supone para el entorno de la nube.</t>
  </si>
  <si>
    <t>Parcialmente</t>
  </si>
  <si>
    <t>- Múltiples vectores de acceso administrativo
- Sin rotación forzada de credenciales</t>
  </si>
  <si>
    <t>Probable</t>
  </si>
  <si>
    <t>Mayor</t>
  </si>
  <si>
    <t xml:space="preserve">- Verificar que MFA esté habilitado en el usuario raíz
- Eliminar claves de acceso del usuario raíz si existen
- Falta Configurar alertas CloudTrail para monitorear uso del usuario raíz
</t>
  </si>
  <si>
    <r>
      <rPr>
        <b/>
        <sz val="11"/>
        <color rgb="FF000000"/>
        <rFont val="Montserrat"/>
      </rPr>
      <t>AAAA/MM/DD:</t>
    </r>
    <r>
      <rPr>
        <sz val="11"/>
        <color rgb="FF000000"/>
        <rFont val="Montserrat"/>
      </rPr>
      <t xml:space="preserve">
-</t>
    </r>
  </si>
  <si>
    <r>
      <rPr>
        <b/>
        <sz val="11"/>
        <color rgb="FF000000"/>
        <rFont val="Montserrat"/>
      </rPr>
      <t>SEC01-BP03</t>
    </r>
    <r>
      <rPr>
        <sz val="11"/>
        <color rgb="FF000000"/>
        <rFont val="Montserrat"/>
      </rPr>
      <t xml:space="preserve"> Identificar y validar los objetivos de control</t>
    </r>
  </si>
  <si>
    <t>En función de sus requisitos de cumplimiento y los riesgos identificados a partir de su modelo de amenazas, extraiga y valide los objetivos de control y los controles que tiene que aplicar a su carga de trabajo. La validación continua tanto de los objetivos de control como de los controles le ayuda a medir la efectividad de la mitigación de riesgos.</t>
  </si>
  <si>
    <t>No</t>
  </si>
  <si>
    <t>- Cambios de configuración sin detección
- Respuesta a incidentes reactiva vs proactiva</t>
  </si>
  <si>
    <t xml:space="preserve">- AWS Security Hub no está habilitado, lo que indica falta de marco de control centralizado
- Falta Configurar AWS Config </t>
  </si>
  <si>
    <r>
      <rPr>
        <b/>
        <sz val="11"/>
        <color rgb="FF000000"/>
        <rFont val="Montserrat"/>
      </rPr>
      <t>AAAA/MM/DD:</t>
    </r>
    <r>
      <rPr>
        <sz val="11"/>
        <color rgb="FF000000"/>
        <rFont val="Montserrat"/>
      </rPr>
      <t xml:space="preserve">
-</t>
    </r>
  </si>
  <si>
    <r>
      <rPr>
        <b/>
        <sz val="11"/>
        <color rgb="FF000000"/>
        <rFont val="Montserrat"/>
      </rPr>
      <t>SEC01-BP04</t>
    </r>
    <r>
      <rPr>
        <sz val="11"/>
        <color rgb="FF000000"/>
        <rFont val="Montserrat"/>
      </rPr>
      <t xml:space="preserve"> Manténgase actualizado con las amenazas y recomendaciones de seguridad </t>
    </r>
  </si>
  <si>
    <t>Para mantenerse al día de las amenazas y mitigaciones más recientes, supervise las publicaciones de inteligencia sobre amenazas del sector y analice las fuentes de datos en busca de actualizaciones. Evalúe las ofertas de servicios administrados que se actualizan automáticamente en función de los datos de amenazas más recientes.</t>
  </si>
  <si>
    <t>El no mantenerse actualizado con las amenazas emergentes y las recomendaciones de seguridad de AWS condena a la plataforma a ser vulnerable a ataques conocidos (Zero-day) que ya tienen parches disponibles o a usar servicios obsoletos, aumentando la superficie de ataque y el riesgo de explotación por malware o ransomware.</t>
  </si>
  <si>
    <t>Crítico</t>
  </si>
  <si>
    <t xml:space="preserve">Falta:
- Habilitar Amazon GuardDuty en ambas regiones
- Configurar AWS Security Hub para agregación de hallazgos
- Suscribirse a AWS Security Bulletins
- Implementar Amazon Inspector para evaluación de vulnerabilidades
</t>
  </si>
  <si>
    <r>
      <rPr>
        <b/>
        <sz val="11"/>
        <color rgb="FF000000"/>
        <rFont val="Montserrat"/>
      </rPr>
      <t>AAAA/MM/DD:</t>
    </r>
    <r>
      <rPr>
        <sz val="11"/>
        <color rgb="FF000000"/>
        <rFont val="Montserrat"/>
      </rPr>
      <t xml:space="preserve">
-</t>
    </r>
  </si>
  <si>
    <r>
      <rPr>
        <b/>
        <sz val="11"/>
        <color rgb="FF000000"/>
        <rFont val="Montserrat"/>
      </rPr>
      <t>SEC01-BP05</t>
    </r>
    <r>
      <rPr>
        <sz val="11"/>
        <color rgb="FF000000"/>
        <rFont val="Montserrat"/>
      </rPr>
      <t xml:space="preserve"> Reducir el alcance de la gestión de la seguridad</t>
    </r>
  </si>
  <si>
    <t>Determine si puede reducir su alcance de seguridad mediante el uso de servicios de AWS que transfieran la administración de ciertos controles a AWS (servicios administrados). Estos servicios pueden ayudar a reducir las tareas de mantenimiento de la seguridad, como el aprovisionamiento de infraestructuras, la configuración del software, la aplicación de parches o las copias de seguridad.</t>
  </si>
  <si>
    <t>El no maximizar el uso de servicios gestionados de AWS para transferir la administración de controles de seguridad (ej: patching de SOs), mantiene una alta carga operativa manual y aumenta la probabilidad de fallas humanas en la configuración, generando inconsistencias de seguridad y brechas de cumplimiento.</t>
  </si>
  <si>
    <t>Uso de IAM Identity Center indica centralización de acceso
Falta:
- Implementar plantillas de CloudFormation para recursos estándar
- Usar AWS Service Catalog para servicios aprobados
- Centralizar logging con AWS CloudTrail organizacional
- Implementar políticas de IAM basadas en roles estándar</t>
  </si>
  <si>
    <r>
      <rPr>
        <b/>
        <sz val="11"/>
        <color rgb="FF000000"/>
        <rFont val="Montserrat"/>
      </rPr>
      <t>AAAA/MM/DD:</t>
    </r>
    <r>
      <rPr>
        <sz val="11"/>
        <color rgb="FF000000"/>
        <rFont val="Montserrat"/>
      </rPr>
      <t xml:space="preserve">
-</t>
    </r>
  </si>
  <si>
    <r>
      <rPr>
        <b/>
        <sz val="11"/>
        <color rgb="FF000000"/>
        <rFont val="Montserrat"/>
      </rPr>
      <t xml:space="preserve">SEC01-BP06 </t>
    </r>
    <r>
      <rPr>
        <sz val="11"/>
        <color rgb="FF000000"/>
        <rFont val="Montserrat"/>
      </rPr>
      <t>Automatizar la implementación de controles de seguridad estándar</t>
    </r>
  </si>
  <si>
    <t>Aplique prácticas modernas de DevOps a medida que desarrolle e implemente controles de seguridad estándar en todos sus entornos de AWS.  Defina controles y configuraciones de seguridad estándar mediante plantillas de infraestructura como código (IaC), registre los cambios en un sistema de control de versiones, pruebe los cambios como parte de una canalización de CI/CD y automatice la implementación de los cambios en sus entornos de AWS.</t>
  </si>
  <si>
    <t>El no automatizar la implementación de controles de seguridad y configuraciones estándar (Seguridad como Código) mediante CI/CD, implica que cada cambio de infraestructura es un riesgo potencial de drift de seguridad, resultando en configuraciones inconsistentes y errores manuales que un atacante puede explotar fácilmente.</t>
  </si>
  <si>
    <t xml:space="preserve">Falta:
- Implementar AWS Config Rules para evaluación automática
- Usar AWS Systems Manager para gestión de parches
- Configurar AWS Security Hub con estándares de seguridad
- Implementar pipelines CI/CD con controles de seguridad integrados
</t>
  </si>
  <si>
    <r>
      <rPr>
        <b/>
        <sz val="11"/>
        <color rgb="FF000000"/>
        <rFont val="Montserrat"/>
      </rPr>
      <t>AAAA/MM/DD:</t>
    </r>
    <r>
      <rPr>
        <sz val="11"/>
        <color rgb="FF000000"/>
        <rFont val="Montserrat"/>
      </rPr>
      <t xml:space="preserve">
-</t>
    </r>
  </si>
  <si>
    <r>
      <rPr>
        <b/>
        <sz val="11"/>
        <color rgb="FF000000"/>
        <rFont val="Montserrat"/>
      </rPr>
      <t>SEC01-BP07</t>
    </r>
    <r>
      <rPr>
        <sz val="11"/>
        <color rgb="FF000000"/>
        <rFont val="Montserrat"/>
      </rPr>
      <t xml:space="preserve"> Identify threats and prioritize mitigations using a threat model</t>
    </r>
  </si>
  <si>
    <t>Utilice el modelado de amenazas para identificar y mantener un registro actualizado de las amenazas potenciales y las mitigaciones asociadas para la carga de trabajo. Priorice sus amenazas y adapte sus mitigaciones de controles de seguridad para evitarlas, detectarlas y responder a ellas. Revisite y mantenga todo esto en el contexto de la carga de trabajo y de la evolución del panorama de seguridad.</t>
  </si>
  <si>
    <t>Exposiciones no mapeadas
Respuesta reactiva, sin preparación para escenarios de amenaza</t>
  </si>
  <si>
    <t>Falta:
- Habilitar Amazon GuardDuty para detección de amenazas
- Implementar AWS Security Hub para priorización
- Configurar Amazon Macie para protección de datos sensibles
- Desarrollar un modelo de amenazas documentado</t>
  </si>
  <si>
    <r>
      <rPr>
        <b/>
        <sz val="11"/>
        <color rgb="FF000000"/>
        <rFont val="Montserrat"/>
      </rPr>
      <t>AAAA/MM/DD:</t>
    </r>
    <r>
      <rPr>
        <sz val="11"/>
        <color rgb="FF000000"/>
        <rFont val="Montserrat"/>
      </rPr>
      <t xml:space="preserve">
-</t>
    </r>
  </si>
  <si>
    <r>
      <rPr>
        <b/>
        <sz val="11"/>
        <color rgb="FF000000"/>
        <rFont val="Montserrat"/>
      </rPr>
      <t>SEC01-BP08</t>
    </r>
    <r>
      <rPr>
        <sz val="11"/>
        <color rgb="FF000000"/>
        <rFont val="Montserrat"/>
      </rPr>
      <t xml:space="preserve"> Evaluar e implementar nuevos servicios y características de seguridad periódicamente</t>
    </r>
  </si>
  <si>
    <t xml:space="preserve">Evalúe e implemente servicios y características de seguridad de AWS y socios de AWS que le ayuden a desarrollar la postura de seguridad de su carga de trabajo. </t>
  </si>
  <si>
    <t>El no evaluar periódicamente los nuevos servicios y características de seguridad lanzados por AWS impide la optimización de los controles existentes y mantiene la infraestructura anclada a métodos de seguridad menos robustos o más costosos, limitando la capacidad de la empresa para responder de forma ágil a la evolución del panorama de amenazas.</t>
  </si>
  <si>
    <t>Falta:
- Habilitar AWS Trusted Advisor para recomendaciones
- Configurar notificaciones de nuevas características de seguridad
- Implementar proceso de evaluación y adopción de nuevos servicios</t>
  </si>
  <si>
    <r>
      <rPr>
        <b/>
        <sz val="11"/>
        <color rgb="FF000000"/>
        <rFont val="Montserrat"/>
      </rPr>
      <t>AAAA/MM/DD:</t>
    </r>
    <r>
      <rPr>
        <sz val="11"/>
        <color rgb="FF000000"/>
        <rFont val="Montserrat"/>
      </rPr>
      <t xml:space="preserve">
-</t>
    </r>
  </si>
  <si>
    <t>Gestión de identidad y acceso
SEC 2. ¿Cómo se gestiona la autenticación de personas y máquinas?</t>
  </si>
  <si>
    <r>
      <rPr>
        <sz val="11"/>
        <color rgb="FF000000"/>
        <rFont val="Montserrat"/>
      </rPr>
      <t xml:space="preserve">
</t>
    </r>
    <r>
      <rPr>
        <b/>
        <sz val="11"/>
        <color rgb="FF000000"/>
        <rFont val="Montserrat"/>
      </rPr>
      <t xml:space="preserve">SEC02-BP01 </t>
    </r>
    <r>
      <rPr>
        <sz val="11"/>
        <color rgb="FF000000"/>
        <rFont val="Montserrat"/>
      </rPr>
      <t>Utilizar mecanismos de inicio de sesión fuertes</t>
    </r>
  </si>
  <si>
    <t>Los inicios de sesión (autenticación mediante credenciales de inicio de sesión) pueden presentar riesgos si no se utilizan mecanismos como la autenticación multifactor (MFA), especialmente en situaciones en las que las credenciales de inicio de sesión se han revelado de forma inadvertida o son fáciles de adivinar. Utilice mecanismos de inicio de sesión sólidos para reducir estos riesgos. Para ello, exija que se cumplan políticas de contraseñas sólidas y se utilice MFA.</t>
  </si>
  <si>
    <t xml:space="preserve">
- Compromiso de cuenta administrativa: Sin MFA, una contraseña comprometida da acceso total
- Ataques de fuerza bruta: Sin protección contra intentos de login masivos
- Phishing exitoso: Credenciales simples son más vulnerables a ingeniería social
- Acceso no autorizado: Sin segundo factor de autenticación
</t>
  </si>
  <si>
    <t xml:space="preserve">- AWS IAM Identity Center configurado con autenticación SAML
- 20 usuarios IAM con políticas de contraseña
- Roles de SSO para diferentes niveles de acceso
Qué hacer para cumplir completamente:
- Verificar y habilitar MFA para todos los usuarios IAM
- Configurar MFA obligatorio en IAM Identity Center
- Implementar políticas de contraseña más estrictas
- Auditar usuarios sin MFA habilitado
</t>
  </si>
  <si>
    <r>
      <rPr>
        <b/>
        <sz val="11"/>
        <color rgb="FF000000"/>
        <rFont val="Montserrat"/>
      </rPr>
      <t>AAAA/MM/DD:</t>
    </r>
    <r>
      <rPr>
        <sz val="11"/>
        <color rgb="FF000000"/>
        <rFont val="Montserrat"/>
      </rPr>
      <t xml:space="preserve">
-</t>
    </r>
  </si>
  <si>
    <r>
      <rPr>
        <b/>
        <sz val="11"/>
        <color rgb="FF000000"/>
        <rFont val="Montserrat"/>
      </rPr>
      <t>SEC02-BP02</t>
    </r>
    <r>
      <rPr>
        <sz val="11"/>
        <color rgb="FF000000"/>
        <rFont val="Montserrat"/>
      </rPr>
      <t xml:space="preserve"> Utilizar credenciales temporales</t>
    </r>
  </si>
  <si>
    <t>Al llevar a cabo cualquier tipo de autenticación, es mejor utilizar credenciales temporales en lugar de credenciales de larga duración para reducir o eliminar riesgos. Por ejemplo, que las credenciales se divulguen, compartan o roben de forma inadvertida.</t>
  </si>
  <si>
    <t xml:space="preserve">- Uso extensivo de roles IAM (más de 50 roles identificados)
- Roles de SSO que proporcionan credenciales temporales
- Roles específicos para servicios AWS (service-linked roles)
Falta:
- Configurar rotación automática de credenciales temporales
- Eliminar claves de acceso de larga duración
</t>
  </si>
  <si>
    <r>
      <rPr>
        <b/>
        <sz val="11"/>
        <color rgb="FF000000"/>
        <rFont val="Montserrat"/>
      </rPr>
      <t>AAAA/MM/DD:</t>
    </r>
    <r>
      <rPr>
        <sz val="11"/>
        <color rgb="FF000000"/>
        <rFont val="Montserrat"/>
      </rPr>
      <t xml:space="preserve">
-</t>
    </r>
  </si>
  <si>
    <r>
      <rPr>
        <b/>
        <sz val="11"/>
        <color rgb="FF000000"/>
        <rFont val="Montserrat"/>
      </rPr>
      <t>SEC02-BP03</t>
    </r>
    <r>
      <rPr>
        <sz val="11"/>
        <color rgb="FF000000"/>
        <rFont val="Montserrat"/>
      </rPr>
      <t xml:space="preserve"> Almacenar y utilizar secretos de forma segura</t>
    </r>
  </si>
  <si>
    <t>Una carga de trabajo necesita una capacidad automatizada para demostrar su identidad a bases de datos, recursos y servicios de terceros. Para ello, se utilizan credenciales de acceso secretas, como claves de acceso a API, contraseñas y tokens OAuth. El uso de un servicio creado específicamente para almacenar, administrar y rotar estas credenciales ayuda a reducir la probabilidad de que dichas credenciales se vean comprometidas.</t>
  </si>
  <si>
    <t>El no utilizar un servicio de gestión de secretos seguro (ej: AWS Secrets Manager) para las claves de acceso, tokens y API's conduce al hardcoding de credenciales en el código fuente o su almacenamiento en texto plano, garantizando que un atacante que acceda al código o a un log obtenga acceso inmediato a sistemas críticos.</t>
  </si>
  <si>
    <t xml:space="preserve">Qué hacer para cumplir:
- Se sugiere Implementar AWS Secrets Manager para credenciales de base de datos
- Migrar secretos hardcodeados a servicios de gestión de secretos
- Configurar rotación automática de secretos
- Implementar cifrado de secretos en tránsito y reposo
</t>
  </si>
  <si>
    <r>
      <rPr>
        <b/>
        <sz val="11"/>
        <color rgb="FF000000"/>
        <rFont val="Montserrat"/>
      </rPr>
      <t>AAAA/MM/DD:</t>
    </r>
    <r>
      <rPr>
        <sz val="11"/>
        <color rgb="FF000000"/>
        <rFont val="Montserrat"/>
      </rPr>
      <t xml:space="preserve">
-</t>
    </r>
  </si>
  <si>
    <r>
      <rPr>
        <b/>
        <sz val="11"/>
        <color rgb="FF000000"/>
        <rFont val="Montserrat"/>
      </rPr>
      <t>SEC02-BP04</t>
    </r>
    <r>
      <rPr>
        <sz val="11"/>
        <color rgb="FF000000"/>
        <rFont val="Montserrat"/>
      </rPr>
      <t xml:space="preserve"> Confíe en un proveedor de identidad centralizado</t>
    </r>
  </si>
  <si>
    <t>Para las identidades de la plantilla (empleados y contratistas), recurra a un proveedor de identidades que le permita administrar las identidades desde un lugar centralizado. De este modo se facilita la administración del acceso en varias aplicaciones y sistemas, pues crea, asigna, administra, revoca y audita el acceso desde un único lugar.</t>
  </si>
  <si>
    <t>Gestionar usuarios individualmente en lugar de usar un Proveedor de Identidad centralizado (SSO) crea cuentas 'zombies'. Cuando un empleado se va, sus accesos permanecen activos en sistemas dispersos, facilitando el acceso no autorizado y dificultando la auditoría.</t>
  </si>
  <si>
    <t>ok</t>
  </si>
  <si>
    <r>
      <rPr>
        <b/>
        <sz val="11"/>
        <color rgb="FF000000"/>
        <rFont val="Montserrat"/>
      </rPr>
      <t>AAAA/MM/DD:</t>
    </r>
    <r>
      <rPr>
        <sz val="11"/>
        <color rgb="FF000000"/>
        <rFont val="Montserrat"/>
      </rPr>
      <t xml:space="preserve">
-</t>
    </r>
  </si>
  <si>
    <r>
      <rPr>
        <b/>
        <sz val="11"/>
        <color rgb="FF000000"/>
        <rFont val="Montserrat"/>
      </rPr>
      <t xml:space="preserve">SEC02-BP05 </t>
    </r>
    <r>
      <rPr>
        <sz val="11"/>
        <color rgb="FF000000"/>
        <rFont val="Montserrat"/>
      </rPr>
      <t>Auditar y rotar credenciales periódicamente</t>
    </r>
  </si>
  <si>
    <t>Audite y rote las credenciales periódicamente para limitar el tiempo que pueden utilizarse para acceder a los recursos. Las credenciales de larga duración entrañan muchos riesgos, pero estos riesgos pueden reducirse con una rotación frecuente.</t>
  </si>
  <si>
    <t>El no auditar ni rotar periódicamente las credenciales y tokens de larga duración asegura que cualquier clave que haya sido comprometida en el pasado mantenga su validez indefinidamente, permitiendo que un atacante latente acceda a los recursos en cualquier momento sin ser detectado.</t>
  </si>
  <si>
    <t xml:space="preserve">Qué hacer para cumplir:
- Implementar AWS Config Rules para auditoría de credenciales
- Configurar alertas para claves de acceso antiguas (&gt;90 días)
- Establecer proceso de rotación automática de credenciales
- Usar AWS CloudTrail para auditar uso de credenciales
- Implementar AWS Access Analyzer para revisión de permisos
</t>
  </si>
  <si>
    <r>
      <rPr>
        <b/>
        <sz val="11"/>
        <color rgb="FF000000"/>
        <rFont val="Montserrat"/>
      </rPr>
      <t>AAAA/MM/DD:</t>
    </r>
    <r>
      <rPr>
        <sz val="11"/>
        <color rgb="FF000000"/>
        <rFont val="Montserrat"/>
      </rPr>
      <t xml:space="preserve">
-</t>
    </r>
  </si>
  <si>
    <r>
      <rPr>
        <b/>
        <sz val="11"/>
        <color rgb="FF000000"/>
        <rFont val="Montserrat"/>
      </rPr>
      <t>SEC02-BP06</t>
    </r>
    <r>
      <rPr>
        <sz val="11"/>
        <color rgb="FF000000"/>
        <rFont val="Montserrat"/>
      </rPr>
      <t xml:space="preserve"> Emplear grupos de usuarios y atributos</t>
    </r>
  </si>
  <si>
    <t>Definir los permisos según los grupos y los atributos de usuarios ayuda a reducir la cantidad y la complejidad de las políticas, lo que facilita la aplicación del principio de privilegio mínimo. Puede emplear los grupos de usuarios para administrar los permisos de muchas personas en un solo lugar según la función que desempeñen en su organización. Los atributos, como el departamento, el proyecto o la ubicación, pueden proporcionar un nivel adicional en el ámbito de los permisos si hay personas que hacen una función similar, pero para diferentes subconjuntos de recursos.</t>
  </si>
  <si>
    <t>El no emplear una definición clara de permisos basada en grupos y atributos (el principio de ABAC), obliga a crear políticas IAM complejas y redundantes para usuarios individuales, aumentando la probabilidad de errores de configuración (Permisos Over-Privileged) que otorgan acceso mayor al necesario.</t>
  </si>
  <si>
    <r>
      <rPr>
        <b/>
        <sz val="11"/>
        <color rgb="FF000000"/>
        <rFont val="Montserrat"/>
      </rPr>
      <t>AAAA/MM/DD:</t>
    </r>
    <r>
      <rPr>
        <sz val="11"/>
        <color rgb="FF000000"/>
        <rFont val="Montserrat"/>
      </rPr>
      <t xml:space="preserve">
-</t>
    </r>
  </si>
  <si>
    <t>Gestión de identidad y acceso
SEC 3. ¿Cómo se gestionan los permisos para personas y máquinas?</t>
  </si>
  <si>
    <r>
      <rPr>
        <b/>
        <sz val="11"/>
        <color rgb="FF000000"/>
        <rFont val="Montserrat"/>
      </rPr>
      <t>SEC03-BP01</t>
    </r>
    <r>
      <rPr>
        <sz val="11"/>
        <color rgb="FF000000"/>
        <rFont val="Montserrat"/>
      </rPr>
      <t xml:space="preserve"> Definir los requisitos de acceso</t>
    </r>
  </si>
  <si>
    <t>Los administradores, los usuarios finales u otros componentes deben acceder a cada componente o recurso de la carga de trabajo. Establezca una definición clara de quién o qué debe tener acceso a cada componente y elija el tipo de identidad y el método de autenticación y autorización adecuados.</t>
  </si>
  <si>
    <t>- Sin clara segregación de responsabilidades
- Acumulación no controlada de accesos
- Dificultad para onboarding y offboarding de usuarios</t>
  </si>
  <si>
    <t xml:space="preserve">Estructura clara de roles por función (Administrator, Developer, Billing, etc.)
Roles específicos por entorno (Dev, QA, PDN)
Roles de SSO con diferentes niveles de acceso
Qué falta:
- Documentar matriz de acceso por roles y funciones
- Establecer políticas de acceso basadas en principios de negocio
- Implementar revisión periódica de requisitos de acceso
</t>
  </si>
  <si>
    <r>
      <rPr>
        <b/>
        <sz val="11"/>
        <color rgb="FF000000"/>
        <rFont val="Montserrat"/>
      </rPr>
      <t>AAAA/MM/DD:</t>
    </r>
    <r>
      <rPr>
        <sz val="11"/>
        <color rgb="FF000000"/>
        <rFont val="Montserrat"/>
      </rPr>
      <t xml:space="preserve">
-</t>
    </r>
  </si>
  <si>
    <r>
      <rPr>
        <b/>
        <sz val="11"/>
        <color rgb="FF000000"/>
        <rFont val="Montserrat"/>
      </rPr>
      <t>SEC03-BP02</t>
    </r>
    <r>
      <rPr>
        <sz val="11"/>
        <color rgb="FF000000"/>
        <rFont val="Montserrat"/>
      </rPr>
      <t xml:space="preserve"> Otorgar acceso con privilegios mínimos</t>
    </r>
  </si>
  <si>
    <t>Conceda exclusivamente el acceso que las identidades necesitan para efectuar acciones concretas en recursos específicos en determinadas condiciones. Utilice atributos de grupo y de identidad para configurar dinámicamente los permisos en función de las necesidades en lugar de configurarlos para cada usuario. Por ejemplo, puede conceder acceso a un grupo de desarrolladores para que solamente puedan administrar recursos de su proyecto. De este modo, si un desarrollador abandona el proyecto, su acceso se revoca automáticamente sin cambiar las políticas de acceso subyacentes.</t>
  </si>
  <si>
    <t>- Compromiso de cuenta administrativa afecta todo
- Usuarios pueden otorgarse más permisos
- Permisos excesivos facilitan actividades maliciosas</t>
  </si>
  <si>
    <t xml:space="preserve">- Presencia de roles con AdministratorAccess
- Usuarios individuales con acceso directo
- Falta de permission boundaries implementados
Qué hacer para cumplir:
- Implementar permission boundaries para todos los roles
- Revisar y reducir permisos de roles administrativos
- Usar políticas específicas en lugar de managed policies amplias
- Implementar AWS Access Analyzer para identificar permisos no utilizados
- Configurar políticas basadas en condiciones (tiempo, IP, MFA)
</t>
  </si>
  <si>
    <r>
      <rPr>
        <b/>
        <sz val="11"/>
        <color rgb="FF000000"/>
        <rFont val="Montserrat"/>
      </rPr>
      <t>AAAA/MM/DD:</t>
    </r>
    <r>
      <rPr>
        <sz val="11"/>
        <color rgb="FF000000"/>
        <rFont val="Montserrat"/>
      </rPr>
      <t xml:space="preserve">
-</t>
    </r>
  </si>
  <si>
    <r>
      <rPr>
        <b/>
        <sz val="11"/>
        <color rgb="FF000000"/>
        <rFont val="Montserrat"/>
      </rPr>
      <t>SEC03-BP03</t>
    </r>
    <r>
      <rPr>
        <sz val="11"/>
        <color rgb="FF000000"/>
        <rFont val="Montserrat"/>
      </rPr>
      <t xml:space="preserve"> Establecer proceso de acceso de emergencia</t>
    </r>
  </si>
  <si>
    <t>Cree un proceso que permita el acceso de emergencia a sus cargas de trabajo en el caso improbable de que se produzca un problema con su proveedor de identidades centralizado.
Debe diseñar procesos para diferentes modos de error que puedan provocar un evento de emergencia. Por ejemplo, en circunstancias normales, los usuarios de la plantilla se federan en la nube mediante un proveedor de identidades centralizado (SEC02-BP04) para administrar sus cargas de trabajo. Sin embargo, si su proveedor de identidades centralizado no responde o se modifica la configuración de la federación en la nube, es posible que los usuarios de la plantilla no puedan federarse en esta. Un proceso de acceso de emergencia permite a los administradores autorizados acceder a los recursos de la nube a través de medios alternativos (como una forma alternativa de federación o acceso directo de los usuarios) para solucionar problemas con la configuración de la federación o las cargas de trabajo. El proceso de acceso de emergencia se utiliza hasta que se restablezca el mecanismo de federación normal.</t>
  </si>
  <si>
    <t>Bajo</t>
  </si>
  <si>
    <t>- No se identificaron procedimientos específicos de acceso de emergencia</t>
  </si>
  <si>
    <r>
      <rPr>
        <b/>
        <sz val="11"/>
        <color rgb="FF000000"/>
        <rFont val="Montserrat"/>
      </rPr>
      <t>AAAA/MM/DD:</t>
    </r>
    <r>
      <rPr>
        <sz val="11"/>
        <color rgb="FF000000"/>
        <rFont val="Montserrat"/>
      </rPr>
      <t xml:space="preserve">
-</t>
    </r>
  </si>
  <si>
    <r>
      <rPr>
        <b/>
        <sz val="11"/>
        <color rgb="FF000000"/>
        <rFont val="Montserrat"/>
      </rPr>
      <t>SEC03-BP04</t>
    </r>
    <r>
      <rPr>
        <sz val="11"/>
        <color rgb="FF000000"/>
        <rFont val="Montserrat"/>
      </rPr>
      <t xml:space="preserve"> Reducir permisos continuamente</t>
    </r>
  </si>
  <si>
    <t>A medida que los equipos determinen qué acceso es necesario, elimine los permisos innecesarios y establezca procesos de revisión para conseguir permisos con privilegios mínimos. Supervise y elimine continuamente las identidades y los permisos que no se utilicen, tanto para el acceso humano como para el de las máquinas.
Resultado deseado: las políticas de permisos deben cumplir con el principio de privilegio mínimo. A medida que se definan mejor las responsabilidades y los roles del trabajo, debe revisar sus políticas de permisos para eliminar los permisos innecesarios. Este enfoque reduce el alcance del impacto en caso de que las credenciales se expongan de forma inadvertida o se acceda a ellas sin autorización.</t>
  </si>
  <si>
    <t xml:space="preserve">- No hay evidencia de revisión automática de permisos
Qué hacer para cumplir:
- Implementar AWS Access Analyzer para análisis continuo
- Configurar AWS Config Rules para monitoreo de permisos
- Establecer proceso de revisión trimestral de accesos
- Implementar alertas para permisos no utilizados
- Usar AWS CloudTrail para análisis de patrones de acceso
</t>
  </si>
  <si>
    <r>
      <rPr>
        <b/>
        <sz val="11"/>
        <color rgb="FF000000"/>
        <rFont val="Montserrat"/>
      </rPr>
      <t>AAAA/MM/DD:</t>
    </r>
    <r>
      <rPr>
        <sz val="11"/>
        <color rgb="FF000000"/>
        <rFont val="Montserrat"/>
      </rPr>
      <t xml:space="preserve">
-</t>
    </r>
  </si>
  <si>
    <r>
      <rPr>
        <b/>
        <sz val="11"/>
        <color rgb="FF000000"/>
        <rFont val="Montserrat"/>
      </rPr>
      <t>SEC03-BP05</t>
    </r>
    <r>
      <rPr>
        <sz val="11"/>
        <color rgb="FF000000"/>
        <rFont val="Montserrat"/>
      </rPr>
      <t xml:space="preserve"> Defina las barreras de permisos para su organización</t>
    </r>
  </si>
  <si>
    <t>Utilice las barreras de protección de permisos para reducir el ámbito de los permisos disponibles que se pueden conceder a las entidades principales. La cadena de evaluación de la política de permisos incluye sus barreras de protección para determinar los permisos efectivos de una entidad principal al tomar decisiones de autorización.  Puede definir barreras de protección mediante un enfoque basado en capas. Aplique algunas barreras de protección de manera generalizada en toda la organización y aplique otras de forma específica a las sesiones de acceso temporal.</t>
  </si>
  <si>
    <t>- No se detectaron permission boundaries implementados
Qué hacer para cumplir:
- Implementar IAM Permission Boundaries para todos los roles
- Configurar Service Control Policies (SCPs) si usa Organizations
- Establecer políticas de máximo privilegio por función
- Implementar barreras por entorno (Dev, QA, Prod)
- Configurar políticas de prevención de escalación de privilegios</t>
  </si>
  <si>
    <r>
      <rPr>
        <b/>
        <sz val="11"/>
        <color rgb="FF000000"/>
        <rFont val="Montserrat"/>
      </rPr>
      <t>AAAA/MM/DD:</t>
    </r>
    <r>
      <rPr>
        <sz val="11"/>
        <color rgb="FF000000"/>
        <rFont val="Montserrat"/>
      </rPr>
      <t xml:space="preserve">
-</t>
    </r>
  </si>
  <si>
    <r>
      <rPr>
        <b/>
        <sz val="11"/>
        <color rgb="FF000000"/>
        <rFont val="Montserrat"/>
      </rPr>
      <t>SEC03-BP06</t>
    </r>
    <r>
      <rPr>
        <sz val="11"/>
        <color rgb="FF000000"/>
        <rFont val="Montserrat"/>
      </rPr>
      <t xml:space="preserve"> Gestionar el acceso según el ciclo de vida</t>
    </r>
  </si>
  <si>
    <t>Supervise y ajuste los permisos otorgados a sus entidades principales (usuarios, cargos y grupos) a lo largo de su ciclo de vida dentro de su organización. Ajuste la pertenencia a grupos a medida que los usuarios cambien de cargo y elimine el acceso cuando un usuario abandone la organización.</t>
  </si>
  <si>
    <r>
      <rPr>
        <b/>
        <sz val="11"/>
        <color rgb="FF000000"/>
        <rFont val="Montserrat"/>
      </rPr>
      <t>AAAA/MM/DD:</t>
    </r>
    <r>
      <rPr>
        <sz val="11"/>
        <color rgb="FF000000"/>
        <rFont val="Montserrat"/>
      </rPr>
      <t xml:space="preserve">
-</t>
    </r>
  </si>
  <si>
    <r>
      <rPr>
        <b/>
        <sz val="11"/>
        <color rgb="FF000000"/>
        <rFont val="Montserrat"/>
      </rPr>
      <t>SEC03-BP07</t>
    </r>
    <r>
      <rPr>
        <sz val="11"/>
        <color rgb="FF000000"/>
        <rFont val="Montserrat"/>
      </rPr>
      <t xml:space="preserve"> Analizar el acceso público y entre cuentas</t>
    </r>
  </si>
  <si>
    <t>Supervise continuamente los resultados que pongan en relieve el acceso público y entre cuentas. Reduzca el acceso público y el acceso entre cuentas solo a los recursos que requieran este tipo de acceso.</t>
  </si>
  <si>
    <t>No cross-account access roles found among 100 total roles | Public EC2: 2 | Public RDS: 0 | Internet-facing ALB/NLB: 3 | API Gateways: 0 | CloudFront distributions: 3</t>
  </si>
  <si>
    <r>
      <rPr>
        <b/>
        <sz val="11"/>
        <color rgb="FF000000"/>
        <rFont val="Montserrat"/>
      </rPr>
      <t>AAAA/MM/DD:</t>
    </r>
    <r>
      <rPr>
        <sz val="11"/>
        <color rgb="FF000000"/>
        <rFont val="Montserrat"/>
      </rPr>
      <t xml:space="preserve">
-</t>
    </r>
  </si>
  <si>
    <r>
      <rPr>
        <b/>
        <sz val="11"/>
        <color rgb="FF000000"/>
        <rFont val="Montserrat"/>
      </rPr>
      <t>SEC03-BP08</t>
    </r>
    <r>
      <rPr>
        <sz val="11"/>
        <color rgb="FF000000"/>
        <rFont val="Montserrat"/>
      </rPr>
      <t xml:space="preserve"> Comparta recursos de forma segura dentro de su organización</t>
    </r>
  </si>
  <si>
    <t>A medida que el número de cargas de trabajo va aumentando, es posible que necesite compartir el acceso a los recursos de esas cargas de trabajo o aprovisionar los recursos varias veces entre varias cuentas. Es posible que disponga de constructos para compartimentar el entorno, como, por ejemplo, entornos de desarrollo, pruebas y producción. Sin embargo, disponer de constructos de separación no le impide compartir de forma segura. Al compartir componentes que se solapan, puede reducir la sobrecarga operativa y conseguir una experiencia uniforme sin tener que adivinar qué podría haber pasado por alto al crear el mismo recurso varias veces.</t>
  </si>
  <si>
    <t>La falta de mecanismos seguros para compartir recursos internos lleva a la duplicación ineficiente o permisos excesivos. Se crean silos de seguridad o, peor aún, se otorgan accesos 'wildcard' (*) para "hacer que funcione", rompiendo el principio de mínimo privilegio y facilitando el movimiento lateral de un atacante.</t>
  </si>
  <si>
    <t>Cuenta dentro de la organización de GFourmis</t>
  </si>
  <si>
    <r>
      <rPr>
        <b/>
        <sz val="11"/>
        <color rgb="FF000000"/>
        <rFont val="Montserrat"/>
      </rPr>
      <t>AAAA/MM/DD:</t>
    </r>
    <r>
      <rPr>
        <sz val="11"/>
        <color rgb="FF000000"/>
        <rFont val="Montserrat"/>
      </rPr>
      <t xml:space="preserve">
-</t>
    </r>
  </si>
  <si>
    <r>
      <rPr>
        <b/>
        <sz val="11"/>
        <color rgb="FF000000"/>
        <rFont val="Montserrat"/>
      </rPr>
      <t>SEC03-BP09</t>
    </r>
    <r>
      <rPr>
        <sz val="11"/>
        <color rgb="FF000000"/>
        <rFont val="Montserrat"/>
      </rPr>
      <t xml:space="preserve"> Compartir recursos de forma segura con un tercero</t>
    </r>
  </si>
  <si>
    <t>La seguridad de su entorno en la nube no se limita a su organización. Su organización puede recurrir a terceros para administrar una parte de sus datos. La administración de permisos para el sistema administrado por terceros debe seguir la práctica del acceso justo a tiempo mediante el principio del privilegio mínimo con credenciales temporales. Si colabora estrechamente con un tercero, podrán reducir juntos el alcance del impacto y el riesgo de un acceso no intencionado.</t>
  </si>
  <si>
    <t>N/A</t>
  </si>
  <si>
    <t>Compartir acceso con terceros proveedores mediante credenciales de largo plazo (Access Keys) es un riesgo extremo. Si el proveedor sufre una brecha, tus claves son robadas. El uso de roles temporales (Cross-Account Roles) es obligatorio para mitigar el riesgo de robo de credenciales.</t>
  </si>
  <si>
    <t>No se encontraron roles de acceso de terceros entre un total de 100 roles</t>
  </si>
  <si>
    <r>
      <rPr>
        <b/>
        <sz val="11"/>
        <color rgb="FF000000"/>
        <rFont val="Montserrat"/>
      </rPr>
      <t>AAAA/MM/DD:</t>
    </r>
    <r>
      <rPr>
        <sz val="11"/>
        <color rgb="FF000000"/>
        <rFont val="Montserrat"/>
      </rPr>
      <t xml:space="preserve">
-</t>
    </r>
  </si>
  <si>
    <t>Detección
SEC 4. ¿Cómo se detectan e investigan los eventos de seguridad?</t>
  </si>
  <si>
    <r>
      <rPr>
        <b/>
        <sz val="11"/>
        <color rgb="FF000000"/>
        <rFont val="Montserrat"/>
      </rPr>
      <t>SEC04-BP01</t>
    </r>
    <r>
      <rPr>
        <sz val="11"/>
        <color rgb="FF000000"/>
        <rFont val="Montserrat"/>
      </rPr>
      <t xml:space="preserve"> Configurar el servicio y el registro de aplicaciones</t>
    </r>
  </si>
  <si>
    <t>Retenga los registros de eventos de seguridad de servicios y aplicaciones. Se trata de un principio fundamental de seguridad en casos de uso de auditoría, investigación y uso operativo, y un requisito de seguridad común basado en las normas, políticas y procedimientos de gobernanza, riesgo y cumplimiento (GRC).</t>
  </si>
  <si>
    <t>- Imposible detectar actividad maliciosa
- Sin auditoría
- Sin visibilidad para respuesta a incidentes
- Modificación de configuraciones AWS
- Exfiltración de datos desde S3
- Ataques de red internos</t>
  </si>
  <si>
    <t xml:space="preserve">- Roles de CloudWatch Agent configurados (CloudWatchAgentServerRole)
- Múltiples VPCs con configuración de logging
Qué hacer para cumplir completamente:
- Verificar que CloudTrail esté habilitado en ambas regiones
- Configurar VPC Flow Logs para todas las VPCs
- Implementar logging de aplicaciones en CloudWatch Logs
- Configurar AWS Config para registro de cambios de configuración
</t>
  </si>
  <si>
    <r>
      <rPr>
        <b/>
        <sz val="11"/>
        <color rgb="FF000000"/>
        <rFont val="Montserrat"/>
      </rPr>
      <t>AAAA/MM/DD:</t>
    </r>
    <r>
      <rPr>
        <sz val="11"/>
        <color rgb="FF000000"/>
        <rFont val="Montserrat"/>
      </rPr>
      <t xml:space="preserve">
-</t>
    </r>
  </si>
  <si>
    <r>
      <rPr>
        <b/>
        <sz val="11"/>
        <color rgb="FF000000"/>
        <rFont val="Montserrat"/>
      </rPr>
      <t>SEC04-BP02</t>
    </r>
    <r>
      <rPr>
        <sz val="11"/>
        <color rgb="FF000000"/>
        <rFont val="Montserrat"/>
      </rPr>
      <t xml:space="preserve"> Capture registros, hallazgos y métricas en ubicaciones estandarizadas</t>
    </r>
  </si>
  <si>
    <t>Los equipos de seguridad se basan en los registros y los resultados para analizar aquellos eventos que podrían indicar una actividad no autorizada o cambios no intencionados. Para agilizar este análisis, recopile los registros de seguridad y los resultados en ubicaciones estandarizadas.  Esto hace que los puntos de datos de interés estén disponibles para su correlación y puede simplificar la integración de herramientas.</t>
  </si>
  <si>
    <t xml:space="preserve">
- Habilitar AWS Security Hub en ambas regiones
- Configurar agregación de logs en CloudWatch Logs
- Implementar centralización de métricas de seguridad
- Configurar AWS EventBridge para correlación de eventos
</t>
  </si>
  <si>
    <r>
      <rPr>
        <b/>
        <sz val="11"/>
        <color rgb="FF000000"/>
        <rFont val="Montserrat"/>
      </rPr>
      <t>AAAA/MM/DD:</t>
    </r>
    <r>
      <rPr>
        <sz val="11"/>
        <color rgb="FF000000"/>
        <rFont val="Montserrat"/>
      </rPr>
      <t xml:space="preserve">
-</t>
    </r>
  </si>
  <si>
    <r>
      <rPr>
        <b/>
        <sz val="11"/>
        <color rgb="FF000000"/>
        <rFont val="Montserrat"/>
      </rPr>
      <t>SEC04-BP03</t>
    </r>
    <r>
      <rPr>
        <sz val="11"/>
        <color rgb="FF000000"/>
        <rFont val="Montserrat"/>
      </rPr>
      <t xml:space="preserve"> Correlaciona y enriquece las alertas de seguridad</t>
    </r>
  </si>
  <si>
    <t>La actividad inesperada puede generar múltiples alertas de seguridad de diferentes fuentes, lo que requiere una mayor correlación y enriquecimiento para comprender el contexto completo. Implemente la correlación y el enriquecimiento automatizados de las alertas de seguridad para ayudar a lograr una identificación y una respuesta a los incidentes más precisas.</t>
  </si>
  <si>
    <t>- Falta de evidencia de correlación automatizada de alertas</t>
  </si>
  <si>
    <r>
      <rPr>
        <b/>
        <sz val="11"/>
        <color rgb="FF000000"/>
        <rFont val="Montserrat"/>
      </rPr>
      <t>AAAA/MM/DD:</t>
    </r>
    <r>
      <rPr>
        <sz val="11"/>
        <color rgb="FF000000"/>
        <rFont val="Montserrat"/>
      </rPr>
      <t xml:space="preserve">
-</t>
    </r>
  </si>
  <si>
    <r>
      <rPr>
        <b/>
        <sz val="11"/>
        <color rgb="FF000000"/>
        <rFont val="Montserrat"/>
      </rPr>
      <t>SEC04-BP04</t>
    </r>
    <r>
      <rPr>
        <sz val="11"/>
        <color rgb="FF000000"/>
        <rFont val="Montserrat"/>
      </rPr>
      <t xml:space="preserve"> Iniciar remediación para recursos no conformes</t>
    </r>
  </si>
  <si>
    <t>Sus controles de detección pueden alertarle sobre la presencia de recursos no conformes con sus requisitos de configuración. Puede iniciar soluciones definidas mediante programación, de forma manual o automática, para corregir estos recursos y ayudar a minimizar los posibles impactos. Al definir las correcciones mediante programación, puede tomar medidas rápidas y coherentes.
Si bien la automatización puede mejorar las operaciones de seguridad, debe implementarla y administrarla con cuidado.  Establezca mecanismos de supervisión y control adecuados para verificar que las respuestas automatizadas sean eficaces, precisas y estén alineadas con las políticas de la organización y la propensión al riesgo.</t>
  </si>
  <si>
    <t>- No se detectaron mecanismos de remediación automática</t>
  </si>
  <si>
    <r>
      <rPr>
        <b/>
        <sz val="11"/>
        <color rgb="FF000000"/>
        <rFont val="Montserrat"/>
      </rPr>
      <t>AAAA/MM/DD:</t>
    </r>
    <r>
      <rPr>
        <sz val="11"/>
        <color rgb="FF000000"/>
        <rFont val="Montserrat"/>
      </rPr>
      <t xml:space="preserve">
-</t>
    </r>
  </si>
  <si>
    <t>Protección de infraestructura
SEC 5. ¿Cómo protege usted los recursos de su red?</t>
  </si>
  <si>
    <r>
      <rPr>
        <b/>
        <sz val="11"/>
        <color rgb="FF000000"/>
        <rFont val="Montserrat"/>
      </rPr>
      <t>SEC05-BP01</t>
    </r>
    <r>
      <rPr>
        <sz val="11"/>
        <color rgb="FF000000"/>
        <rFont val="Montserrat"/>
      </rPr>
      <t xml:space="preserve"> Crear capas de red</t>
    </r>
  </si>
  <si>
    <t>Segmente la topología de red en diferentes capas en función de las agrupaciones lógicas de los componentes de la carga de trabajo según sus requisitos de acceso y la confidencialidad de los datos. Distinga entre los componentes que requieren acceso entrante desde Internet, como los puntos de conexión web públicos, y aquellos que solo necesitan acceso interno, como las bases de datos.</t>
  </si>
  <si>
    <t xml:space="preserve">- Compromiso de una instancia afecta toda la red
- Bases de datos expuestas al mismo nivel que aplicaciones web
- Atacantes pueden moverse libremente entre recursos
- </t>
  </si>
  <si>
    <t>- us-east-1: 4 VPCs segmentadas por entorno (qa, dev, pdn)
- us-east-2: 2 VPCs (dev, production) con múltiples CIDRs
Qué falta:
- Implementar subredes privadas y públicas claramente definidas
- Configurar NAT Gateways para subredes privadas
- Establecer segmentación por niveles (web, app, data)
- Implementar accesos tendiendo al concpeto Zero-trust</t>
  </si>
  <si>
    <r>
      <rPr>
        <b/>
        <sz val="11"/>
        <color rgb="FF000000"/>
        <rFont val="Montserrat"/>
      </rPr>
      <t>AAAA/MM/DD:</t>
    </r>
    <r>
      <rPr>
        <sz val="11"/>
        <color rgb="FF000000"/>
        <rFont val="Montserrat"/>
      </rPr>
      <t xml:space="preserve">
-</t>
    </r>
  </si>
  <si>
    <r>
      <rPr>
        <b/>
        <sz val="11"/>
        <color rgb="FF000000"/>
        <rFont val="Montserrat"/>
      </rPr>
      <t>SEC05-BP02</t>
    </r>
    <r>
      <rPr>
        <sz val="11"/>
        <color rgb="FF000000"/>
        <rFont val="Montserrat"/>
      </rPr>
      <t xml:space="preserve"> Controle el flujo de tráfico dentro de sus capas de red</t>
    </r>
  </si>
  <si>
    <t>Dentro de las capas de su red, utilice una mayor segmentación para restringir el tráfico únicamente a los flujos necesarios para cada carga de trabajo. En primer lugar, céntrese en controlar el tráfico entre Internet u otros sistemas externos a una carga de trabajo y su entorno (tráfico norte-sur). A continuación, observe los flujos entre los diferentes componentes y sistemas (tráfico de este a oeste).</t>
  </si>
  <si>
    <t>- SIN PROTECCIÓN
- Apertura al ataque directo de los datos y servicios, afectando TODA la infraestructura y efectos que cause en el NEGOCIO</t>
  </si>
  <si>
    <t>- Múltiples security groups permiten acceso desde 0.0.0.0/0
- SSH (puerto 22) abierto desde cualquier lugar en varios grupos
- Acceso a bases de datos desde rangos amplios
Qué hacer para cumplir:
- CRÍTICO: Restringir SSH solo a rangos IP específicos
- Implementar Network ACLs para control adicional
- Revisar y restringir reglas de security groups
- Implementar sessión manager en bastion hosts para acceso administrativo</t>
  </si>
  <si>
    <r>
      <rPr>
        <b/>
        <sz val="11"/>
        <color rgb="FF000000"/>
        <rFont val="Montserrat"/>
      </rPr>
      <t>AAAA/MM/DD:</t>
    </r>
    <r>
      <rPr>
        <sz val="11"/>
        <color rgb="FF000000"/>
        <rFont val="Montserrat"/>
      </rPr>
      <t xml:space="preserve">
-</t>
    </r>
  </si>
  <si>
    <r>
      <rPr>
        <b/>
        <sz val="11"/>
        <color rgb="FF000000"/>
        <rFont val="Montserrat"/>
      </rPr>
      <t>SEC05-BP03</t>
    </r>
    <r>
      <rPr>
        <sz val="11"/>
        <color rgb="FF000000"/>
        <rFont val="Montserrat"/>
      </rPr>
      <t xml:space="preserve"> Implementar protección basada en inspección</t>
    </r>
  </si>
  <si>
    <t>Configure puntos de inspección del tráfico entre las capas de la red para asegurarse de que los datos en tránsito coincidan con las categorías y los patrones esperados.  Analice los flujos de tráfico, los metadatos y los patrones para ayudar a identificar y detectar los eventos y responder a ellos de manera más eficaz.</t>
  </si>
  <si>
    <t>- GuardDuty configurado con security groups gestionados
Qué falts:
- Configurar AWS WAF para todo el entorno de aplicaciones web
- Habilitar VPC Flow Logs para análisis de tráfico
- Implementar Amazon Inspector para análisis de vulnerabilidades</t>
  </si>
  <si>
    <r>
      <rPr>
        <b/>
        <sz val="11"/>
        <color rgb="FF000000"/>
        <rFont val="Montserrat"/>
      </rPr>
      <t>AAAA/MM/DD:</t>
    </r>
    <r>
      <rPr>
        <sz val="11"/>
        <color rgb="FF000000"/>
        <rFont val="Montserrat"/>
      </rPr>
      <t xml:space="preserve">
-</t>
    </r>
  </si>
  <si>
    <r>
      <rPr>
        <b/>
        <sz val="11"/>
        <color rgb="FF000000"/>
        <rFont val="Montserrat"/>
      </rPr>
      <t>SEC05-BP04</t>
    </r>
    <r>
      <rPr>
        <sz val="11"/>
        <color rgb="FF000000"/>
        <rFont val="Montserrat"/>
      </rPr>
      <t xml:space="preserve"> Automatice la protección de la red</t>
    </r>
  </si>
  <si>
    <t xml:space="preserve">Automatice la implementación de las protecciones de su red mediante prácticas de DevOps, como la infraestructura como código (IaC) y las canalizaciones de CI/CD.  Estas prácticas pueden ayudarle a hacer un seguimiento de los cambios en las protecciones de la red a través de un sistema de control de versiones, a reducir el tiempo necesario para implementar los cambios y a detectar si las protecciones de la red se desvían de la configuración deseada.  </t>
  </si>
  <si>
    <t>- Intervención manual retrasa mitigación de eventos
- Errores humanos, configuraciones manuales propensas a errores</t>
  </si>
  <si>
    <t>- Implementar AWS Config Rules para compliance de red
- Configurar respuestas automáticas a eventos de GuardDuty
- Establecer automatización de quarantine de instancias comprometidas
- Implementar AWS Systems Manager para gestión automatizada</t>
  </si>
  <si>
    <r>
      <rPr>
        <b/>
        <sz val="11"/>
        <color rgb="FF000000"/>
        <rFont val="Montserrat"/>
      </rPr>
      <t>AAAA/MM/DD:</t>
    </r>
    <r>
      <rPr>
        <sz val="11"/>
        <color rgb="FF000000"/>
        <rFont val="Montserrat"/>
      </rPr>
      <t xml:space="preserve">
-</t>
    </r>
  </si>
  <si>
    <t>Protección de infraestructura
SEC 6. ¿Cómo protege sus recursos computacionales?</t>
  </si>
  <si>
    <r>
      <rPr>
        <b/>
        <sz val="11"/>
        <color rgb="FF000000"/>
        <rFont val="Montserrat"/>
      </rPr>
      <t>SEC06-BP01</t>
    </r>
    <r>
      <rPr>
        <sz val="11"/>
        <color rgb="FF000000"/>
        <rFont val="Montserrat"/>
      </rPr>
      <t xml:space="preserve"> Realizar gestión de vulnerabilidades</t>
    </r>
  </si>
  <si>
    <t>Analice con frecuencia su código, sus dependencias y su infraestructura en busca de vulnerabilidades, y aplique parches para solucionarlas, para ayudarle a protegerse contra las nuevas amenazas.</t>
  </si>
  <si>
    <t>- Explotación de vulnerabilidades
- Vulnerabilidades pueden permitir acceso elevado
- Instancias vulnerables facilitan movimiento de atacantes</t>
  </si>
  <si>
    <t>- Verificar que Amazon Inspector esté completamente habilitado
- Configurar escaneo automático de AMIs
- Implementar proceso de remediación de vulnerabilidades
- Establecer métricas y reportes de vulnerabilidades</t>
  </si>
  <si>
    <r>
      <rPr>
        <b/>
        <sz val="11"/>
        <color rgb="FF000000"/>
        <rFont val="Montserrat"/>
      </rPr>
      <t>AAAA/MM/DD:</t>
    </r>
    <r>
      <rPr>
        <sz val="11"/>
        <color rgb="FF000000"/>
        <rFont val="Montserrat"/>
      </rPr>
      <t xml:space="preserve">
-</t>
    </r>
  </si>
  <si>
    <r>
      <rPr>
        <b/>
        <sz val="11"/>
        <color rgb="FF000000"/>
        <rFont val="Montserrat"/>
      </rPr>
      <t>SEC06-BP02</t>
    </r>
    <r>
      <rPr>
        <sz val="11"/>
        <color rgb="FF000000"/>
        <rFont val="Montserrat"/>
      </rPr>
      <t xml:space="preserve"> Computación de provisión a partir de imágenes endurecidas</t>
    </r>
  </si>
  <si>
    <t>Ofrezca menos oportunidades de acceso no deseado a sus entornos en tiempo de ejecución mediante la implementación desde imágenes reforzadas. Adquiera las dependencias de tiempo de ejecución (como imágenes de contenedores y bibliotecas de aplicaciones) únicamente de registros fiables y verifique sus firmas. Cree sus propios registros privados para almacenar imágenes y bibliotecas confiables para usarlas en sus procesos de desarrollo e implementación.</t>
  </si>
  <si>
    <t>Desplegar instancias o contenedores usando imágenes por defecto (no endurecidas/hardened) deja puertas innecesarias abiertas. Servicios, puertos y cuentas de usuario predeterminados aumentan drásticamente la superficie de ataque disponible para un intruso.</t>
  </si>
  <si>
    <t>Revisar procedimiento y verificar:
- Crear AMIs base endurecidas para cada tipo de workload
- Implementar AWS Systems Manager Patch Manager
- Configurar pipeline de creación de AMIs seguras
- Establecer proceso de validación de imágenes</t>
  </si>
  <si>
    <r>
      <rPr>
        <b/>
        <sz val="11"/>
        <color rgb="FF000000"/>
        <rFont val="Montserrat"/>
      </rPr>
      <t>AAAA/MM/DD:</t>
    </r>
    <r>
      <rPr>
        <sz val="11"/>
        <color rgb="FF000000"/>
        <rFont val="Montserrat"/>
      </rPr>
      <t xml:space="preserve">
-</t>
    </r>
  </si>
  <si>
    <r>
      <rPr>
        <b/>
        <sz val="11"/>
        <color rgb="FF000000"/>
        <rFont val="Montserrat"/>
      </rPr>
      <t>SEC06-BP03</t>
    </r>
    <r>
      <rPr>
        <sz val="11"/>
        <color rgb="FF000000"/>
        <rFont val="Montserrat"/>
      </rPr>
      <t xml:space="preserve"> Reducir la gestión manual y el acceso interactivo</t>
    </r>
  </si>
  <si>
    <t>Utilice la automatización para hacer tareas de implementación, configuración, mantenimiento e investigación siempre que sea posible. Plantéese el acceso manual a los recursos de computación en casos de procedimientos de emergencia o en entornos seguros (entornos de pruebas) cuando la automatización no esté disponible.</t>
  </si>
  <si>
    <t>- Administrador de sesiones: Administrador de sistemas Administrador de sesiones configurado 
- Comando de ejecución: se detectaron 50 invocaciones de comando de ejecución
Falta:
- CodeDeploy: CodeDeploy no configurado
- Lambda: no se detectó automatización sin servidor
- Instancias administradas de SSM: 8/8 Servicios habilitados para ECS Exec: 0 (marcado 0)
- Punto final privado de EKS: Falso (marcado 0)</t>
  </si>
  <si>
    <r>
      <rPr>
        <b/>
        <sz val="11"/>
        <color rgb="FF000000"/>
        <rFont val="Montserrat"/>
      </rPr>
      <t>AAAA/MM/DD:</t>
    </r>
    <r>
      <rPr>
        <sz val="11"/>
        <color rgb="FF000000"/>
        <rFont val="Montserrat"/>
      </rPr>
      <t xml:space="preserve">
-</t>
    </r>
  </si>
  <si>
    <r>
      <rPr>
        <b/>
        <sz val="11"/>
        <color rgb="FF000000"/>
        <rFont val="Montserrat"/>
      </rPr>
      <t>SEC06-BP04</t>
    </r>
    <r>
      <rPr>
        <sz val="11"/>
        <color rgb="FF000000"/>
        <rFont val="Montserrat"/>
      </rPr>
      <t xml:space="preserve"> Validar la integridad del software</t>
    </r>
  </si>
  <si>
    <t>Utilice la verificación criptográfica para validar la integridad de los artefactos de software (incluidas las imágenes) que utiliza su carga de trabajo.  Firme criptográficamente su software como protección contra los cambios no autorizados que se ejecuten en sus entornos de computación.</t>
  </si>
  <si>
    <t>Ejecutar software o contenedores sin verificar su firma criptográfica expone a la organización a ataques a la cadena de suministro. Si un atacante compromete el repositorio de imágenes, podría inyectar malware que tu infraestructura ejecutaría ciegamente al confiar en la fuente sin validar la integridad.</t>
  </si>
  <si>
    <t>No se detectaron mecanismos de validación de integridad</t>
  </si>
  <si>
    <r>
      <rPr>
        <b/>
        <sz val="11"/>
        <color rgb="FF000000"/>
        <rFont val="Montserrat"/>
      </rPr>
      <t>AAAA/MM/DD:</t>
    </r>
    <r>
      <rPr>
        <sz val="11"/>
        <color rgb="FF000000"/>
        <rFont val="Montserrat"/>
      </rPr>
      <t xml:space="preserve">
-</t>
    </r>
  </si>
  <si>
    <r>
      <rPr>
        <b/>
        <sz val="11"/>
        <color rgb="FF000000"/>
        <rFont val="Montserrat"/>
      </rPr>
      <t>SEC06-BP05</t>
    </r>
    <r>
      <rPr>
        <sz val="11"/>
        <color rgb="FF000000"/>
        <rFont val="Montserrat"/>
      </rPr>
      <t xml:space="preserve"> Automatice la protección informática</t>
    </r>
  </si>
  <si>
    <t>Automatice las operaciones de protección de computación para reducir la necesidad de intervención humana. Utilice el análisis automatizado para detectar posibles problemas en sus recursos de computación y use respuestas programáticas automatizadas u operaciones de administración de flotas para solucionarlos.  Incorpore la automatización en sus procesos de CI/CD para implementar cargas de trabajo fiables con dependencias actualizadas.</t>
  </si>
  <si>
    <t>La protección manual (parcheo, escaneo de vulnerabilidades) es demasiado lenta para las amenazas modernas. Sin automatización, la ventana de exposición ante una vulnerabilidad crítica (CVE) permanece abierta durante días o semanas, dando tiempo de sobra a los atacantes para explotarla.</t>
  </si>
  <si>
    <t xml:space="preserve">- Falta de automatización en protección de cómputo
- Implementar AWS Systems Manager Patch Manager
- Configurar AWS Config Rules para compliance de EC2
- Establecer automatización de respuesta a incidentes
- Implementar AWS Security Hub para orquestación
</t>
  </si>
  <si>
    <r>
      <rPr>
        <b/>
        <sz val="11"/>
        <color rgb="FF000000"/>
        <rFont val="Montserrat"/>
      </rPr>
      <t>AAAA/MM/DD:</t>
    </r>
    <r>
      <rPr>
        <sz val="11"/>
        <color rgb="FF000000"/>
        <rFont val="Montserrat"/>
      </rPr>
      <t xml:space="preserve">
-</t>
    </r>
  </si>
  <si>
    <t>Protección de datos
SEC 7. ¿Cómo clasifica sus datos?</t>
  </si>
  <si>
    <r>
      <rPr>
        <b/>
        <sz val="11"/>
        <color rgb="FF000000"/>
        <rFont val="Montserrat"/>
      </rPr>
      <t>SEC07-BP01</t>
    </r>
    <r>
      <rPr>
        <sz val="11"/>
        <color rgb="FF000000"/>
        <rFont val="Montserrat"/>
      </rPr>
      <t xml:space="preserve"> Comprenda su esquema de clasificación de datos</t>
    </r>
  </si>
  <si>
    <t>Comprenda la clasificación de los datos que procesa su carga de trabajo, los requisitos de su tratamiento, los procesos empresariales asociados, dónde se almacenan los datos y quién es su propietario.  Su esquema de clasificación y tratamiento de datos debe tener en cuenta los requisitos legales y de cumplimiento aplicables a su carga de trabajo y los controles de datos necesarios. La comprensión de los datos es el primer paso en el proceso de clasificación de los datos.</t>
  </si>
  <si>
    <t>Operar sin comprender ni clasificar los datos significa que no sabes qué estás protegiendo. El riesgo es aplicar controles débiles a datos confidenciales (PII, financieros) provocando fugas masivas, o aplicar controles excesivos a datos públicos, paralizando la agilidad del negocio.</t>
  </si>
  <si>
    <t xml:space="preserve">- Definir esquema de clasificación de datos (Público, Interno, Confidencial, Restringido)
- Implementar Amazon Macie para descubrimiento automático
- Documentar políticas de clasificación de datos
- Establecer etiquetado estándar para recursos con datos sensibles
</t>
  </si>
  <si>
    <r>
      <rPr>
        <b/>
        <sz val="11"/>
        <color rgb="FF000000"/>
        <rFont val="Montserrat"/>
      </rPr>
      <t>AAAA/MM/DD:</t>
    </r>
    <r>
      <rPr>
        <sz val="11"/>
        <color rgb="FF000000"/>
        <rFont val="Montserrat"/>
      </rPr>
      <t xml:space="preserve">
-</t>
    </r>
  </si>
  <si>
    <r>
      <rPr>
        <b/>
        <sz val="11"/>
        <color rgb="FF000000"/>
        <rFont val="Montserrat"/>
      </rPr>
      <t>SEC07-BP02</t>
    </r>
    <r>
      <rPr>
        <sz val="11"/>
        <color rgb="FF000000"/>
        <rFont val="Montserrat"/>
      </rPr>
      <t xml:space="preserve"> Aplicar controles de protección de datos basados en la sensibilidad de datos</t>
    </r>
  </si>
  <si>
    <t>Aplique controles de protección de datos que proporcionen un nivel de control adecuado para cada clase de datos definida en su política de clasificación.  Esta práctica puede permitirle proteger los datos confidenciales ante el acceso y el uso no autorizados y, al mismo tiempo, preservar la disponibilidad y el uso de los datos.</t>
  </si>
  <si>
    <t>No alinear los controles de seguridad con la sensibilidad del dato (ej. tratar igual una base de datos de clientes que un log de desarrollo) deja los activos críticos vulnerables. Un atacante siempre buscará el eslabón más débil; si los datos sensibles no tienen capas extra de cifrado y control de acceso, la exfiltración es inevitable.</t>
  </si>
  <si>
    <t xml:space="preserve">- Buckets S3 con bloqueo de acceso público habilitado
- Bases de datos RDS no accesibles públicamente
Qué falta:
- Implementar políticas de bucket S3 basadas en clasificación
- Configurar controles de acceso granulares por sensibilidad
- Establecer políticas de retención diferenciadas
- Implementar DLP (Data Loss Prevention) con Macie
</t>
  </si>
  <si>
    <r>
      <rPr>
        <b/>
        <sz val="11"/>
        <color rgb="FF000000"/>
        <rFont val="Montserrat"/>
      </rPr>
      <t>AAAA/MM/DD:</t>
    </r>
    <r>
      <rPr>
        <sz val="11"/>
        <color rgb="FF000000"/>
        <rFont val="Montserrat"/>
      </rPr>
      <t xml:space="preserve">
-</t>
    </r>
  </si>
  <si>
    <r>
      <rPr>
        <b/>
        <sz val="11"/>
        <color rgb="FF000000"/>
        <rFont val="Montserrat"/>
      </rPr>
      <t>SEC07-BP03</t>
    </r>
    <r>
      <rPr>
        <sz val="11"/>
        <color rgb="FF000000"/>
        <rFont val="Montserrat"/>
      </rPr>
      <t xml:space="preserve"> Automatizar la identificación y clasificación</t>
    </r>
  </si>
  <si>
    <t>La automatización de la identificación y clasificación de datos puede ayudarle a implementar los controles correctos. El uso de la automatización para aumentar la determinación manual reduce el riesgo de errores humanos y exposiciones.</t>
  </si>
  <si>
    <t>Depender de la clasificación manual garantiza errores humanos a escala. Los usuarios olvidarán etiquetar archivos sensibles, dejándolos expuestos en repositorios o buckets S3 mal configurados sin que los sistemas de seguridad (DLP) los detecten.</t>
  </si>
  <si>
    <t xml:space="preserve">- Habilitar Amazon Macie en ambas regiones
- Establecer alertas para datos sensibles no clasificados
- Implementar etiquetado automático basado en contenido
</t>
  </si>
  <si>
    <r>
      <rPr>
        <b/>
        <sz val="11"/>
        <color rgb="FF000000"/>
        <rFont val="Montserrat"/>
      </rPr>
      <t>AAAA/MM/DD:</t>
    </r>
    <r>
      <rPr>
        <sz val="11"/>
        <color rgb="FF000000"/>
        <rFont val="Montserrat"/>
      </rPr>
      <t xml:space="preserve">
-</t>
    </r>
  </si>
  <si>
    <r>
      <rPr>
        <b/>
        <sz val="11"/>
        <color rgb="FF000000"/>
        <rFont val="Montserrat"/>
      </rPr>
      <t>SEC07-BP04</t>
    </r>
    <r>
      <rPr>
        <sz val="11"/>
        <color rgb="FF000000"/>
        <rFont val="Montserrat"/>
      </rPr>
      <t xml:space="preserve"> Definir la gestión escalable del ciclo de vida de los datos</t>
    </r>
  </si>
  <si>
    <t>Comprenda los requisitos del ciclo de vida de sus datos en relación con sus diferentes niveles de clasificación y gestión de datos.  Entre ellos pueden estar la forma de gestionar los datos cuando entran por primera vez en su entorno, la manera de transformarlos y las reglas para su destrucción. Tenga en cuenta factores como los periodos de retención, el acceso, la auditoría y el seguimiento de la procedencia.</t>
  </si>
  <si>
    <t>Acumular datos indefinidamente sin un ciclo de vida crea un riesgo tóxico y legal. Retener datos antiguos innecesarios no solo aumenta los costos de almacenamiento, sino que amplía la superficie de ataque y garantiza el incumplimiento de normativas de privacidad (como GDPR o leyes locales) que exigen la eliminación de datos.</t>
  </si>
  <si>
    <t xml:space="preserve">- Algunas políticas de lifecycle en S3 (bucket de diagnóstico SSM con expiración de 30 días)
- Períodos de retención de backup RDS configurados (1-8 días)
Qué falta:
- Implementar políticas de lifecycle completas para todos los buckets S3
- Establecer políticas de archivado automático (IA, Glacier)
- Configurar eliminación automática de datos según políticas de retención
</t>
  </si>
  <si>
    <r>
      <rPr>
        <b/>
        <sz val="11"/>
        <color rgb="FF000000"/>
        <rFont val="Montserrat"/>
      </rPr>
      <t>AAAA/MM/DD:</t>
    </r>
    <r>
      <rPr>
        <sz val="11"/>
        <color rgb="FF000000"/>
        <rFont val="Montserrat"/>
      </rPr>
      <t xml:space="preserve">
-</t>
    </r>
  </si>
  <si>
    <t>Protección de datos
SEC 8. ¿Cómo protege sus datos en reposo?</t>
  </si>
  <si>
    <r>
      <rPr>
        <b/>
        <sz val="11"/>
        <color rgb="FF000000"/>
        <rFont val="Montserrat"/>
      </rPr>
      <t>SEC08-BP01</t>
    </r>
    <r>
      <rPr>
        <sz val="11"/>
        <color rgb="FF000000"/>
        <rFont val="Montserrat"/>
      </rPr>
      <t xml:space="preserve"> Implementar la gestión segura de claves</t>
    </r>
  </si>
  <si>
    <t>La administración segura de claves incluye el almacenamiento, la rotación, el control de acceso y la supervisión del material de claves necesario para proteger los datos en reposo para su carga de trabajo.</t>
  </si>
  <si>
    <t>Almacenar claves criptográficas sin un servicio de gestión (como AWS KMS) o no rotarlas nunca aumenta el "radio de explosión" de una brecha. Si una clave estática es comprometida, todos los datos históricos cifrados con ella quedan expuestos irrevocablemente.</t>
  </si>
  <si>
    <r>
      <rPr>
        <b/>
        <sz val="11"/>
        <color rgb="FF000000"/>
        <rFont val="Montserrat"/>
      </rPr>
      <t>AAAA/MM/DD:</t>
    </r>
    <r>
      <rPr>
        <sz val="11"/>
        <color rgb="FF000000"/>
        <rFont val="Montserrat"/>
      </rPr>
      <t xml:space="preserve">
-</t>
    </r>
  </si>
  <si>
    <r>
      <rPr>
        <b/>
        <sz val="11"/>
        <color rgb="FF000000"/>
        <rFont val="Montserrat"/>
      </rPr>
      <t>SEC08-BP02</t>
    </r>
    <r>
      <rPr>
        <sz val="11"/>
        <color rgb="FF000000"/>
        <rFont val="Montserrat"/>
      </rPr>
      <t xml:space="preserve"> Hacer cumplir el cifrado en reposo</t>
    </r>
  </si>
  <si>
    <t>Cifre los datos privados en reposo para mantener la confidencialidad y proporcionar una capa adicional de protección contra la divulgación o exfiltración de datos no deseada. El cifrado protege los datos para que no sea posible leerlos ni acceder a ellos sin antes descifrarlos. Haga un inventario y lleve un control de los datos no cifrados para mitigar los riesgos asociados a la exposición de los datos.</t>
  </si>
  <si>
    <t>Almacenar datos en reposo sin cifrar (discos EBS, buckets S3) significa que si un snapshot se filtra accidentalmente o un disco físico es desechado incorrectamente, los datos son legibles por cualquiera. Es un fallo básico de cumplimiento normativo (GDPR, PCI-DSS).</t>
  </si>
  <si>
    <r>
      <rPr>
        <b/>
        <sz val="11"/>
        <color rgb="FF000000"/>
        <rFont val="Montserrat"/>
      </rPr>
      <t>AAAA/MM/DD:</t>
    </r>
    <r>
      <rPr>
        <sz val="11"/>
        <color rgb="FF000000"/>
        <rFont val="Montserrat"/>
      </rPr>
      <t xml:space="preserve">
-</t>
    </r>
  </si>
  <si>
    <r>
      <rPr>
        <b/>
        <sz val="11"/>
        <color rgb="FF000000"/>
        <rFont val="Montserrat"/>
      </rPr>
      <t>SEC08-BP03</t>
    </r>
    <r>
      <rPr>
        <sz val="11"/>
        <color rgb="FF000000"/>
        <rFont val="Montserrat"/>
      </rPr>
      <t xml:space="preserve"> Automatice los datos en reposo protección</t>
    </r>
  </si>
  <si>
    <t>Utilice la automatización para validar y aplicar los controles de datos en reposo.  Utilice el análisis automatizado para detectar errores de configuración de sus soluciones de almacenamiento de datos y, en la medida de lo posible, aplique las correcciones mediante una respuesta programática automatizada.  Incorpore la automatización en sus procesos de CI/CD para detectar errores de configuración del almacenamiento de datos antes de que se implementen en producción.</t>
  </si>
  <si>
    <t>Depender de humanos para verificar si los datos están cifrados es ineficaz. El riesgo es la exposición accidental silenciosa: un desarrollador crea un nuevo bucket S3 sin cifrado y nadie se da cuenta hasta que ocurre una filtración, ya que no hay automatización que detecte y corrija el error al instante.</t>
  </si>
  <si>
    <r>
      <rPr>
        <b/>
        <sz val="11"/>
        <color rgb="FF000000"/>
        <rFont val="Montserrat"/>
      </rPr>
      <t>AAAA/MM/DD:</t>
    </r>
    <r>
      <rPr>
        <sz val="11"/>
        <color rgb="FF000000"/>
        <rFont val="Montserrat"/>
      </rPr>
      <t xml:space="preserve">
-</t>
    </r>
  </si>
  <si>
    <r>
      <rPr>
        <b/>
        <sz val="11"/>
        <color rgb="FF000000"/>
        <rFont val="Montserrat"/>
      </rPr>
      <t>SEC08-BP04</t>
    </r>
    <r>
      <rPr>
        <sz val="11"/>
        <color rgb="FF000000"/>
        <rFont val="Montserrat"/>
      </rPr>
      <t xml:space="preserve"> Hacer cumplir el control de acceso</t>
    </r>
  </si>
  <si>
    <t>Para ayudarlo a proteger sus datos en reposo, aplique el control de acceso mediante mecanismos como el aislamiento y el control de versiones. Aplique controles de acceso condicional y de privilegios mínimos. Impida que se conceda acceso público a sus datos.</t>
  </si>
  <si>
    <t>No aplicar controles de acceso estrictos (como bloquear el acceso público a S3) o no usar versionado expone los datos a borrado por Ransomware o exfiltración pública. Sin versionado, un comando de borrado malicioso es irreversible; sin bloqueo público, los datos son accesibles mundialmente.</t>
  </si>
  <si>
    <t xml:space="preserve">- Implementar políticas de bucket S3 más granulares
- Establecer controles de acceso basados en IAM conditions
</t>
  </si>
  <si>
    <r>
      <rPr>
        <b/>
        <sz val="11"/>
        <color rgb="FF000000"/>
        <rFont val="Montserrat"/>
      </rPr>
      <t>AAAA/MM/DD:</t>
    </r>
    <r>
      <rPr>
        <sz val="11"/>
        <color rgb="FF000000"/>
        <rFont val="Montserrat"/>
      </rPr>
      <t xml:space="preserve">
-</t>
    </r>
  </si>
  <si>
    <t>Protección de datos
SEC 9. ¿Cómo protege sus datos en tránsito?</t>
  </si>
  <si>
    <r>
      <rPr>
        <b/>
        <sz val="11"/>
        <color rgb="FF000000"/>
        <rFont val="Montserrat"/>
      </rPr>
      <t>SEC09-BP01</t>
    </r>
    <r>
      <rPr>
        <sz val="11"/>
        <color rgb="FF000000"/>
        <rFont val="Montserrat"/>
      </rPr>
      <t xml:space="preserve"> Implementar la gestión segura de claves y certificados</t>
    </r>
  </si>
  <si>
    <t>Los certificados de seguridad de la capa de transporte (TLS) se utilizan para proteger las comunicaciones de red y establecer la identidad de los sitios web, los recursos y las cargas de trabajo a través de Internet, así como de las redes privadas.</t>
  </si>
  <si>
    <t>Gestionar certificados manualmente (hojas de cálculo) o dejar claves privadas en el código fuente garantiza desastres. El riesgo principal es la interrupción del servicio por caducidad de certificados (caída del sitio) o la suplantación de identidad si una clave privada es robada, permitiendo ataques Man-in-the-Middle.</t>
  </si>
  <si>
    <t>- Implementar la seguridad de la capa de transporte y de usuario End to End (de inicio a la ñpunta final) incluiyendo las oas privadas y DMZ</t>
  </si>
  <si>
    <r>
      <rPr>
        <b/>
        <sz val="11"/>
        <color rgb="FF000000"/>
        <rFont val="Montserrat"/>
      </rPr>
      <t>AAAA/MM/DD:</t>
    </r>
    <r>
      <rPr>
        <sz val="11"/>
        <color rgb="FF000000"/>
        <rFont val="Montserrat"/>
      </rPr>
      <t xml:space="preserve">
-</t>
    </r>
  </si>
  <si>
    <r>
      <rPr>
        <b/>
        <sz val="11"/>
        <color rgb="FF000000"/>
        <rFont val="Montserrat"/>
      </rPr>
      <t>SEC09-BP02</t>
    </r>
    <r>
      <rPr>
        <sz val="11"/>
        <color rgb="FF000000"/>
        <rFont val="Montserrat"/>
      </rPr>
      <t xml:space="preserve"> Hacer cumplir el cifrado en tránsito</t>
    </r>
  </si>
  <si>
    <t>Aplique los requisitos de cifrado definidos en función de las políticas, las obligaciones reglamentarias y las normas de su organización para ayudarle a cumplir los requisitos organizativos, legales y de cumplimiento. Utilice únicamente protocolos con cifrado cuando transmita datos confidenciales fuera de su nube privada virtual (VPC). El cifrado ayuda a mantener la confidencialidad de los datos incluso cuando transitan por redes que no son de confianza.</t>
  </si>
  <si>
    <t>Transmitir datos sensibles (credenciales, PII) sin cifrado (HTTP, FTP) permite que cualquier actor en la red intercepte y lea la información. En redes públicas o compartidas, esto equivale a publicar los datos abiertamente, violando normativas de cumplimiento y destruyendo la confianza del cliente.</t>
  </si>
  <si>
    <t>- Load balancers configurados con HTTPS (puerto 443)
- RDS con SSL/TLS habilitado
- Security groups permitiendo tráfico HTTPS
Qué falta:
- Verificar que todas las aplicaciones usen HTTPS exclusivamente de punto inicial al punto final
- Implementar redirección automática HTTP a HTTPS en DNS
- Configurar TLS 1.2+ como mínimo en todos los servicios
- Implementar cifrado para comunicación entre servicios internos</t>
  </si>
  <si>
    <r>
      <rPr>
        <b/>
        <sz val="11"/>
        <color rgb="FF000000"/>
        <rFont val="Montserrat"/>
      </rPr>
      <t>AAAA/MM/DD:</t>
    </r>
    <r>
      <rPr>
        <sz val="11"/>
        <color rgb="FF000000"/>
        <rFont val="Montserrat"/>
      </rPr>
      <t xml:space="preserve">
-</t>
    </r>
  </si>
  <si>
    <r>
      <rPr>
        <b/>
        <sz val="11"/>
        <color rgb="FF000000"/>
        <rFont val="Montserrat"/>
      </rPr>
      <t>SEC09-BP03</t>
    </r>
    <r>
      <rPr>
        <sz val="11"/>
        <color rgb="FF000000"/>
        <rFont val="Montserrat"/>
      </rPr>
      <t xml:space="preserve"> Autenticar las comunicaciones de red</t>
    </r>
  </si>
  <si>
    <t>Verifique la identidad de las comunicaciones mediante el uso de protocolos que admiten la autenticación, como la seguridad de la capa de transporte (TLS) o IPsec.
Diseñe su carga de trabajo para utilizar protocolos de red seguros y autenticados siempre que haya una comunicación entre servicios, aplicaciones o usuarios. El uso de protocolos de red que admiten autenticación y autorización proporciona un mayor control sobre los flujos de red y reduce la repercusión del acceso no autorizado.</t>
  </si>
  <si>
    <t>N/E</t>
  </si>
  <si>
    <t>Confiar ciegamente en cualquier conexión de red sin autenticación mutua (mTLS o IPsec) permite la suplantación de servicios. Un atacante dentro de la red podría levantar un servicio falso y capturar tráfico destinado a la base de datos o API interna si no se verifica la identidad del destino.</t>
  </si>
  <si>
    <r>
      <rPr>
        <b/>
        <sz val="11"/>
        <color rgb="FF000000"/>
        <rFont val="Montserrat"/>
      </rPr>
      <t>AAAA/MM/DD:</t>
    </r>
    <r>
      <rPr>
        <sz val="11"/>
        <color rgb="FF000000"/>
        <rFont val="Montserrat"/>
      </rPr>
      <t xml:space="preserve">
-</t>
    </r>
  </si>
  <si>
    <t>Respuesta a incidencias
SEC 10. ¿Cómo anticipa, responde y se recupera de los incidentes?</t>
  </si>
  <si>
    <r>
      <rPr>
        <b/>
        <sz val="11"/>
        <color rgb="FF000000"/>
        <rFont val="Montserrat"/>
      </rPr>
      <t>SEC10-BP01</t>
    </r>
    <r>
      <rPr>
        <sz val="11"/>
        <color rgb="FF000000"/>
        <rFont val="Montserrat"/>
      </rPr>
      <t xml:space="preserve"> Identificar personal clave y recursos externos</t>
    </r>
  </si>
  <si>
    <t>Identifique las obligaciones legales, el personal y los recursos internos y externos que puedan ayudar a su organización a responder ante un incidente.</t>
  </si>
  <si>
    <t>Durante un ciberataque, el caos es el enemigo. No tener identificados a los contactos clave (Legal, PR, Forenses externos) genera una parálisis en la toma de decisiones, retrasando la contención y aumentando el daño reputacional y legal.</t>
  </si>
  <si>
    <t xml:space="preserve">No se detectó documentación de personal de respuesta a incidentes o recursos externos
</t>
  </si>
  <si>
    <r>
      <rPr>
        <b/>
        <sz val="11"/>
        <color rgb="FF000000"/>
        <rFont val="Montserrat"/>
      </rPr>
      <t>AAAA/MM/DD:</t>
    </r>
    <r>
      <rPr>
        <sz val="11"/>
        <color rgb="FF000000"/>
        <rFont val="Montserrat"/>
      </rPr>
      <t xml:space="preserve">
-</t>
    </r>
  </si>
  <si>
    <r>
      <rPr>
        <b/>
        <sz val="11"/>
        <color rgb="FF000000"/>
        <rFont val="Montserrat"/>
      </rPr>
      <t>SEC10-BP02</t>
    </r>
    <r>
      <rPr>
        <sz val="11"/>
        <color rgb="FF000000"/>
        <rFont val="Montserrat"/>
      </rPr>
      <t xml:space="preserve"> Desarrollar planes de gestión de incidentes</t>
    </r>
  </si>
  <si>
    <t>El primer documento que se desarrolla para la respuesta a incidentes es el plan de respuesta a incidentes. El plan de respuesta a incidentes está diseñado para ser la base de su programa y estrategia de respuesta a incidentes.</t>
  </si>
  <si>
    <t>Responder "sobre la marcha" (ad-hoc) lleva a errores graves, como borrar evidencia forense accidentalmente al reiniciar servidores infectados. Sin un plan formal, la organización no gestiona el incidente, el incidente gestiona a la organización.</t>
  </si>
  <si>
    <t>No se identificaron planes formales de gestión de incidentes</t>
  </si>
  <si>
    <r>
      <rPr>
        <b/>
        <sz val="11"/>
        <color rgb="FF000000"/>
        <rFont val="Montserrat"/>
      </rPr>
      <t>AAAA/MM/DD:</t>
    </r>
    <r>
      <rPr>
        <sz val="11"/>
        <color rgb="FF000000"/>
        <rFont val="Montserrat"/>
      </rPr>
      <t xml:space="preserve">
-</t>
    </r>
  </si>
  <si>
    <r>
      <rPr>
        <b/>
        <sz val="11"/>
        <color rgb="FF000000"/>
        <rFont val="Montserrat"/>
      </rPr>
      <t>SEC10-BP03</t>
    </r>
    <r>
      <rPr>
        <sz val="11"/>
        <color rgb="FF000000"/>
        <rFont val="Montserrat"/>
      </rPr>
      <t xml:space="preserve"> Preparar capacidades forenses</t>
    </r>
  </si>
  <si>
    <t>Antes de que se produzca un incidente de seguridad, considere la posibilidad de desarrollar capacidades forenses que lo ayuden a investigar los eventos de seguridad.</t>
  </si>
  <si>
    <t>Intentar activar logs después de que ocurrió el ataque es inútil. Sin capacidades forenses pre-configuradas, es imposible determinar qué datos se robaron o cómo entraron, impidiendo una remediación efectiva y el cumplimiento de leyes de notificación de brechas.</t>
  </si>
  <si>
    <t xml:space="preserve">- CRÍTICO: No hay CloudTrail configurado en ninguna región
- Logs limitados con retenciones cortas (3-90 días)
</t>
  </si>
  <si>
    <r>
      <rPr>
        <b/>
        <sz val="11"/>
        <color rgb="FF000000"/>
        <rFont val="Montserrat"/>
      </rPr>
      <t>AAAA/MM/DD:</t>
    </r>
    <r>
      <rPr>
        <sz val="11"/>
        <color rgb="FF000000"/>
        <rFont val="Montserrat"/>
      </rPr>
      <t xml:space="preserve">
-</t>
    </r>
  </si>
  <si>
    <r>
      <rPr>
        <b/>
        <sz val="11"/>
        <color rgb="FF000000"/>
        <rFont val="Montserrat"/>
      </rPr>
      <t>SEC10-BP04</t>
    </r>
    <r>
      <rPr>
        <sz val="11"/>
        <color rgb="FF000000"/>
        <rFont val="Montserrat"/>
      </rPr>
      <t xml:space="preserve"> Desarrollar y probar libros de jugadas de respuesta a incidentes de seguridad</t>
    </r>
  </si>
  <si>
    <t>Una parte esencial de la preparación de los procesos de respuesta a incidentes consiste en desarrollar manuales de estrategias. Los manuales de estrategias de respuesta a incidentes ofrecen directrices y pasos prescriptivos que deben seguirse cuando se produce un evento de seguridad. Contar con una estructura y unos pasos claros simplifica la respuesta y reduce la probabilidad de que se produzcan errores humanos.</t>
  </si>
  <si>
    <t>Sin "Playbooks" (manuales de juego) paso a paso, el equipo depende del "conocimiento tribal" de expertos que pueden no estar disponibles. Esto resulta en respuestas inconsistentes y lentas, aumentando el tiempo de permanencia del atacante en la red.</t>
  </si>
  <si>
    <r>
      <rPr>
        <b/>
        <sz val="11"/>
        <color rgb="FF000000"/>
        <rFont val="Montserrat"/>
      </rPr>
      <t>AAAA/MM/DD:</t>
    </r>
    <r>
      <rPr>
        <sz val="11"/>
        <color rgb="FF000000"/>
        <rFont val="Montserrat"/>
      </rPr>
      <t xml:space="preserve">
-</t>
    </r>
  </si>
  <si>
    <r>
      <rPr>
        <b/>
        <sz val="11"/>
        <color rgb="FF000000"/>
        <rFont val="Montserrat"/>
      </rPr>
      <t>SEC10-BP05</t>
    </r>
    <r>
      <rPr>
        <sz val="11"/>
        <color rgb="FF000000"/>
        <rFont val="Montserrat"/>
      </rPr>
      <t xml:space="preserve"> Acceso previo a la provisión</t>
    </r>
  </si>
  <si>
    <t>Verifique que haya aprovisionado previamente el acceso correcto a los equipos de intervención de incidentes en AWS para reducir el tiempo necesario de investigación hasta la recuperación.</t>
  </si>
  <si>
    <t>Si el equipo de seguridad no tiene accesos pre-aprovisionados (cuentas "Break-glass"), perderán horas críticas solicitando permisos mientras el ataque está en curso. El riesgo es el bloqueo operativo: no poder entrar a cerrar la puerta mientras los ladrones están dentro.</t>
  </si>
  <si>
    <t xml:space="preserve">- Roles de SSO configurados para diferentes niveles de acceso
- Roles de emergencia no identificados específicament
</t>
  </si>
  <si>
    <r>
      <rPr>
        <b/>
        <sz val="11"/>
        <color rgb="FF000000"/>
        <rFont val="Montserrat"/>
      </rPr>
      <t>AAAA/MM/DD:</t>
    </r>
    <r>
      <rPr>
        <sz val="11"/>
        <color rgb="FF000000"/>
        <rFont val="Montserrat"/>
      </rPr>
      <t xml:space="preserve">
-</t>
    </r>
  </si>
  <si>
    <r>
      <rPr>
        <b/>
        <sz val="11"/>
        <color rgb="FF000000"/>
        <rFont val="Montserrat"/>
      </rPr>
      <t>SEC10-BP06</t>
    </r>
    <r>
      <rPr>
        <sz val="11"/>
        <color rgb="FF000000"/>
        <rFont val="Montserrat"/>
      </rPr>
      <t xml:space="preserve"> Herramientas de implementación previa</t>
    </r>
  </si>
  <si>
    <t>Asegúrese de que el personal de seguridad implementa las herramientas correctas con anticipación para reducir el plazo de investigación hasta conseguir la recuperación.</t>
  </si>
  <si>
    <t>Perder la "hora dorada" de respuesta instalando herramientas forenses permite al atacante borrar sus huellas. Si las herramientas no están pre-desplegadas, la visibilidad en tiempo real es nula durante los momentos más críticos del incidente.</t>
  </si>
  <si>
    <t xml:space="preserve">- Implementar AWS Security Hub para centralización
- Configurar AWS Systems Manager para respuesta automatizada
- Preparar instancias forenses pre-configuradas
- Implementar herramientas de análisis de memoria y disco
- Configurar AWS Lambda para automatización de respuesta
</t>
  </si>
  <si>
    <r>
      <rPr>
        <b/>
        <sz val="11"/>
        <color rgb="FF000000"/>
        <rFont val="Montserrat"/>
      </rPr>
      <t>AAAA/MM/DD:</t>
    </r>
    <r>
      <rPr>
        <sz val="11"/>
        <color rgb="FF000000"/>
        <rFont val="Montserrat"/>
      </rPr>
      <t xml:space="preserve">
-</t>
    </r>
  </si>
  <si>
    <r>
      <rPr>
        <b/>
        <sz val="11"/>
        <color rgb="FF000000"/>
        <rFont val="Montserrat"/>
      </rPr>
      <t>SEC10-BP07</t>
    </r>
    <r>
      <rPr>
        <sz val="11"/>
        <color rgb="FF000000"/>
        <rFont val="Montserrat"/>
      </rPr>
      <t xml:space="preserve"> Ejecutar simulaciones</t>
    </r>
  </si>
  <si>
    <t>Las organizaciones crecen y evolucionan con el tiempo, pero también las amenazas, por lo que es importante que revise continuamente sus capacidades de respuesta a los incidentes. Ejecutar simulaciones (también conocidas como días de juego) es un buen método para llevar a cabo esta evaluación. En las simulaciones, se utilizan escenarios de eventos de seguridad reales diseñados para imitar las tácticas, técnicas y procedimientos (TTP) del actor de una amenaza y permiten a la organización probar y evaluar sus capacidades de respuesta a los incidentes respondiendo a estos simulacros de ataques cibernéticos tal y como podría ocurrir en la realidad.</t>
  </si>
  <si>
    <t>Un plan que no se prueba, no existe. Sin simulacros (Game Days), el equipo tendrá una falsa sensación de seguridad. El riesgo es descubrir que los procedimientos fallan o que los backups no funcionan justo en medio de un ataque real de Ransomware.</t>
  </si>
  <si>
    <r>
      <rPr>
        <b/>
        <sz val="11"/>
        <color rgb="FF000000"/>
        <rFont val="Montserrat"/>
      </rPr>
      <t>AAAA/MM/DD:</t>
    </r>
    <r>
      <rPr>
        <sz val="11"/>
        <color rgb="FF000000"/>
        <rFont val="Montserrat"/>
      </rPr>
      <t xml:space="preserve">
-</t>
    </r>
  </si>
  <si>
    <r>
      <rPr>
        <b/>
        <sz val="11"/>
        <color rgb="FF000000"/>
        <rFont val="Montserrat"/>
      </rPr>
      <t>SEC10-BP08</t>
    </r>
    <r>
      <rPr>
        <sz val="11"/>
        <color rgb="FF000000"/>
        <rFont val="Montserrat"/>
      </rPr>
      <t xml:space="preserve"> Establecer un marco para aprender de los incidentes</t>
    </r>
  </si>
  <si>
    <t>La implementación de un marco de trabajo sobre las lecciones aprendidas y una funcionalidad de análisis de la causa raíz no solo puede ayudar a mejorar las capacidades de respuesta a los incidentes, sino también a evitar que el incidente se repita. Al aprender de cada incidente, puede ayudar a evitar que se repitan los mismos errores, exposiciones o configuraciones incorrectas, lo que no solo mejorará el nivel de seguridad, sino también minimizará el tiempo que se pierde en situaciones evitables.</t>
  </si>
  <si>
    <t>No realizar un post-mortem (lecciones aprendidas) garantiza que el mismo incidente volverá a ocurrir. Desperdiciar la oportunidad de aprender de un error es un fallo de gestión que perpetúa las vulnerabilidades y la ineficiencia.</t>
  </si>
  <si>
    <t xml:space="preserve">No se identificaron procesos de post-mortem o mejora continua
</t>
  </si>
  <si>
    <r>
      <rPr>
        <b/>
        <sz val="11"/>
        <color rgb="FF000000"/>
        <rFont val="Montserrat"/>
      </rPr>
      <t>AAAA/MM/DD:</t>
    </r>
    <r>
      <rPr>
        <sz val="11"/>
        <color rgb="FF000000"/>
        <rFont val="Montserrat"/>
      </rPr>
      <t xml:space="preserve">
-</t>
    </r>
  </si>
  <si>
    <t>Seguridad de aplicaciónes
SEC 11. ¿Cómo incorpora y valida las propiedades de seguridad de las aplicaciones a lo largo del ciclo de vida de diseño, desarrollo e implementación?</t>
  </si>
  <si>
    <r>
      <rPr>
        <b/>
        <sz val="11"/>
        <color rgb="FF000000"/>
        <rFont val="Montserrat"/>
      </rPr>
      <t>SEC11-BP01</t>
    </r>
    <r>
      <rPr>
        <sz val="11"/>
        <color rgb="FF000000"/>
        <rFont val="Montserrat"/>
      </rPr>
      <t xml:space="preserve"> Tren para seguridad de aplicaciones</t>
    </r>
  </si>
  <si>
    <t>Forme a su equipo en prácticas de desarrollo y funcionamiento seguros, lo que los ayudará a crear software seguro y de alta calidad. Esta práctica ayuda a su equipo a prevenir, detectar y solucionar los problemas de seguridad en una fase temprana del ciclo de vida del desarrollo. Puede plantearse impartir formación sobre el modelado de amenazas, las prácticas de codificación segura y el uso de servicios para una configuración y funcionamiento seguros. Proporcione a su equipo acceso a la formación mediante recursos de autoservicio y recopile periódicamente sus comentarios para mejorar continuamente.</t>
  </si>
  <si>
    <t>Sin formación en desarrollo seguro, los desarrolladores introducen vulnerabilidades comunes (OWASP Top 10) por desconocimiento. El riesgo es que la seguridad se convierta en un cuello de botella al final del ciclo, o peor, que se despliegue código inseguro que podría haberse prevenido con educación básica.</t>
  </si>
  <si>
    <t xml:space="preserve">- Crear workshops sobre OWASP Top 10 y amenazas comunes
- Implementar threat modeling training
- Establecer programa de awareness continuo sobre vulnerabilidades
</t>
  </si>
  <si>
    <r>
      <rPr>
        <b/>
        <sz val="11"/>
        <color rgb="FF000000"/>
        <rFont val="Montserrat"/>
      </rPr>
      <t>AAAA/MM/DD:</t>
    </r>
    <r>
      <rPr>
        <sz val="11"/>
        <color rgb="FF000000"/>
        <rFont val="Montserrat"/>
      </rPr>
      <t xml:space="preserve">
-</t>
    </r>
  </si>
  <si>
    <r>
      <rPr>
        <b/>
        <sz val="11"/>
        <color rgb="FF000000"/>
        <rFont val="Montserrat"/>
      </rPr>
      <t>SEC11-BP02</t>
    </r>
    <r>
      <rPr>
        <sz val="11"/>
        <color rgb="FF000000"/>
        <rFont val="Montserrat"/>
      </rPr>
      <t xml:space="preserve"> Automatice las pruebas a lo largo del ciclo de vida de desarrollo y lanzamiento</t>
    </r>
  </si>
  <si>
    <t>Automatice las pruebas de las propiedades de seguridad a lo largo del ciclo de vida de desarrollo y lanzamiento. La automatización facilita la identificación coherente y repetible de posibles problemas en el software antes de su lanzamiento, lo que reduce el riesgo de problemas de seguridad en el software suministrado.</t>
  </si>
  <si>
    <t>Confiar en pruebas manuales o ignorar la seguridad en el CI/CD garantiza que vulnerabilidades críticas lleguen a producción. Sin escaneo automático (SAST/DAST/SCA), el ritmo de desarrollo supera la capacidad de auditoría, acumulando deuda de seguridad invisible.</t>
  </si>
  <si>
    <t>- Configurar dependency scanning en CodeBuild
- Implementar Infrastructure as Code security scanning</t>
  </si>
  <si>
    <r>
      <rPr>
        <b/>
        <sz val="11"/>
        <color rgb="FF000000"/>
        <rFont val="Montserrat"/>
      </rPr>
      <t>AAAA/MM/DD:</t>
    </r>
    <r>
      <rPr>
        <sz val="11"/>
        <color rgb="FF000000"/>
        <rFont val="Montserrat"/>
      </rPr>
      <t xml:space="preserve">
-</t>
    </r>
  </si>
  <si>
    <r>
      <rPr>
        <b/>
        <sz val="11"/>
        <color rgb="FF000000"/>
        <rFont val="Montserrat"/>
      </rPr>
      <t>SEC11-BP03</t>
    </r>
    <r>
      <rPr>
        <sz val="11"/>
        <color rgb="FF000000"/>
        <rFont val="Montserrat"/>
      </rPr>
      <t xml:space="preserve"> Realizar pruebas de penetración regulares</t>
    </r>
  </si>
  <si>
    <t>Lleve a cabo pruebas de penetración periódicas de su software. Este mecanismo ayuda a identificar posibles problemas de software que no pueden detectarse mediante pruebas automatizadas o una revisión manual del código. También puede ayudarle a comprender la eficacia de sus controles de detección. Las pruebas de penetración deben tratar de determinar si se puede hacer que el software lleve a cabo operaciones inesperadas, como exponer datos que deberían estar protegidos o conceder permisos más amplios de lo esperado.</t>
  </si>
  <si>
    <t>Las herramientas automáticas no encuentran errores de lógica de negocio. Sin pruebas de penetración (Pen-Testing) periódicas, la organización es ciega ante cadenas de ataque complejas que un humano malintencionado sí encontraría y explotaría para robar datos o elevar privilegios.</t>
  </si>
  <si>
    <r>
      <rPr>
        <b/>
        <sz val="11"/>
        <color rgb="FF000000"/>
        <rFont val="Montserrat"/>
      </rPr>
      <t>AAAA/MM/DD:</t>
    </r>
    <r>
      <rPr>
        <sz val="11"/>
        <color rgb="FF000000"/>
        <rFont val="Montserrat"/>
      </rPr>
      <t xml:space="preserve">
-</t>
    </r>
  </si>
  <si>
    <r>
      <rPr>
        <b/>
        <sz val="11"/>
        <color rgb="FF000000"/>
        <rFont val="Montserrat"/>
      </rPr>
      <t>SEC11-BP04</t>
    </r>
    <r>
      <rPr>
        <sz val="11"/>
        <color rgb="FF000000"/>
        <rFont val="Montserrat"/>
      </rPr>
      <t xml:space="preserve"> Realizar revisiones de código</t>
    </r>
  </si>
  <si>
    <t>Implemente revisiones de código para ayudar a verificar la calidad y la seguridad del software que se está desarrollando. En las revisiones del código, otros miembros del equipo, además del autor del código original, revisan el código para detectar posibles problemas o vulnerabilidades y comprobar que cumpla con los estándares y las prácticas recomendadas de codificación. Este proceso ayuda a detectar errores, incoherencias y fallos de seguridad que el desarrollador original podría haber pasado por alto. Use herramientas automatizadas para que lo ayuden con las revisiones del código.</t>
  </si>
  <si>
    <t>La ausencia de revisiones de código entre pares (Peer Review) facilita la introducción de credenciales hardcodeadas ("secretos") o puertas traseras accidentales. El "efecto túnel" del desarrollador original impide ver fallos obvios que otro par de ojos detectaría al instante.</t>
  </si>
  <si>
    <r>
      <rPr>
        <b/>
        <sz val="11"/>
        <color rgb="FF000000"/>
        <rFont val="Montserrat"/>
      </rPr>
      <t>AAAA/MM/DD:</t>
    </r>
    <r>
      <rPr>
        <sz val="11"/>
        <color rgb="FF000000"/>
        <rFont val="Montserrat"/>
      </rPr>
      <t xml:space="preserve">
-</t>
    </r>
  </si>
  <si>
    <r>
      <rPr>
        <b/>
        <sz val="11"/>
        <color rgb="FF000000"/>
        <rFont val="Montserrat"/>
      </rPr>
      <t>SEC11-BP05</t>
    </r>
    <r>
      <rPr>
        <sz val="11"/>
        <color rgb="FF000000"/>
        <rFont val="Montserrat"/>
      </rPr>
      <t xml:space="preserve"> Centralizar servicios para paquetes y dependencias</t>
    </r>
  </si>
  <si>
    <t>Proporcione servicios centralizados para que sus equipos obtengan paquetes de software y otras dependencias. De este modo, se podrán validar los paquetes antes de incluirlos en el software que escriba y se dispondrá de un origen de datos para el análisis del software que se utiliza en su organización.</t>
  </si>
  <si>
    <t>Permitir que los desarrolladores descarguen librerías de cualquier fuente pública expone a la empresa a ataques a la cadena de suministro (ej. Dependency Confusion o Typosquatting). Sin un repositorio central curado, es fácil importar malware disfrazado de paquete legítimo.</t>
  </si>
  <si>
    <t xml:space="preserve">No se detectó uso de AWS CodeArtifact o repositorios centralizados
</t>
  </si>
  <si>
    <r>
      <rPr>
        <b/>
        <sz val="11"/>
        <color rgb="FF000000"/>
        <rFont val="Montserrat"/>
      </rPr>
      <t>AAAA/MM/DD:</t>
    </r>
    <r>
      <rPr>
        <sz val="11"/>
        <color rgb="FF000000"/>
        <rFont val="Montserrat"/>
      </rPr>
      <t xml:space="preserve">
-</t>
    </r>
  </si>
  <si>
    <r>
      <rPr>
        <b/>
        <sz val="11"/>
        <color rgb="FF000000"/>
        <rFont val="Montserrat"/>
      </rPr>
      <t>SEC11-BP06</t>
    </r>
    <r>
      <rPr>
        <sz val="11"/>
        <color rgb="FF000000"/>
        <rFont val="Montserrat"/>
      </rPr>
      <t xml:space="preserve"> Implementar software programáticamente</t>
    </r>
  </si>
  <si>
    <t>Siempre que sea posible, lleve a cabo las implementaciones de software mediante programación. Con este enfoque se reduce la probabilidad de que se produzca un error en la implementación o de que surja un problema inesperado debido a un error humano.</t>
  </si>
  <si>
    <t>Los despliegues manuales son la causa #1 de "Configuration Drift" e incidentes operativos. Un comando mal escrito o un paso olvidado por un humano puede dejar un puerto abierto o un servicio caído, mientras que el despliegue programático garantiza consistencia y auditoría.</t>
  </si>
  <si>
    <t xml:space="preserve">- us-east-1: Deployments automatizados a ECS clusters
- us-east-2: Deployment a Elastic Beanstalk
- Uso de Infrastructure as Code implícito en pipelines
- Separación clara entre entornos (dev, qa, production)
Falta:
- Implementar rollback automatizado
- Añadir health checks post-deployment
- Configurar blue-green deployments donde sea apropiado
</t>
  </si>
  <si>
    <r>
      <rPr>
        <b/>
        <sz val="11"/>
        <color rgb="FF000000"/>
        <rFont val="Montserrat"/>
      </rPr>
      <t>AAAA/MM/DD:</t>
    </r>
    <r>
      <rPr>
        <sz val="11"/>
        <color rgb="FF000000"/>
        <rFont val="Montserrat"/>
      </rPr>
      <t xml:space="preserve">
-</t>
    </r>
  </si>
  <si>
    <r>
      <rPr>
        <b/>
        <sz val="11"/>
        <color rgb="FF000000"/>
        <rFont val="Montserrat"/>
      </rPr>
      <t>SEC11-BP07</t>
    </r>
    <r>
      <rPr>
        <sz val="11"/>
        <color rgb="FF000000"/>
        <rFont val="Montserrat"/>
      </rPr>
      <t xml:space="preserve"> Evalúa regularmente las propiedades de seguridad de las tuberías</t>
    </r>
  </si>
  <si>
    <t>Aplique los principios del pilar de seguridad de Well-Architected a sus canalizaciones y preste especial atención a la separación de permisos. Evalúe periódicamente las propiedades de seguridad de su infraestructura de canalización. La administración eficaz de la seguridad de las canalizaciones le permite garantizar la seguridad del software que pasa por ellas.</t>
  </si>
  <si>
    <t>Si la tubería (Pipeline) de CI/CD no es segura, un atacante puede envenenar el proceso de construcción. Esto permite inyectar código malicioso en software legítimo firmado por la empresa, comprometiendo no solo a la organización, sino a todos sus clientes (similar al ataque SolarWinds).</t>
  </si>
  <si>
    <t xml:space="preserve"> No se detectó auditoría regular de seguridad</t>
  </si>
  <si>
    <r>
      <rPr>
        <b/>
        <sz val="11"/>
        <color rgb="FF000000"/>
        <rFont val="Montserrat"/>
      </rPr>
      <t>AAAA/MM/DD:</t>
    </r>
    <r>
      <rPr>
        <sz val="11"/>
        <color rgb="FF000000"/>
        <rFont val="Montserrat"/>
      </rPr>
      <t xml:space="preserve">
-</t>
    </r>
  </si>
  <si>
    <r>
      <rPr>
        <b/>
        <sz val="11"/>
        <color rgb="FF000000"/>
        <rFont val="Montserrat"/>
      </rPr>
      <t>SEC11-BP08</t>
    </r>
    <r>
      <rPr>
        <sz val="11"/>
        <color rgb="FF000000"/>
        <rFont val="Montserrat"/>
      </rPr>
      <t xml:space="preserve"> Cree un programa que incorpore la propiedad de seguridad en los equipos de carga de trabajo</t>
    </r>
  </si>
  <si>
    <t>Elabore un programa o un mecanismo que permita a los equipos de creadores tomar decisiones de seguridad sobre el software que crean. Aun así, su equipo de seguridad debe validar estas decisiones durante una revisión, pero integrar la propiedad de la seguridad en los equipos de creadores permite crear cargas de trabajo más rápidas y seguras. Este mecanismo también fomenta una cultura de propiedad que repercute positivamente en el funcionamiento de los sistemas que se crean.</t>
  </si>
  <si>
    <t>Si la seguridad es vista solo como responsabilidad del equipo de "InfoSec", se crea una cultura de "nosotros contra ellos". Los desarrolladores ocultan riesgos para cumplir plazos. Sin "Security Champions" dentro de los equipos, la seguridad nunca escala a la velocidad del negocio.</t>
  </si>
  <si>
    <r>
      <rPr>
        <b/>
        <sz val="11"/>
        <color rgb="FF000000"/>
        <rFont val="Montserrat"/>
      </rPr>
      <t>AAAA/MM/DD:</t>
    </r>
    <r>
      <rPr>
        <sz val="11"/>
        <color rgb="FF000000"/>
        <rFont val="Montserrat"/>
      </rPr>
      <t xml:space="preserve">
-</t>
    </r>
  </si>
  <si>
    <t>TOTALES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</si>
</sst>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yyyy"/>
    <numFmt numFmtId="165" formatCode="#,##0.0"/>
  </numFmts>
  <fonts count="10" x14ac:knownFonts="1">
    <font>
      <sz val="10"/>
      <color rgb="FF000000"/>
      <name val="Arial"/>
      <scheme val="minor"/>
    </font>
    <font>
      <b/>
      <sz val="11"/>
      <color rgb="FFFFFFFF"/>
      <name val="Montserrat"/>
    </font>
    <font>
      <sz val="11"/>
      <color rgb="FF000000"/>
      <name val="Montserrat"/>
    </font>
    <font>
      <sz val="11"/>
      <color theme="1"/>
      <name val="Montserrat"/>
    </font>
    <font>
      <b/>
      <i/>
      <sz val="11"/>
      <color rgb="FF000000"/>
      <name val="Montserrat"/>
    </font>
    <font>
      <sz val="10"/>
      <color theme="1"/>
      <name val="Montserrat"/>
    </font>
    <font>
      <sz val="11"/>
      <color theme="1"/>
      <name val="Arial"/>
    </font>
    <font>
      <sz val="10"/>
      <color theme="1"/>
      <name val="Arial"/>
    </font>
    <font>
      <b/>
      <sz val="16"/>
      <color rgb="FFFFFFFF"/>
      <name val="Montserrat"/>
    </font>
    <font>
      <b/>
      <sz val="11"/>
      <color rgb="FF000000"/>
      <name val="Montserrat"/>
    </font>
  </fonts>
  <fills count="4">
    <fill>
      <patternFill patternType="none"/>
    </fill>
    <fill>
      <patternFill patternType="gray125"/>
    </fill>
    <fill>
      <patternFill patternType="solid">
        <fgColor rgb="FF253B5C"/>
        <bgColor rgb="FF253B5C"/>
      </patternFill>
    </fill>
    <fill>
      <patternFill patternType="solid">
        <fgColor rgb="FFFFFFFF"/>
        <bgColor rgb="FFFFFFFF"/>
      </patternFill>
    </fill>
  </fills>
  <borders count="11">
    <border>
      <left/>
      <right/>
      <top/>
      <bottom/>
      <diagonal/>
    </border>
    <border>
      <left style="thin">
        <color rgb="FFFFFFFF"/>
      </left>
      <right/>
      <top style="thin">
        <color rgb="FFFFFFFF"/>
      </top>
      <bottom/>
      <diagonal/>
    </border>
    <border>
      <left style="thin">
        <color rgb="FFFFFFFF"/>
      </left>
      <right style="thin">
        <color rgb="FFFFFFFF"/>
      </right>
      <top style="thin">
        <color rgb="FFFFFFFF"/>
      </top>
      <bottom/>
      <diagonal/>
    </border>
    <border>
      <left style="thin">
        <color rgb="FFFFFFFF"/>
      </left>
      <right style="thin">
        <color rgb="FFFFFFFF"/>
      </right>
      <top/>
      <bottom/>
      <diagonal/>
    </border>
    <border>
      <left style="thin">
        <color rgb="FFEFEFEF"/>
      </left>
      <right/>
      <top style="thin">
        <color rgb="FFEFEFEF"/>
      </top>
      <bottom style="thin">
        <color rgb="FFEFEFEF"/>
      </bottom>
      <diagonal/>
    </border>
    <border>
      <left/>
      <right style="thin">
        <color rgb="FFEFEFEF"/>
      </right>
      <top style="thin">
        <color rgb="FFEFEFEF"/>
      </top>
      <bottom style="thin">
        <color rgb="FFEFEFEF"/>
      </bottom>
      <diagonal/>
    </border>
    <border>
      <left style="thin">
        <color rgb="FFEFEFEF"/>
      </left>
      <right style="thin">
        <color rgb="FFEFEFEF"/>
      </right>
      <top style="thin">
        <color rgb="FFEFEFEF"/>
      </top>
      <bottom style="thin">
        <color rgb="FFEFEFEF"/>
      </bottom>
      <diagonal/>
    </border>
    <border>
      <left style="thin">
        <color rgb="FFEFEFEF"/>
      </left>
      <right style="thin">
        <color rgb="FFEFEFEF"/>
      </right>
      <top style="thin">
        <color rgb="FFEFEFEF"/>
      </top>
      <bottom/>
      <diagonal/>
    </border>
    <border>
      <left style="thin">
        <color rgb="FFEFEFEF"/>
      </left>
      <right/>
      <top style="thin">
        <color rgb="FFEFEFEF"/>
      </top>
      <bottom/>
      <diagonal/>
    </border>
    <border>
      <left/>
      <right/>
      <top style="thin">
        <color rgb="FFEFEFEF"/>
      </top>
      <bottom/>
      <diagonal/>
    </border>
    <border>
      <left style="thin">
        <color rgb="FFFFFFFF"/>
      </left>
      <right/>
      <top/>
      <bottom/>
      <diagonal/>
    </border>
  </borders>
  <cellStyleXfs count="1">
    <xf numFmtId="0" fontId="0" fillId="0" borderId="0"/>
  </cellStyleXfs>
  <cellXfs count="38">
    <xf numFmtId="0" fontId="0" fillId="0" borderId="0" xfId="0"/>
    <xf numFmtId="0" fontId="1" fillId="2" borderId="3" xfId="0" applyFont="1" applyFill="1" applyBorder="1" applyAlignment="1">
      <alignment horizontal="center" vertical="center" wrapText="1"/>
    </xf>
    <xf numFmtId="10" fontId="1" fillId="2" borderId="2" xfId="0" applyNumberFormat="1"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2" borderId="2" xfId="0" applyFont="1" applyFill="1" applyBorder="1" applyAlignment="1">
      <alignment horizontal="left" vertical="center" wrapText="1"/>
    </xf>
    <xf numFmtId="164" fontId="1" fillId="2" borderId="2" xfId="0" applyNumberFormat="1" applyFont="1" applyFill="1" applyBorder="1" applyAlignment="1">
      <alignment horizontal="center" vertical="center" wrapText="1"/>
    </xf>
    <xf numFmtId="0" fontId="2" fillId="3" borderId="6" xfId="0" applyFont="1" applyFill="1" applyBorder="1" applyAlignment="1">
      <alignment horizontal="left" vertical="center" wrapText="1"/>
    </xf>
    <xf numFmtId="0" fontId="2" fillId="3" borderId="6" xfId="0" applyFont="1" applyFill="1" applyBorder="1" applyAlignment="1">
      <alignment horizontal="center" vertical="center"/>
    </xf>
    <xf numFmtId="0" fontId="3" fillId="3" borderId="6" xfId="0" applyFont="1" applyFill="1" applyBorder="1" applyAlignment="1">
      <alignment horizontal="center" vertical="center" wrapText="1"/>
    </xf>
    <xf numFmtId="0" fontId="3" fillId="3" borderId="6" xfId="0" applyFont="1" applyFill="1" applyBorder="1" applyAlignment="1">
      <alignment wrapText="1"/>
    </xf>
    <xf numFmtId="0" fontId="3" fillId="0" borderId="6" xfId="0" applyFont="1" applyBorder="1" applyAlignment="1">
      <alignment horizontal="center" vertical="center"/>
    </xf>
    <xf numFmtId="0" fontId="3" fillId="3" borderId="6" xfId="0" applyFont="1" applyFill="1" applyBorder="1" applyAlignment="1">
      <alignment horizontal="center" vertical="center"/>
    </xf>
    <xf numFmtId="0" fontId="2" fillId="3" borderId="6" xfId="0" applyFont="1" applyFill="1" applyBorder="1" applyAlignment="1">
      <alignment horizontal="center" vertical="center" wrapText="1"/>
    </xf>
    <xf numFmtId="0" fontId="4" fillId="3" borderId="6" xfId="0" applyFont="1" applyFill="1" applyBorder="1" applyAlignment="1">
      <alignment horizontal="center" vertical="center" wrapText="1"/>
    </xf>
    <xf numFmtId="164" fontId="4" fillId="3" borderId="6" xfId="0" applyNumberFormat="1" applyFont="1" applyFill="1" applyBorder="1" applyAlignment="1">
      <alignment horizontal="center" vertical="center" wrapText="1"/>
    </xf>
    <xf numFmtId="164" fontId="4" fillId="3" borderId="4" xfId="0" applyNumberFormat="1" applyFont="1" applyFill="1" applyBorder="1" applyAlignment="1">
      <alignment horizontal="center" vertical="center" wrapText="1"/>
    </xf>
    <xf numFmtId="0" fontId="5" fillId="0" borderId="0" xfId="0" applyFont="1" applyAlignment="1">
      <alignment horizontal="center" vertical="center" wrapText="1"/>
    </xf>
    <xf numFmtId="0" fontId="3" fillId="0" borderId="0" xfId="0" applyFont="1" applyAlignment="1">
      <alignment horizontal="center" vertical="center" wrapText="1"/>
    </xf>
    <xf numFmtId="3" fontId="4" fillId="3" borderId="0" xfId="0" applyNumberFormat="1" applyFont="1" applyFill="1" applyAlignment="1">
      <alignment horizontal="center" vertical="center" wrapText="1"/>
    </xf>
    <xf numFmtId="164" fontId="5" fillId="0" borderId="0" xfId="0" applyNumberFormat="1" applyFont="1" applyAlignment="1">
      <alignment horizontal="center" vertical="center" wrapText="1"/>
    </xf>
    <xf numFmtId="164" fontId="4" fillId="3" borderId="0" xfId="0" applyNumberFormat="1" applyFont="1" applyFill="1" applyAlignment="1">
      <alignment horizontal="center" vertical="center" wrapText="1"/>
    </xf>
    <xf numFmtId="165" fontId="4" fillId="3" borderId="0" xfId="0" applyNumberFormat="1" applyFont="1" applyFill="1" applyAlignment="1">
      <alignment horizontal="center" vertical="center" wrapText="1"/>
    </xf>
    <xf numFmtId="0" fontId="2" fillId="3" borderId="5" xfId="0" applyFont="1" applyFill="1" applyBorder="1" applyAlignment="1">
      <alignment horizontal="center" vertical="center"/>
    </xf>
    <xf numFmtId="0" fontId="2" fillId="3" borderId="7" xfId="0" applyFont="1" applyFill="1" applyBorder="1" applyAlignment="1">
      <alignment horizontal="left" vertical="center" wrapText="1"/>
    </xf>
    <xf numFmtId="0" fontId="4" fillId="3" borderId="4" xfId="0" applyFont="1" applyFill="1" applyBorder="1" applyAlignment="1">
      <alignment horizontal="center" vertical="center" wrapText="1"/>
    </xf>
    <xf numFmtId="164" fontId="4" fillId="3" borderId="8" xfId="0" applyNumberFormat="1" applyFont="1" applyFill="1" applyBorder="1" applyAlignment="1">
      <alignment horizontal="center" vertical="center" wrapText="1"/>
    </xf>
    <xf numFmtId="164" fontId="4" fillId="3" borderId="9" xfId="0" applyNumberFormat="1" applyFont="1" applyFill="1" applyBorder="1" applyAlignment="1">
      <alignment horizontal="center" vertical="center" wrapText="1"/>
    </xf>
    <xf numFmtId="164" fontId="1" fillId="2" borderId="3" xfId="0" applyNumberFormat="1" applyFont="1" applyFill="1" applyBorder="1" applyAlignment="1">
      <alignment horizontal="center" vertical="center" wrapText="1"/>
    </xf>
    <xf numFmtId="0" fontId="6" fillId="0" borderId="6" xfId="0" applyFont="1" applyBorder="1" applyAlignment="1">
      <alignment horizontal="center" vertical="center"/>
    </xf>
    <xf numFmtId="0" fontId="7" fillId="3" borderId="6" xfId="0" applyFont="1" applyFill="1" applyBorder="1"/>
    <xf numFmtId="0" fontId="7" fillId="0" borderId="6" xfId="0" applyFont="1" applyBorder="1" applyAlignment="1">
      <alignment horizontal="center" vertical="center"/>
    </xf>
    <xf numFmtId="0" fontId="3" fillId="3" borderId="6" xfId="0" applyFont="1" applyFill="1" applyBorder="1" applyAlignment="1">
      <alignment horizontal="left" vertical="center" wrapText="1"/>
    </xf>
    <xf numFmtId="0" fontId="2" fillId="0" borderId="6" xfId="0" applyFont="1" applyBorder="1" applyAlignment="1">
      <alignment horizontal="left" vertical="center" wrapText="1"/>
    </xf>
    <xf numFmtId="0" fontId="2" fillId="3" borderId="4" xfId="0" applyFont="1" applyFill="1" applyBorder="1" applyAlignment="1">
      <alignment vertical="center" wrapText="1"/>
    </xf>
    <xf numFmtId="0" fontId="1" fillId="2" borderId="1" xfId="0" applyFont="1" applyFill="1" applyBorder="1" applyAlignment="1">
      <alignment vertical="center" wrapText="1"/>
    </xf>
    <xf numFmtId="0" fontId="8" fillId="2" borderId="10" xfId="0" applyFont="1" applyFill="1" applyBorder="1" applyAlignment="1">
      <alignment vertical="center" wrapText="1"/>
    </xf>
    <xf numFmtId="0" fontId="2" fillId="3" borderId="0" xfId="0" applyFont="1" applyFill="1" applyAlignment="1">
      <alignment vertical="center"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docs.aws.amazon.com/en_us/wellarchitected/latest/framework/sec_permissions_share_securely_third_party.html" TargetMode="External"/><Relationship Id="rId21" Type="http://schemas.openxmlformats.org/officeDocument/2006/relationships/hyperlink" Target="https://docs.aws.amazon.com/en_us/wellarchitected/latest/framework/sec_permissions_continuous_reduction.html" TargetMode="External"/><Relationship Id="rId42" Type="http://schemas.openxmlformats.org/officeDocument/2006/relationships/hyperlink" Target="https://docs.aws.amazon.com/en_us/wellarchitected/latest/framework/sec_protect_compute_auto_protection.html" TargetMode="External"/><Relationship Id="rId47" Type="http://schemas.openxmlformats.org/officeDocument/2006/relationships/hyperlink" Target="https://docs.aws.amazon.com/en_us/wellarchitected/latest/framework/sec_data_classification_lifecycle_management.html" TargetMode="External"/><Relationship Id="rId63" Type="http://schemas.openxmlformats.org/officeDocument/2006/relationships/hyperlink" Target="https://docs.aws.amazon.com/en_us/wellarchitected/latest/framework/sec_incident_response_pre_deploy_tools.html" TargetMode="External"/><Relationship Id="rId68" Type="http://schemas.openxmlformats.org/officeDocument/2006/relationships/hyperlink" Target="https://docs.aws.amazon.com/en_us/wellarchitected/latest/framework/sec_appsec_automate_testing_throughout_lifecycle.html" TargetMode="External"/><Relationship Id="rId2" Type="http://schemas.openxmlformats.org/officeDocument/2006/relationships/hyperlink" Target="https://docs.aws.amazon.com/en_us/wellarchitected/latest/framework/sec_securely_operate_multi_accounts.html" TargetMode="External"/><Relationship Id="rId16" Type="http://schemas.openxmlformats.org/officeDocument/2006/relationships/hyperlink" Target="https://docs.aws.amazon.com/en_us/wellarchitected/latest/framework/sec_identities_groups_attributes.html" TargetMode="External"/><Relationship Id="rId29" Type="http://schemas.openxmlformats.org/officeDocument/2006/relationships/hyperlink" Target="https://docs.aws.amazon.com/en_us/wellarchitected/latest/framework/sec_detect_investigate_events_logs.html" TargetMode="External"/><Relationship Id="rId11" Type="http://schemas.openxmlformats.org/officeDocument/2006/relationships/hyperlink" Target="https://docs.aws.amazon.com/en_us/wellarchitected/latest/framework/sec_identities_enforce_mechanisms.html" TargetMode="External"/><Relationship Id="rId24" Type="http://schemas.openxmlformats.org/officeDocument/2006/relationships/hyperlink" Target="https://docs.aws.amazon.com/en_us/wellarchitected/latest/framework/sec_permissions_analyze_cross_account.html" TargetMode="External"/><Relationship Id="rId32" Type="http://schemas.openxmlformats.org/officeDocument/2006/relationships/hyperlink" Target="https://docs.aws.amazon.com/en_us/wellarchitected/latest/framework/sec-05.html" TargetMode="External"/><Relationship Id="rId37" Type="http://schemas.openxmlformats.org/officeDocument/2006/relationships/hyperlink" Target="https://docs.aws.amazon.com/en_us/wellarchitected/latest/framework/sec-06.html" TargetMode="External"/><Relationship Id="rId40" Type="http://schemas.openxmlformats.org/officeDocument/2006/relationships/hyperlink" Target="https://docs.aws.amazon.com/en_us/wellarchitected/latest/framework/sec_protect_compute_reduce_manual_management.html" TargetMode="External"/><Relationship Id="rId45" Type="http://schemas.openxmlformats.org/officeDocument/2006/relationships/hyperlink" Target="https://docs.aws.amazon.com/en_us/wellarchitected/latest/framework/sec_data_classification_define_protection.html" TargetMode="External"/><Relationship Id="rId53" Type="http://schemas.openxmlformats.org/officeDocument/2006/relationships/hyperlink" Target="https://docs.aws.amazon.com/en_us/wellarchitected/latest/framework/sec-08.html" TargetMode="External"/><Relationship Id="rId58" Type="http://schemas.openxmlformats.org/officeDocument/2006/relationships/hyperlink" Target="https://docs.aws.amazon.com/en_us/wellarchitected/latest/framework/sec_incident_response_identify_personnel.html" TargetMode="External"/><Relationship Id="rId66" Type="http://schemas.openxmlformats.org/officeDocument/2006/relationships/hyperlink" Target="https://docs.aws.amazon.com/en_us/wellarchitected/latest/framework/sec-11.html" TargetMode="External"/><Relationship Id="rId74" Type="http://schemas.openxmlformats.org/officeDocument/2006/relationships/hyperlink" Target="https://docs.aws.amazon.com/en_us/wellarchitected/latest/framework/sec_appsec_build_program_that_embeds_security_ownership_in_teams.html" TargetMode="External"/><Relationship Id="rId5" Type="http://schemas.openxmlformats.org/officeDocument/2006/relationships/hyperlink" Target="https://docs.aws.amazon.com/en_us/wellarchitected/latest/framework/sec_securely_operate_updated_threats.html" TargetMode="External"/><Relationship Id="rId61" Type="http://schemas.openxmlformats.org/officeDocument/2006/relationships/hyperlink" Target="https://docs.aws.amazon.com/en_us/wellarchitected/latest/framework/sec_incident_response_playbooks.html" TargetMode="External"/><Relationship Id="rId19" Type="http://schemas.openxmlformats.org/officeDocument/2006/relationships/hyperlink" Target="https://docs.aws.amazon.com/en_us/wellarchitected/latest/framework/sec_permissions_least_privileges.html" TargetMode="External"/><Relationship Id="rId14" Type="http://schemas.openxmlformats.org/officeDocument/2006/relationships/hyperlink" Target="https://docs.aws.amazon.com/en_us/wellarchitected/latest/framework/sec_identities_identity_provider.html" TargetMode="External"/><Relationship Id="rId22" Type="http://schemas.openxmlformats.org/officeDocument/2006/relationships/hyperlink" Target="https://docs.aws.amazon.com/en_us/wellarchitected/latest/framework/sec_permissions_define_guardrails.html" TargetMode="External"/><Relationship Id="rId27" Type="http://schemas.openxmlformats.org/officeDocument/2006/relationships/hyperlink" Target="https://docs.aws.amazon.com/en_us/wellarchitected/latest/framework/sec-04.html" TargetMode="External"/><Relationship Id="rId30" Type="http://schemas.openxmlformats.org/officeDocument/2006/relationships/hyperlink" Target="https://docs.aws.amazon.com/en_us/wellarchitected/latest/framework/sec_detect_investigate_events_security_alerts.html" TargetMode="External"/><Relationship Id="rId35" Type="http://schemas.openxmlformats.org/officeDocument/2006/relationships/hyperlink" Target="https://docs.aws.amazon.com/en_us/wellarchitected/latest/framework/sec_network_protection_inspection.html" TargetMode="External"/><Relationship Id="rId43" Type="http://schemas.openxmlformats.org/officeDocument/2006/relationships/hyperlink" Target="https://docs.aws.amazon.com/en_us/wellarchitected/latest/framework/sec-07.html" TargetMode="External"/><Relationship Id="rId48" Type="http://schemas.openxmlformats.org/officeDocument/2006/relationships/hyperlink" Target="https://docs.aws.amazon.com/en_us/wellarchitected/latest/framework/sec-07.html" TargetMode="External"/><Relationship Id="rId56" Type="http://schemas.openxmlformats.org/officeDocument/2006/relationships/hyperlink" Target="https://docs.aws.amazon.com/en_us/wellarchitected/latest/framework/sec_protect_data_transit_authentication.html" TargetMode="External"/><Relationship Id="rId64" Type="http://schemas.openxmlformats.org/officeDocument/2006/relationships/hyperlink" Target="https://docs.aws.amazon.com/en_us/wellarchitected/latest/framework/sec_incident_response_run_game_days.html" TargetMode="External"/><Relationship Id="rId69" Type="http://schemas.openxmlformats.org/officeDocument/2006/relationships/hyperlink" Target="https://docs.aws.amazon.com/en_us/wellarchitected/latest/framework/sec_appsec_perform_regular_penetration_testing.html" TargetMode="External"/><Relationship Id="rId8" Type="http://schemas.openxmlformats.org/officeDocument/2006/relationships/hyperlink" Target="https://docs.aws.amazon.com/en_us/wellarchitected/latest/framework/sec_securely_operate_threat_model.html" TargetMode="External"/><Relationship Id="rId51" Type="http://schemas.openxmlformats.org/officeDocument/2006/relationships/hyperlink" Target="https://docs.aws.amazon.com/en_us/wellarchitected/latest/framework/sec_protect_data_rest_automate_protection.html" TargetMode="External"/><Relationship Id="rId72" Type="http://schemas.openxmlformats.org/officeDocument/2006/relationships/hyperlink" Target="https://docs.aws.amazon.com/en_us/wellarchitected/latest/framework/sec_appsec_deploy_software_programmatically.html" TargetMode="External"/><Relationship Id="rId3" Type="http://schemas.openxmlformats.org/officeDocument/2006/relationships/hyperlink" Target="https://docs.aws.amazon.com/en_us/wellarchitected/latest/framework/sec_securely_operate_aws_account.html" TargetMode="External"/><Relationship Id="rId12" Type="http://schemas.openxmlformats.org/officeDocument/2006/relationships/hyperlink" Target="https://docs.aws.amazon.com/en_us/wellarchitected/latest/framework/sec_identities_unique.html" TargetMode="External"/><Relationship Id="rId17" Type="http://schemas.openxmlformats.org/officeDocument/2006/relationships/hyperlink" Target="https://docs.aws.amazon.com/en_us/wellarchitected/latest/framework/sec-03.html" TargetMode="External"/><Relationship Id="rId25" Type="http://schemas.openxmlformats.org/officeDocument/2006/relationships/hyperlink" Target="https://docs.aws.amazon.com/en_us/wellarchitected/latest/framework/sec_permissions_share_securely.html" TargetMode="External"/><Relationship Id="rId33" Type="http://schemas.openxmlformats.org/officeDocument/2006/relationships/hyperlink" Target="https://docs.aws.amazon.com/en_us/wellarchitected/latest/framework/sec_network_protection_create_layers.html" TargetMode="External"/><Relationship Id="rId38" Type="http://schemas.openxmlformats.org/officeDocument/2006/relationships/hyperlink" Target="https://docs.aws.amazon.com/en_us/wellarchitected/latest/framework/sec_protect_compute_vulnerability_management.html" TargetMode="External"/><Relationship Id="rId46" Type="http://schemas.openxmlformats.org/officeDocument/2006/relationships/hyperlink" Target="https://docs.aws.amazon.com/en_us/wellarchitected/latest/framework/sec_data_classification_auto_classification.html" TargetMode="External"/><Relationship Id="rId59" Type="http://schemas.openxmlformats.org/officeDocument/2006/relationships/hyperlink" Target="https://docs.aws.amazon.com/en_us/wellarchitected/latest/framework/sec_incident_response_develop_management_plans.html" TargetMode="External"/><Relationship Id="rId67" Type="http://schemas.openxmlformats.org/officeDocument/2006/relationships/hyperlink" Target="https://docs.aws.amazon.com/en_us/wellarchitected/latest/framework/sec_appsec_train_for_application_security.html" TargetMode="External"/><Relationship Id="rId20" Type="http://schemas.openxmlformats.org/officeDocument/2006/relationships/hyperlink" Target="https://docs.aws.amazon.com/en_us/wellarchitected/latest/framework/sec_permissions_emergency_process.html" TargetMode="External"/><Relationship Id="rId41" Type="http://schemas.openxmlformats.org/officeDocument/2006/relationships/hyperlink" Target="https://docs.aws.amazon.com/en_us/wellarchitected/latest/framework/sec_protect_compute_validate_software_integrity.html" TargetMode="External"/><Relationship Id="rId54" Type="http://schemas.openxmlformats.org/officeDocument/2006/relationships/hyperlink" Target="https://docs.aws.amazon.com/en_us/wellarchitected/latest/framework/sec_protect_data_transit_key_cert_mgmt.html" TargetMode="External"/><Relationship Id="rId62" Type="http://schemas.openxmlformats.org/officeDocument/2006/relationships/hyperlink" Target="https://docs.aws.amazon.com/en_us/wellarchitected/latest/framework/sec_incident_response_pre_provision_access.html" TargetMode="External"/><Relationship Id="rId70" Type="http://schemas.openxmlformats.org/officeDocument/2006/relationships/hyperlink" Target="https://docs.aws.amazon.com/en_us/wellarchitected/latest/framework/sec_appsec_manual_code_reviews.html" TargetMode="External"/><Relationship Id="rId75" Type="http://schemas.openxmlformats.org/officeDocument/2006/relationships/vmlDrawing" Target="../drawings/vmlDrawing1.vml"/><Relationship Id="rId1" Type="http://schemas.openxmlformats.org/officeDocument/2006/relationships/hyperlink" Target="https://docs.aws.amazon.com/en_us/wellarchitected/latest/framework/sec-01.html" TargetMode="External"/><Relationship Id="rId6" Type="http://schemas.openxmlformats.org/officeDocument/2006/relationships/hyperlink" Target="https://docs.aws.amazon.com/en_us/wellarchitected/latest/framework/sec_securely_operate_reduce_management_scope.html" TargetMode="External"/><Relationship Id="rId15" Type="http://schemas.openxmlformats.org/officeDocument/2006/relationships/hyperlink" Target="https://docs.aws.amazon.com/en_us/wellarchitected/latest/framework/sec_identities_audit.html" TargetMode="External"/><Relationship Id="rId23" Type="http://schemas.openxmlformats.org/officeDocument/2006/relationships/hyperlink" Target="https://docs.aws.amazon.com/en_us/wellarchitected/latest/framework/sec_permissions_lifecycle.html" TargetMode="External"/><Relationship Id="rId28" Type="http://schemas.openxmlformats.org/officeDocument/2006/relationships/hyperlink" Target="https://docs.aws.amazon.com/en_us/wellarchitected/latest/framework/sec_detect_investigate_events_app_service_logging.html" TargetMode="External"/><Relationship Id="rId36" Type="http://schemas.openxmlformats.org/officeDocument/2006/relationships/hyperlink" Target="https://docs.aws.amazon.com/en_us/wellarchitected/latest/framework/sec_network_auto_protect.html" TargetMode="External"/><Relationship Id="rId49" Type="http://schemas.openxmlformats.org/officeDocument/2006/relationships/hyperlink" Target="https://docs.aws.amazon.com/en_us/wellarchitected/latest/framework/sec_protect_data_rest_key_mgmt.html" TargetMode="External"/><Relationship Id="rId57" Type="http://schemas.openxmlformats.org/officeDocument/2006/relationships/hyperlink" Target="https://docs.aws.amazon.com/en_us/wellarchitected/latest/framework/sec-10.html" TargetMode="External"/><Relationship Id="rId10" Type="http://schemas.openxmlformats.org/officeDocument/2006/relationships/hyperlink" Target="https://docs.aws.amazon.com/en_us/wellarchitected/latest/framework/sec-02.html" TargetMode="External"/><Relationship Id="rId31" Type="http://schemas.openxmlformats.org/officeDocument/2006/relationships/hyperlink" Target="https://docs.aws.amazon.com/en_us/wellarchitected/latest/framework/sec_detect_investigate_events_noncompliant_resources.html" TargetMode="External"/><Relationship Id="rId44" Type="http://schemas.openxmlformats.org/officeDocument/2006/relationships/hyperlink" Target="https://docs.aws.amazon.com/en_us/wellarchitected/latest/framework/sec_data_classification_identify_data.html" TargetMode="External"/><Relationship Id="rId52" Type="http://schemas.openxmlformats.org/officeDocument/2006/relationships/hyperlink" Target="https://docs.aws.amazon.com/en_us/wellarchitected/latest/framework/sec_protect_data_rest_access_control.html" TargetMode="External"/><Relationship Id="rId60" Type="http://schemas.openxmlformats.org/officeDocument/2006/relationships/hyperlink" Target="https://docs.aws.amazon.com/en_us/wellarchitected/latest/framework/sec_incident_response_prepare_forensic.html" TargetMode="External"/><Relationship Id="rId65" Type="http://schemas.openxmlformats.org/officeDocument/2006/relationships/hyperlink" Target="https://docs.aws.amazon.com/en_us/wellarchitected/latest/framework/sec_incident_response_establish_incident_framework.html" TargetMode="External"/><Relationship Id="rId73" Type="http://schemas.openxmlformats.org/officeDocument/2006/relationships/hyperlink" Target="https://docs.aws.amazon.com/en_us/wellarchitected/latest/framework/sec_appsec_regularly_assess_security_properties_of_pipelines.html" TargetMode="External"/><Relationship Id="rId4" Type="http://schemas.openxmlformats.org/officeDocument/2006/relationships/hyperlink" Target="https://docs.aws.amazon.com/en_us/wellarchitected/latest/framework/sec_securely_operate_control_objectives.html" TargetMode="External"/><Relationship Id="rId9" Type="http://schemas.openxmlformats.org/officeDocument/2006/relationships/hyperlink" Target="https://docs.aws.amazon.com/en_us/wellarchitected/latest/framework/sec_securely_operate_implement_services_features.html" TargetMode="External"/><Relationship Id="rId13" Type="http://schemas.openxmlformats.org/officeDocument/2006/relationships/hyperlink" Target="https://docs.aws.amazon.com/en_us/wellarchitected/latest/framework/sec_identities_secrets.html" TargetMode="External"/><Relationship Id="rId18" Type="http://schemas.openxmlformats.org/officeDocument/2006/relationships/hyperlink" Target="https://docs.aws.amazon.com/en_us/wellarchitected/latest/framework/sec_permissions_define.html" TargetMode="External"/><Relationship Id="rId39" Type="http://schemas.openxmlformats.org/officeDocument/2006/relationships/hyperlink" Target="https://docs.aws.amazon.com/en_us/wellarchitected/latest/framework/sec_protect_compute_hardened_images.html" TargetMode="External"/><Relationship Id="rId34" Type="http://schemas.openxmlformats.org/officeDocument/2006/relationships/hyperlink" Target="https://docs.aws.amazon.com/en_us/wellarchitected/latest/framework/sec_network_protection_layered.html" TargetMode="External"/><Relationship Id="rId50" Type="http://schemas.openxmlformats.org/officeDocument/2006/relationships/hyperlink" Target="https://docs.aws.amazon.com/en_us/wellarchitected/latest/framework/sec_protect_data_rest_encrypt.html" TargetMode="External"/><Relationship Id="rId55" Type="http://schemas.openxmlformats.org/officeDocument/2006/relationships/hyperlink" Target="https://docs.aws.amazon.com/en_us/wellarchitected/latest/framework/sec_protect_data_transit_encrypt.html" TargetMode="External"/><Relationship Id="rId76" Type="http://schemas.openxmlformats.org/officeDocument/2006/relationships/comments" Target="../comments1.xml"/><Relationship Id="rId7" Type="http://schemas.openxmlformats.org/officeDocument/2006/relationships/hyperlink" Target="https://docs.aws.amazon.com/en_us/wellarchitected/latest/framework/sec_securely_operate_automate_security_controls.html" TargetMode="External"/><Relationship Id="rId71" Type="http://schemas.openxmlformats.org/officeDocument/2006/relationships/hyperlink" Target="https://docs.aws.amazon.com/en_us/wellarchitected/latest/framework/sec_appsec_centralize_services_for_packages_and_dependencies.html"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00FF"/>
    <outlinePr summaryBelow="0" summaryRight="0"/>
  </sheetPr>
  <dimension ref="A1:AC75"/>
  <sheetViews>
    <sheetView tabSelected="1" topLeftCell="B1" workbookViewId="0">
      <pane ySplit="1" topLeftCell="A67" activePane="bottomLeft" state="frozen"/>
      <selection pane="bottomLeft" activeCell="A73" sqref="A73"/>
    </sheetView>
  </sheetViews>
  <sheetFormatPr baseColWidth="10" defaultColWidth="12.5703125" defaultRowHeight="15.75" customHeight="1" outlineLevelRow="1" x14ac:dyDescent="0.2"/>
  <cols>
    <col min="1" max="1" width="50.140625" style="37" customWidth="1"/>
    <col min="2" max="2" width="74.5703125" customWidth="1"/>
    <col min="3" max="3" width="16.28515625" customWidth="1"/>
    <col min="4" max="4" width="12" customWidth="1"/>
    <col min="5" max="5" width="40.42578125" customWidth="1"/>
    <col min="6" max="6" width="16.5703125" customWidth="1"/>
    <col min="7" max="7" width="12" hidden="1" customWidth="1"/>
    <col min="8" max="8" width="12" customWidth="1"/>
    <col min="9" max="9" width="12" hidden="1" customWidth="1"/>
    <col min="10" max="10" width="14.140625" customWidth="1"/>
    <col min="11" max="11" width="12" hidden="1" customWidth="1"/>
    <col min="12" max="13" width="46" customWidth="1"/>
    <col min="14" max="14" width="7.7109375" hidden="1" customWidth="1"/>
    <col min="15" max="25" width="15.5703125" hidden="1" customWidth="1"/>
    <col min="26" max="26" width="16.42578125" hidden="1" customWidth="1"/>
    <col min="27" max="27" width="14.85546875" hidden="1" customWidth="1"/>
    <col min="28" max="28" width="46" hidden="1" customWidth="1"/>
  </cols>
  <sheetData>
    <row r="1" spans="1:28" ht="90" customHeight="1" x14ac:dyDescent="0.2">
      <c r="A1" s="34" t="s">
        <v>0</v>
      </c>
      <c r="B1" s="1" t="str">
        <f>CONCATENATE("Fundamentos de seguridad: ",COUNTIF(B2:B9,"&lt;&gt;0"))</f>
        <v>Fundamentos de seguridad: 8</v>
      </c>
      <c r="C1" s="2">
        <f>(COUNTIF(C2:C9,"Sí")*1 + COUNTIF(C2:C9, "Parcialmente")*0.5) / ((COUNTA(C2:C9) - (COUNTIF(C2:C9, "N/A") + COUNTIF(C2:C9, "N/E"))))</f>
        <v>0.25</v>
      </c>
      <c r="D1" s="3">
        <f>COUNTIF(D2:D9,"true")</f>
        <v>0</v>
      </c>
      <c r="E1" s="4"/>
      <c r="F1" s="3"/>
      <c r="G1" s="3"/>
      <c r="H1" s="3"/>
      <c r="I1" s="3"/>
      <c r="J1" s="3" t="str">
        <f ca="1">CONCATENATE("Extremo: ", COUNTIF(J2:J3, "Extremo"), CHAR(10), "Alto: ", COUNTIF(J2:J3, "Alto"), CHAR(10), "Moderado: ", COUNTIF(J2:J3, "Medio"), CHAR(10), "Bajo: ", COUNTIF(J2:J3, "Bajo"))</f>
        <v>Extremo: 0
Alto: 0
Moderado: 0
Bajo: 0</v>
      </c>
      <c r="K1" s="3"/>
      <c r="L1" s="3" t="str">
        <f ca="1">IFERROR(__xludf.DUMMYFUNCTION("CONCATENATE(""Cantidad de notas: "", COUNTIF(FLATTEN(SPLIT(TEXTJOIN(CHAR(10), TRUE, M6), CHAR(10))), ""*-?*""))"),"Cantidad de notas: 1")</f>
        <v>Cantidad de notas: 1</v>
      </c>
      <c r="M1" s="3"/>
      <c r="N1" s="3">
        <f>SUM(N2:N9)</f>
        <v>0</v>
      </c>
      <c r="O1" s="5">
        <f>MIN(O2:O9)</f>
        <v>0</v>
      </c>
      <c r="P1" s="5">
        <f>MAX(P2:P9)</f>
        <v>0</v>
      </c>
      <c r="Q1" s="3"/>
      <c r="R1" s="3"/>
      <c r="S1" s="3"/>
      <c r="T1" s="3"/>
      <c r="U1" s="3"/>
      <c r="V1" s="3"/>
      <c r="W1" s="3"/>
      <c r="X1" s="3"/>
      <c r="Y1" s="3"/>
      <c r="Z1" s="3" t="str">
        <f>CONCATENATE("GFourmis: ", COUNTIF(Z2:Z9, "GFourmis"), CHAR(10), "Cliente: ", COUNTIF(Z2:Z9, "Cliente"), CHAR(10), "Tercero: ", COUNTIF(Z2:Z9, "Tercero"))</f>
        <v>GFourmis: 0
Cliente: 0
Tercero: 0</v>
      </c>
      <c r="AA1" s="2" t="e">
        <f>(COUNTIF(AA2:AA9,"Sí")*1 + COUNTIF(AA2:AA9, "Parcialmente")*0.5) / ((COUNTA(AA2:AA9) - (COUNTIF(AA2:AA9, "N/A") + COUNTIF(AA2:AA9, "N/E"))))</f>
        <v>#DIV/0!</v>
      </c>
      <c r="AB1" s="3" t="str">
        <f ca="1">IFERROR(__xludf.DUMMYFUNCTION("CONCATENATE(""Cantidad de notas: "", COUNTIF(FLATTEN(SPLIT(TEXTJOIN(CHAR(10), TRUE, AC6), CHAR(10))), ""*-?*""))"),"Cantidad de notas: 0")</f>
        <v>Cantidad de notas: 0</v>
      </c>
    </row>
    <row r="2" spans="1:28" ht="342" outlineLevel="1" x14ac:dyDescent="0.35">
      <c r="A2" s="33" t="s">
        <v>1</v>
      </c>
      <c r="B2" s="6" t="s">
        <v>2</v>
      </c>
      <c r="C2" s="7" t="s">
        <v>3</v>
      </c>
      <c r="D2" s="8" t="b">
        <v>0</v>
      </c>
      <c r="E2" s="9" t="s">
        <v>4</v>
      </c>
      <c r="F2" s="10" t="s">
        <v>5</v>
      </c>
      <c r="G2" s="11" t="e">
        <f t="shared" ref="G2:G9" ca="1" si="0">_xludf.IFS(F2 = "Frecuente", 5, F2 = "Probable", 4, F2 = "Moderado", 3, F2 = "Bajo", 2, F2 = "Rara vez", 1)</f>
        <v>#NAME?</v>
      </c>
      <c r="H2" s="10" t="s">
        <v>6</v>
      </c>
      <c r="I2" s="7" t="e">
        <f t="shared" ref="I2:I9" ca="1" si="1">_xludf.IFS(H2 = "Crítico", 625, H2 = "Mayor", 125, H2 = "Moderado", 25, H2 = "Menor", 5, H2 = "Inferior", 1)</f>
        <v>#NAME?</v>
      </c>
      <c r="J2" s="12" t="e">
        <f t="shared" ref="J2:J9" ca="1" si="2">_xludf.IFS(K2 &lt;= 10, "Bajo", AND(K2 &gt; 10, K2 &lt;= 75), "Moderado", AND(K2 &gt; 75, K2 &lt;= 500), "Alto", AND(K2 &gt; 500, K2 &lt;= 3125), "Extremo")</f>
        <v>#NAME?</v>
      </c>
      <c r="K2" s="6" t="e">
        <f t="shared" ref="K2:K9" ca="1" si="3">G2*I2</f>
        <v>#NAME?</v>
      </c>
      <c r="L2" s="6" t="s">
        <v>7</v>
      </c>
      <c r="M2" s="6"/>
      <c r="N2" s="13">
        <v>0</v>
      </c>
      <c r="O2" s="14"/>
      <c r="P2" s="15"/>
      <c r="Q2" s="16"/>
      <c r="R2" s="17"/>
      <c r="S2" s="18" t="e">
        <f t="shared" ref="S2:S9" ca="1" si="4">_xludf.IFS(R2 = "Alta", 3, R2 = "Media", 2, R2 = "Baja", 1)</f>
        <v>#NAME?</v>
      </c>
      <c r="T2" s="19"/>
      <c r="U2" s="18" t="e">
        <f t="shared" ref="U2:U9" ca="1" si="5">_xludf.IFS(T2 = "Alta", 3, T2 = "Media", 2, T2 = "Baja", 1)</f>
        <v>#NAME?</v>
      </c>
      <c r="V2" s="17"/>
      <c r="W2" s="18" t="e">
        <f t="shared" ref="W2:W9" ca="1" si="6">_xludf.IFS(V2 = "Alta", 3, V2 = "Media", 2, V2 = "Baja", 1)</f>
        <v>#NAME?</v>
      </c>
      <c r="X2" s="20" t="e">
        <f t="shared" ref="X2:X9" ca="1" si="7">_xludf.IFS(Y2 &lt; 2, "Baja", AND(Y2 &gt;= 2, Y2 &lt;= 2.49), "Media", AND(Y2 &gt;= 2.5), "Alta")</f>
        <v>#NAME?</v>
      </c>
      <c r="Y2" s="21" t="e">
        <f t="shared" ref="Y2:Y9" ca="1" si="8">(N2 *0.25)+(S2*0.3)+(U2*0.3)+(W2*0.15)</f>
        <v>#NAME?</v>
      </c>
      <c r="Z2" s="22"/>
      <c r="AA2" s="7"/>
      <c r="AB2" s="6" t="s">
        <v>8</v>
      </c>
    </row>
    <row r="3" spans="1:28" ht="144" outlineLevel="1" x14ac:dyDescent="0.35">
      <c r="A3" s="33" t="s">
        <v>9</v>
      </c>
      <c r="B3" s="6" t="s">
        <v>10</v>
      </c>
      <c r="C3" s="7" t="s">
        <v>11</v>
      </c>
      <c r="D3" s="8" t="b">
        <v>1</v>
      </c>
      <c r="E3" s="9" t="s">
        <v>12</v>
      </c>
      <c r="F3" s="10" t="s">
        <v>13</v>
      </c>
      <c r="G3" s="11" t="e">
        <f t="shared" ca="1" si="0"/>
        <v>#NAME?</v>
      </c>
      <c r="H3" s="10" t="s">
        <v>14</v>
      </c>
      <c r="I3" s="7" t="e">
        <f t="shared" ca="1" si="1"/>
        <v>#NAME?</v>
      </c>
      <c r="J3" s="12" t="e">
        <f t="shared" ca="1" si="2"/>
        <v>#NAME?</v>
      </c>
      <c r="K3" s="6" t="e">
        <f t="shared" ca="1" si="3"/>
        <v>#NAME?</v>
      </c>
      <c r="L3" s="6" t="s">
        <v>15</v>
      </c>
      <c r="M3" s="6"/>
      <c r="N3" s="13">
        <v>0</v>
      </c>
      <c r="O3" s="14"/>
      <c r="P3" s="15"/>
      <c r="Q3" s="16"/>
      <c r="R3" s="17"/>
      <c r="S3" s="18" t="e">
        <f t="shared" ca="1" si="4"/>
        <v>#NAME?</v>
      </c>
      <c r="T3" s="19"/>
      <c r="U3" s="18" t="e">
        <f t="shared" ca="1" si="5"/>
        <v>#NAME?</v>
      </c>
      <c r="V3" s="17"/>
      <c r="W3" s="18" t="e">
        <f t="shared" ca="1" si="6"/>
        <v>#NAME?</v>
      </c>
      <c r="X3" s="20" t="e">
        <f t="shared" ca="1" si="7"/>
        <v>#NAME?</v>
      </c>
      <c r="Y3" s="21" t="e">
        <f t="shared" ca="1" si="8"/>
        <v>#NAME?</v>
      </c>
      <c r="Z3" s="22"/>
      <c r="AA3" s="7"/>
      <c r="AB3" s="6" t="s">
        <v>16</v>
      </c>
    </row>
    <row r="4" spans="1:28" ht="108" outlineLevel="1" x14ac:dyDescent="0.35">
      <c r="A4" s="33" t="s">
        <v>17</v>
      </c>
      <c r="B4" s="23" t="s">
        <v>18</v>
      </c>
      <c r="C4" s="7" t="s">
        <v>19</v>
      </c>
      <c r="D4" s="8" t="b">
        <v>1</v>
      </c>
      <c r="E4" s="9" t="s">
        <v>20</v>
      </c>
      <c r="F4" s="10" t="s">
        <v>13</v>
      </c>
      <c r="G4" s="11" t="e">
        <f t="shared" ca="1" si="0"/>
        <v>#NAME?</v>
      </c>
      <c r="H4" s="10" t="s">
        <v>14</v>
      </c>
      <c r="I4" s="7" t="e">
        <f t="shared" ca="1" si="1"/>
        <v>#NAME?</v>
      </c>
      <c r="J4" s="12" t="e">
        <f t="shared" ca="1" si="2"/>
        <v>#NAME?</v>
      </c>
      <c r="K4" s="6" t="e">
        <f t="shared" ca="1" si="3"/>
        <v>#NAME?</v>
      </c>
      <c r="L4" s="6" t="s">
        <v>21</v>
      </c>
      <c r="M4" s="6"/>
      <c r="N4" s="13">
        <v>0</v>
      </c>
      <c r="O4" s="14"/>
      <c r="P4" s="15"/>
      <c r="Q4" s="16"/>
      <c r="R4" s="17"/>
      <c r="S4" s="18" t="e">
        <f t="shared" ca="1" si="4"/>
        <v>#NAME?</v>
      </c>
      <c r="T4" s="19"/>
      <c r="U4" s="18" t="e">
        <f t="shared" ca="1" si="5"/>
        <v>#NAME?</v>
      </c>
      <c r="V4" s="17"/>
      <c r="W4" s="18" t="e">
        <f t="shared" ca="1" si="6"/>
        <v>#NAME?</v>
      </c>
      <c r="X4" s="20" t="e">
        <f t="shared" ca="1" si="7"/>
        <v>#NAME?</v>
      </c>
      <c r="Y4" s="21" t="e">
        <f t="shared" ca="1" si="8"/>
        <v>#NAME?</v>
      </c>
      <c r="Z4" s="22"/>
      <c r="AA4" s="7"/>
      <c r="AB4" s="6" t="s">
        <v>22</v>
      </c>
    </row>
    <row r="5" spans="1:28" ht="198" outlineLevel="1" x14ac:dyDescent="0.35">
      <c r="A5" s="33" t="s">
        <v>23</v>
      </c>
      <c r="B5" s="23" t="s">
        <v>24</v>
      </c>
      <c r="C5" s="7" t="s">
        <v>19</v>
      </c>
      <c r="D5" s="8" t="b">
        <v>1</v>
      </c>
      <c r="E5" s="9" t="s">
        <v>25</v>
      </c>
      <c r="F5" s="10" t="s">
        <v>13</v>
      </c>
      <c r="G5" s="11" t="e">
        <f t="shared" ca="1" si="0"/>
        <v>#NAME?</v>
      </c>
      <c r="H5" s="10" t="s">
        <v>26</v>
      </c>
      <c r="I5" s="7" t="e">
        <f t="shared" ca="1" si="1"/>
        <v>#NAME?</v>
      </c>
      <c r="J5" s="12" t="e">
        <f t="shared" ca="1" si="2"/>
        <v>#NAME?</v>
      </c>
      <c r="K5" s="6" t="e">
        <f t="shared" ca="1" si="3"/>
        <v>#NAME?</v>
      </c>
      <c r="L5" s="6" t="s">
        <v>27</v>
      </c>
      <c r="M5" s="6"/>
      <c r="N5" s="13">
        <v>0</v>
      </c>
      <c r="O5" s="14"/>
      <c r="P5" s="15"/>
      <c r="Q5" s="16"/>
      <c r="R5" s="17"/>
      <c r="S5" s="18" t="e">
        <f t="shared" ca="1" si="4"/>
        <v>#NAME?</v>
      </c>
      <c r="T5" s="19"/>
      <c r="U5" s="18" t="e">
        <f t="shared" ca="1" si="5"/>
        <v>#NAME?</v>
      </c>
      <c r="V5" s="17"/>
      <c r="W5" s="18" t="e">
        <f t="shared" ca="1" si="6"/>
        <v>#NAME?</v>
      </c>
      <c r="X5" s="20" t="e">
        <f t="shared" ca="1" si="7"/>
        <v>#NAME?</v>
      </c>
      <c r="Y5" s="21" t="e">
        <f t="shared" ca="1" si="8"/>
        <v>#NAME?</v>
      </c>
      <c r="Z5" s="22"/>
      <c r="AA5" s="7"/>
      <c r="AB5" s="6" t="s">
        <v>28</v>
      </c>
    </row>
    <row r="6" spans="1:28" ht="198" outlineLevel="1" x14ac:dyDescent="0.35">
      <c r="A6" s="33" t="s">
        <v>29</v>
      </c>
      <c r="B6" s="23" t="s">
        <v>30</v>
      </c>
      <c r="C6" s="7" t="s">
        <v>11</v>
      </c>
      <c r="D6" s="8" t="b">
        <v>1</v>
      </c>
      <c r="E6" s="9" t="s">
        <v>31</v>
      </c>
      <c r="F6" s="10" t="s">
        <v>6</v>
      </c>
      <c r="G6" s="11" t="e">
        <f t="shared" ca="1" si="0"/>
        <v>#NAME?</v>
      </c>
      <c r="H6" s="10" t="s">
        <v>6</v>
      </c>
      <c r="I6" s="7" t="e">
        <f t="shared" ca="1" si="1"/>
        <v>#NAME?</v>
      </c>
      <c r="J6" s="12" t="e">
        <f t="shared" ca="1" si="2"/>
        <v>#NAME?</v>
      </c>
      <c r="K6" s="6" t="e">
        <f t="shared" ca="1" si="3"/>
        <v>#NAME?</v>
      </c>
      <c r="L6" s="6" t="s">
        <v>32</v>
      </c>
      <c r="M6" s="6"/>
      <c r="N6" s="13">
        <v>0</v>
      </c>
      <c r="O6" s="13"/>
      <c r="P6" s="24"/>
      <c r="Q6" s="16"/>
      <c r="R6" s="17"/>
      <c r="S6" s="18" t="e">
        <f t="shared" ca="1" si="4"/>
        <v>#NAME?</v>
      </c>
      <c r="T6" s="19"/>
      <c r="U6" s="18" t="e">
        <f t="shared" ca="1" si="5"/>
        <v>#NAME?</v>
      </c>
      <c r="V6" s="17"/>
      <c r="W6" s="18" t="e">
        <f t="shared" ca="1" si="6"/>
        <v>#NAME?</v>
      </c>
      <c r="X6" s="20" t="e">
        <f t="shared" ca="1" si="7"/>
        <v>#NAME?</v>
      </c>
      <c r="Y6" s="21" t="e">
        <f t="shared" ca="1" si="8"/>
        <v>#NAME?</v>
      </c>
      <c r="Z6" s="22"/>
      <c r="AA6" s="7"/>
      <c r="AB6" s="6" t="s">
        <v>33</v>
      </c>
    </row>
    <row r="7" spans="1:28" ht="198" outlineLevel="1" x14ac:dyDescent="0.35">
      <c r="A7" s="33" t="s">
        <v>34</v>
      </c>
      <c r="B7" s="23" t="s">
        <v>35</v>
      </c>
      <c r="C7" s="7" t="s">
        <v>19</v>
      </c>
      <c r="D7" s="8" t="b">
        <v>1</v>
      </c>
      <c r="E7" s="9" t="s">
        <v>36</v>
      </c>
      <c r="F7" s="10" t="s">
        <v>6</v>
      </c>
      <c r="G7" s="11" t="e">
        <f t="shared" ca="1" si="0"/>
        <v>#NAME?</v>
      </c>
      <c r="H7" s="10" t="s">
        <v>6</v>
      </c>
      <c r="I7" s="7" t="e">
        <f t="shared" ca="1" si="1"/>
        <v>#NAME?</v>
      </c>
      <c r="J7" s="12" t="e">
        <f t="shared" ca="1" si="2"/>
        <v>#NAME?</v>
      </c>
      <c r="K7" s="6" t="e">
        <f t="shared" ca="1" si="3"/>
        <v>#NAME?</v>
      </c>
      <c r="L7" s="6" t="s">
        <v>37</v>
      </c>
      <c r="M7" s="6"/>
      <c r="N7" s="13">
        <v>0</v>
      </c>
      <c r="O7" s="14"/>
      <c r="P7" s="15"/>
      <c r="Q7" s="16"/>
      <c r="R7" s="17"/>
      <c r="S7" s="18" t="e">
        <f t="shared" ca="1" si="4"/>
        <v>#NAME?</v>
      </c>
      <c r="T7" s="19"/>
      <c r="U7" s="18" t="e">
        <f t="shared" ca="1" si="5"/>
        <v>#NAME?</v>
      </c>
      <c r="V7" s="17"/>
      <c r="W7" s="18" t="e">
        <f t="shared" ca="1" si="6"/>
        <v>#NAME?</v>
      </c>
      <c r="X7" s="20" t="e">
        <f t="shared" ca="1" si="7"/>
        <v>#NAME?</v>
      </c>
      <c r="Y7" s="21" t="e">
        <f t="shared" ca="1" si="8"/>
        <v>#NAME?</v>
      </c>
      <c r="Z7" s="22"/>
      <c r="AA7" s="7"/>
      <c r="AB7" s="6" t="s">
        <v>38</v>
      </c>
    </row>
    <row r="8" spans="1:28" ht="162" outlineLevel="1" x14ac:dyDescent="0.35">
      <c r="A8" s="33" t="s">
        <v>39</v>
      </c>
      <c r="B8" s="23" t="s">
        <v>40</v>
      </c>
      <c r="C8" s="7" t="s">
        <v>19</v>
      </c>
      <c r="D8" s="8" t="b">
        <v>1</v>
      </c>
      <c r="E8" s="9" t="s">
        <v>41</v>
      </c>
      <c r="F8" s="10" t="s">
        <v>13</v>
      </c>
      <c r="G8" s="11" t="e">
        <f t="shared" ca="1" si="0"/>
        <v>#NAME?</v>
      </c>
      <c r="H8" s="10" t="s">
        <v>26</v>
      </c>
      <c r="I8" s="7" t="e">
        <f t="shared" ca="1" si="1"/>
        <v>#NAME?</v>
      </c>
      <c r="J8" s="12" t="e">
        <f t="shared" ca="1" si="2"/>
        <v>#NAME?</v>
      </c>
      <c r="K8" s="6" t="e">
        <f t="shared" ca="1" si="3"/>
        <v>#NAME?</v>
      </c>
      <c r="L8" s="6" t="s">
        <v>42</v>
      </c>
      <c r="M8" s="6"/>
      <c r="N8" s="13">
        <v>0</v>
      </c>
      <c r="O8" s="14"/>
      <c r="P8" s="15"/>
      <c r="Q8" s="16"/>
      <c r="R8" s="17"/>
      <c r="S8" s="18" t="e">
        <f t="shared" ca="1" si="4"/>
        <v>#NAME?</v>
      </c>
      <c r="T8" s="19"/>
      <c r="U8" s="18" t="e">
        <f t="shared" ca="1" si="5"/>
        <v>#NAME?</v>
      </c>
      <c r="V8" s="17"/>
      <c r="W8" s="18" t="e">
        <f t="shared" ca="1" si="6"/>
        <v>#NAME?</v>
      </c>
      <c r="X8" s="20" t="e">
        <f t="shared" ca="1" si="7"/>
        <v>#NAME?</v>
      </c>
      <c r="Y8" s="21" t="e">
        <f t="shared" ca="1" si="8"/>
        <v>#NAME?</v>
      </c>
      <c r="Z8" s="22"/>
      <c r="AA8" s="7"/>
      <c r="AB8" s="6" t="s">
        <v>43</v>
      </c>
    </row>
    <row r="9" spans="1:28" ht="216" outlineLevel="1" x14ac:dyDescent="0.35">
      <c r="A9" s="33" t="s">
        <v>44</v>
      </c>
      <c r="B9" s="23" t="s">
        <v>45</v>
      </c>
      <c r="C9" s="7" t="s">
        <v>19</v>
      </c>
      <c r="D9" s="8" t="b">
        <v>1</v>
      </c>
      <c r="E9" s="9" t="s">
        <v>46</v>
      </c>
      <c r="F9" s="10" t="s">
        <v>5</v>
      </c>
      <c r="G9" s="11" t="e">
        <f t="shared" ca="1" si="0"/>
        <v>#NAME?</v>
      </c>
      <c r="H9" s="10" t="s">
        <v>14</v>
      </c>
      <c r="I9" s="7" t="e">
        <f t="shared" ca="1" si="1"/>
        <v>#NAME?</v>
      </c>
      <c r="J9" s="12" t="e">
        <f t="shared" ca="1" si="2"/>
        <v>#NAME?</v>
      </c>
      <c r="K9" s="6" t="e">
        <f t="shared" ca="1" si="3"/>
        <v>#NAME?</v>
      </c>
      <c r="L9" s="6" t="s">
        <v>47</v>
      </c>
      <c r="M9" s="6"/>
      <c r="N9" s="13">
        <v>0</v>
      </c>
      <c r="O9" s="25"/>
      <c r="P9" s="26"/>
      <c r="Q9" s="16"/>
      <c r="R9" s="17"/>
      <c r="S9" s="18" t="e">
        <f t="shared" ca="1" si="4"/>
        <v>#NAME?</v>
      </c>
      <c r="T9" s="19"/>
      <c r="U9" s="18" t="e">
        <f t="shared" ca="1" si="5"/>
        <v>#NAME?</v>
      </c>
      <c r="V9" s="17"/>
      <c r="W9" s="18" t="e">
        <f t="shared" ca="1" si="6"/>
        <v>#NAME?</v>
      </c>
      <c r="X9" s="20" t="e">
        <f t="shared" ca="1" si="7"/>
        <v>#NAME?</v>
      </c>
      <c r="Y9" s="21" t="e">
        <f t="shared" ca="1" si="8"/>
        <v>#NAME?</v>
      </c>
      <c r="Z9" s="22"/>
      <c r="AA9" s="7"/>
      <c r="AB9" s="6" t="s">
        <v>48</v>
      </c>
    </row>
    <row r="10" spans="1:28" ht="54" customHeight="1" x14ac:dyDescent="0.2">
      <c r="A10" s="34" t="s">
        <v>49</v>
      </c>
      <c r="B10" s="3" t="str">
        <f>CONCATENATE("Gestión de identidad y acceso: ",COUNTIF(B11:B16,"&lt;&gt;0"))</f>
        <v>Gestión de identidad y acceso: 6</v>
      </c>
      <c r="C10" s="2">
        <f>(COUNTIF(C11:C16,"Sí")*1 + COUNTIF(C11:C16, "Parcialmente")*0.5) / (COUNTIF(C11:C16,"&lt;&gt;0") - ((COUNTIF(C11:C16, "N/A") + COUNTIF(C11:C16, "N/E"))))</f>
        <v>0.58333333333333337</v>
      </c>
      <c r="D10" s="3">
        <f>COUNTIF(D11:D16,"true")</f>
        <v>0</v>
      </c>
      <c r="E10" s="4"/>
      <c r="F10" s="3"/>
      <c r="G10" s="3"/>
      <c r="H10" s="3"/>
      <c r="I10" s="3"/>
      <c r="J10" s="3"/>
      <c r="K10" s="3"/>
      <c r="L10" s="3" t="str">
        <f ca="1">IFERROR(__xludf.DUMMYFUNCTION("CONCATENATE(""Cantidad de notas: "", COUNTIF(FLATTEN(SPLIT(TEXTJOIN(CHAR(10), TRUE, M15:M20), CHAR(10))), ""*-?*""))"),"Cantidad de notas: 21")</f>
        <v>Cantidad de notas: 21</v>
      </c>
      <c r="M10" s="3"/>
      <c r="N10" s="3">
        <f>SUM(N11:N16)</f>
        <v>0</v>
      </c>
      <c r="O10" s="27">
        <f>MIN(O11:O16)</f>
        <v>0</v>
      </c>
      <c r="P10" s="27">
        <f>MAX(P11:P16)</f>
        <v>0</v>
      </c>
      <c r="Q10" s="1"/>
      <c r="R10" s="1"/>
      <c r="S10" s="1"/>
      <c r="T10" s="1"/>
      <c r="U10" s="1"/>
      <c r="V10" s="1"/>
      <c r="W10" s="1"/>
      <c r="X10" s="1"/>
      <c r="Y10" s="1"/>
      <c r="Z10" s="3" t="str">
        <f>CONCATENATE("GFourmis: ", COUNTIF(Z11:Z16, "GFourmis"), CHAR(10), "Cliente: ", COUNTIF(Z11:Z16, "Cliente"), CHAR(10), "Tercero: ", COUNTIF(Z11:Z16, "Tercero"))</f>
        <v>GFourmis: 0
Cliente: 0
Tercero: 0</v>
      </c>
      <c r="AA10" s="2" t="e">
        <f>(COUNTIF(AA11:AA16,"Sí")*1 + COUNTIF(AA11:AA16, "Parcialmente")*0.5) / ((COUNTA(AA11:AA16) - (COUNTIF(AA11:AA16, "N/A") + COUNTIF(AA11:AA16, "N/E"))))</f>
        <v>#DIV/0!</v>
      </c>
      <c r="AB10" s="3" t="str">
        <f ca="1">IFERROR(__xludf.DUMMYFUNCTION("CONCATENATE(""Cantidad de notas: "", COUNTIF(FLATTEN(SPLIT(TEXTJOIN(CHAR(10), TRUE, AC15:AC20), CHAR(10))), ""*-?*""))"),"Cantidad de notas: 0")</f>
        <v>Cantidad de notas: 0</v>
      </c>
    </row>
    <row r="11" spans="1:28" ht="288" outlineLevel="1" x14ac:dyDescent="0.35">
      <c r="A11" s="33" t="s">
        <v>50</v>
      </c>
      <c r="B11" s="23" t="s">
        <v>51</v>
      </c>
      <c r="C11" s="7" t="s">
        <v>11</v>
      </c>
      <c r="D11" s="8" t="b">
        <v>1</v>
      </c>
      <c r="E11" s="9" t="s">
        <v>52</v>
      </c>
      <c r="F11" s="10" t="s">
        <v>5</v>
      </c>
      <c r="G11" s="11" t="e">
        <f t="shared" ref="G11:G16" ca="1" si="9">_xludf.IFS(F11 = "Frecuente", 5, F11 = "Probable", 4, F11 = "Moderado", 3, F11 = "Bajo", 2, F11 = "Rara vez", 1)</f>
        <v>#NAME?</v>
      </c>
      <c r="H11" s="10" t="s">
        <v>26</v>
      </c>
      <c r="I11" s="7" t="e">
        <f t="shared" ref="I11:I16" ca="1" si="10">_xludf.IFS(H11 = "Crítico", 625, H11 = "Mayor", 125, H11 = "Moderado", 25, H11 = "Menor", 5, H11 = "Inferior", 1)</f>
        <v>#NAME?</v>
      </c>
      <c r="J11" s="12" t="e">
        <f t="shared" ref="J11:J16" ca="1" si="11">_xludf.IFS(K11 &lt;= 10, "Bajo", AND(K11 &gt; 10, K11 &lt;= 75), "Moderado", AND(K11 &gt; 75, K11 &lt;= 500), "Alto", AND(K11 &gt; 500, K11 &lt;= 3125), "Extremo")</f>
        <v>#NAME?</v>
      </c>
      <c r="K11" s="6" t="e">
        <f t="shared" ref="K11:K16" ca="1" si="12">G11*I11</f>
        <v>#NAME?</v>
      </c>
      <c r="L11" s="6" t="s">
        <v>53</v>
      </c>
      <c r="M11" s="6"/>
      <c r="N11" s="13">
        <v>0</v>
      </c>
      <c r="O11" s="14"/>
      <c r="P11" s="14"/>
      <c r="Q11" s="16"/>
      <c r="R11" s="17"/>
      <c r="S11" s="18" t="e">
        <f t="shared" ref="S11:S16" ca="1" si="13">_xludf.IFS(R11 = "Alta", 3, R11 = "Media", 2, R11 = "Baja", 1)</f>
        <v>#NAME?</v>
      </c>
      <c r="T11" s="19"/>
      <c r="U11" s="18" t="e">
        <f t="shared" ref="U11:U16" ca="1" si="14">_xludf.IFS(T11 = "Alta", 3, T11 = "Media", 2, T11 = "Baja", 1)</f>
        <v>#NAME?</v>
      </c>
      <c r="V11" s="17"/>
      <c r="W11" s="18" t="e">
        <f t="shared" ref="W11:W16" ca="1" si="15">_xludf.IFS(V11 = "Alta", 3, V11 = "Media", 2, V11 = "Baja", 1)</f>
        <v>#NAME?</v>
      </c>
      <c r="X11" s="20" t="e">
        <f t="shared" ref="X11:X16" ca="1" si="16">_xludf.IFS(Y11 &lt; 2, "Baja", AND(Y11 &gt;= 2, Y11 &lt;= 2.49), "Media", AND(Y11 &gt;= 2.5), "Alta")</f>
        <v>#NAME?</v>
      </c>
      <c r="Y11" s="21" t="e">
        <f t="shared" ref="Y11:Y16" ca="1" si="17">(N11 *0.25)+(S11*0.3)+(U11*0.3)+(W11*0.15)</f>
        <v>#NAME?</v>
      </c>
      <c r="Z11" s="7"/>
      <c r="AA11" s="7"/>
      <c r="AB11" s="6" t="s">
        <v>54</v>
      </c>
    </row>
    <row r="12" spans="1:28" ht="252" outlineLevel="1" x14ac:dyDescent="0.35">
      <c r="A12" s="33" t="s">
        <v>55</v>
      </c>
      <c r="B12" s="23" t="s">
        <v>56</v>
      </c>
      <c r="C12" s="7" t="s">
        <v>11</v>
      </c>
      <c r="D12" s="8" t="b">
        <v>1</v>
      </c>
      <c r="E12" s="9" t="s">
        <v>52</v>
      </c>
      <c r="F12" s="10" t="s">
        <v>5</v>
      </c>
      <c r="G12" s="11" t="e">
        <f t="shared" ca="1" si="9"/>
        <v>#NAME?</v>
      </c>
      <c r="H12" s="10" t="s">
        <v>26</v>
      </c>
      <c r="I12" s="7" t="e">
        <f t="shared" ca="1" si="10"/>
        <v>#NAME?</v>
      </c>
      <c r="J12" s="12" t="e">
        <f t="shared" ca="1" si="11"/>
        <v>#NAME?</v>
      </c>
      <c r="K12" s="6" t="e">
        <f t="shared" ca="1" si="12"/>
        <v>#NAME?</v>
      </c>
      <c r="L12" s="6" t="s">
        <v>57</v>
      </c>
      <c r="M12" s="6"/>
      <c r="N12" s="13">
        <v>0</v>
      </c>
      <c r="O12" s="14"/>
      <c r="P12" s="14"/>
      <c r="Q12" s="16"/>
      <c r="R12" s="17"/>
      <c r="S12" s="18" t="e">
        <f t="shared" ca="1" si="13"/>
        <v>#NAME?</v>
      </c>
      <c r="T12" s="19"/>
      <c r="U12" s="18" t="e">
        <f t="shared" ca="1" si="14"/>
        <v>#NAME?</v>
      </c>
      <c r="V12" s="17"/>
      <c r="W12" s="18" t="e">
        <f t="shared" ca="1" si="15"/>
        <v>#NAME?</v>
      </c>
      <c r="X12" s="20" t="e">
        <f t="shared" ca="1" si="16"/>
        <v>#NAME?</v>
      </c>
      <c r="Y12" s="21" t="e">
        <f t="shared" ca="1" si="17"/>
        <v>#NAME?</v>
      </c>
      <c r="Z12" s="7"/>
      <c r="AA12" s="7"/>
      <c r="AB12" s="6" t="s">
        <v>58</v>
      </c>
    </row>
    <row r="13" spans="1:28" ht="198" outlineLevel="1" x14ac:dyDescent="0.35">
      <c r="A13" s="33" t="s">
        <v>59</v>
      </c>
      <c r="B13" s="23" t="s">
        <v>60</v>
      </c>
      <c r="C13" s="7" t="s">
        <v>19</v>
      </c>
      <c r="D13" s="8" t="b">
        <v>1</v>
      </c>
      <c r="E13" s="9" t="s">
        <v>61</v>
      </c>
      <c r="F13" s="10" t="s">
        <v>6</v>
      </c>
      <c r="G13" s="11" t="e">
        <f t="shared" ca="1" si="9"/>
        <v>#NAME?</v>
      </c>
      <c r="H13" s="10" t="s">
        <v>6</v>
      </c>
      <c r="I13" s="7" t="e">
        <f t="shared" ca="1" si="10"/>
        <v>#NAME?</v>
      </c>
      <c r="J13" s="12" t="e">
        <f t="shared" ca="1" si="11"/>
        <v>#NAME?</v>
      </c>
      <c r="K13" s="6" t="e">
        <f t="shared" ca="1" si="12"/>
        <v>#NAME?</v>
      </c>
      <c r="L13" s="6" t="s">
        <v>62</v>
      </c>
      <c r="M13" s="6"/>
      <c r="N13" s="13">
        <v>0</v>
      </c>
      <c r="O13" s="14"/>
      <c r="P13" s="14"/>
      <c r="Q13" s="16"/>
      <c r="R13" s="17"/>
      <c r="S13" s="18" t="e">
        <f t="shared" ca="1" si="13"/>
        <v>#NAME?</v>
      </c>
      <c r="T13" s="19"/>
      <c r="U13" s="18" t="e">
        <f t="shared" ca="1" si="14"/>
        <v>#NAME?</v>
      </c>
      <c r="V13" s="17"/>
      <c r="W13" s="18" t="e">
        <f t="shared" ca="1" si="15"/>
        <v>#NAME?</v>
      </c>
      <c r="X13" s="20" t="e">
        <f t="shared" ca="1" si="16"/>
        <v>#NAME?</v>
      </c>
      <c r="Y13" s="21" t="e">
        <f t="shared" ca="1" si="17"/>
        <v>#NAME?</v>
      </c>
      <c r="Z13" s="7"/>
      <c r="AA13" s="7"/>
      <c r="AB13" s="6" t="s">
        <v>63</v>
      </c>
    </row>
    <row r="14" spans="1:28" ht="162" outlineLevel="1" x14ac:dyDescent="0.35">
      <c r="A14" s="33" t="s">
        <v>64</v>
      </c>
      <c r="B14" s="23" t="s">
        <v>65</v>
      </c>
      <c r="C14" s="7" t="s">
        <v>3</v>
      </c>
      <c r="D14" s="8" t="b">
        <v>0</v>
      </c>
      <c r="E14" s="9" t="s">
        <v>66</v>
      </c>
      <c r="F14" s="28" t="s">
        <v>5</v>
      </c>
      <c r="G14" s="11" t="e">
        <f t="shared" ca="1" si="9"/>
        <v>#NAME?</v>
      </c>
      <c r="H14" s="28" t="s">
        <v>26</v>
      </c>
      <c r="I14" s="7" t="e">
        <f t="shared" ca="1" si="10"/>
        <v>#NAME?</v>
      </c>
      <c r="J14" s="12" t="e">
        <f t="shared" ca="1" si="11"/>
        <v>#NAME?</v>
      </c>
      <c r="K14" s="6" t="e">
        <f t="shared" ca="1" si="12"/>
        <v>#NAME?</v>
      </c>
      <c r="L14" s="6" t="s">
        <v>67</v>
      </c>
      <c r="M14" s="6"/>
      <c r="N14" s="13">
        <v>0</v>
      </c>
      <c r="O14" s="14"/>
      <c r="P14" s="14"/>
      <c r="Q14" s="16"/>
      <c r="R14" s="17"/>
      <c r="S14" s="18" t="e">
        <f t="shared" ca="1" si="13"/>
        <v>#NAME?</v>
      </c>
      <c r="T14" s="19"/>
      <c r="U14" s="18" t="e">
        <f t="shared" ca="1" si="14"/>
        <v>#NAME?</v>
      </c>
      <c r="V14" s="17"/>
      <c r="W14" s="18" t="e">
        <f t="shared" ca="1" si="15"/>
        <v>#NAME?</v>
      </c>
      <c r="X14" s="20" t="e">
        <f t="shared" ca="1" si="16"/>
        <v>#NAME?</v>
      </c>
      <c r="Y14" s="21" t="e">
        <f t="shared" ca="1" si="17"/>
        <v>#NAME?</v>
      </c>
      <c r="Z14" s="7"/>
      <c r="AA14" s="7"/>
      <c r="AB14" s="6" t="s">
        <v>68</v>
      </c>
    </row>
    <row r="15" spans="1:28" ht="216" outlineLevel="1" x14ac:dyDescent="0.35">
      <c r="A15" s="33" t="s">
        <v>69</v>
      </c>
      <c r="B15" s="23" t="s">
        <v>70</v>
      </c>
      <c r="C15" s="7" t="s">
        <v>11</v>
      </c>
      <c r="D15" s="8" t="b">
        <v>1</v>
      </c>
      <c r="E15" s="9" t="s">
        <v>71</v>
      </c>
      <c r="F15" s="10" t="s">
        <v>5</v>
      </c>
      <c r="G15" s="11" t="e">
        <f t="shared" ca="1" si="9"/>
        <v>#NAME?</v>
      </c>
      <c r="H15" s="10" t="s">
        <v>26</v>
      </c>
      <c r="I15" s="7" t="e">
        <f t="shared" ca="1" si="10"/>
        <v>#NAME?</v>
      </c>
      <c r="J15" s="12" t="e">
        <f t="shared" ca="1" si="11"/>
        <v>#NAME?</v>
      </c>
      <c r="K15" s="6" t="e">
        <f t="shared" ca="1" si="12"/>
        <v>#NAME?</v>
      </c>
      <c r="L15" s="6" t="s">
        <v>72</v>
      </c>
      <c r="M15" s="6"/>
      <c r="N15" s="13">
        <v>0</v>
      </c>
      <c r="O15" s="14"/>
      <c r="P15" s="14"/>
      <c r="Q15" s="16"/>
      <c r="R15" s="17"/>
      <c r="S15" s="18" t="e">
        <f t="shared" ca="1" si="13"/>
        <v>#NAME?</v>
      </c>
      <c r="T15" s="19"/>
      <c r="U15" s="18" t="e">
        <f t="shared" ca="1" si="14"/>
        <v>#NAME?</v>
      </c>
      <c r="V15" s="17"/>
      <c r="W15" s="18" t="e">
        <f t="shared" ca="1" si="15"/>
        <v>#NAME?</v>
      </c>
      <c r="X15" s="20" t="e">
        <f t="shared" ca="1" si="16"/>
        <v>#NAME?</v>
      </c>
      <c r="Y15" s="21" t="e">
        <f t="shared" ca="1" si="17"/>
        <v>#NAME?</v>
      </c>
      <c r="Z15" s="7"/>
      <c r="AA15" s="7"/>
      <c r="AB15" s="6" t="s">
        <v>73</v>
      </c>
    </row>
    <row r="16" spans="1:28" ht="180" outlineLevel="1" x14ac:dyDescent="0.35">
      <c r="A16" s="33" t="s">
        <v>74</v>
      </c>
      <c r="B16" s="23" t="s">
        <v>75</v>
      </c>
      <c r="C16" s="7" t="s">
        <v>3</v>
      </c>
      <c r="D16" s="8" t="b">
        <v>0</v>
      </c>
      <c r="E16" s="9" t="s">
        <v>76</v>
      </c>
      <c r="F16" s="10" t="s">
        <v>5</v>
      </c>
      <c r="G16" s="11" t="e">
        <f t="shared" ca="1" si="9"/>
        <v>#NAME?</v>
      </c>
      <c r="H16" s="10" t="s">
        <v>14</v>
      </c>
      <c r="I16" s="7" t="e">
        <f t="shared" ca="1" si="10"/>
        <v>#NAME?</v>
      </c>
      <c r="J16" s="12" t="e">
        <f t="shared" ca="1" si="11"/>
        <v>#NAME?</v>
      </c>
      <c r="K16" s="6" t="e">
        <f t="shared" ca="1" si="12"/>
        <v>#NAME?</v>
      </c>
      <c r="L16" s="6" t="s">
        <v>67</v>
      </c>
      <c r="M16" s="6"/>
      <c r="N16" s="13">
        <v>0</v>
      </c>
      <c r="O16" s="14"/>
      <c r="P16" s="14"/>
      <c r="Q16" s="16"/>
      <c r="R16" s="17"/>
      <c r="S16" s="18" t="e">
        <f t="shared" ca="1" si="13"/>
        <v>#NAME?</v>
      </c>
      <c r="T16" s="19"/>
      <c r="U16" s="18" t="e">
        <f t="shared" ca="1" si="14"/>
        <v>#NAME?</v>
      </c>
      <c r="V16" s="17"/>
      <c r="W16" s="18" t="e">
        <f t="shared" ca="1" si="15"/>
        <v>#NAME?</v>
      </c>
      <c r="X16" s="20" t="e">
        <f t="shared" ca="1" si="16"/>
        <v>#NAME?</v>
      </c>
      <c r="Y16" s="21" t="e">
        <f t="shared" ca="1" si="17"/>
        <v>#NAME?</v>
      </c>
      <c r="Z16" s="7"/>
      <c r="AA16" s="7"/>
      <c r="AB16" s="6" t="s">
        <v>77</v>
      </c>
    </row>
    <row r="17" spans="1:28" ht="54" customHeight="1" x14ac:dyDescent="0.2">
      <c r="A17" s="34" t="s">
        <v>78</v>
      </c>
      <c r="B17" s="3" t="str">
        <f>CONCATENATE("Gestión de identidad y acceso: ",COUNTIF(B18:B26,"&lt;&gt;0"))</f>
        <v>Gestión de identidad y acceso: 9</v>
      </c>
      <c r="C17" s="2">
        <f>(COUNTIF(C18:C26,"Sí")*1 + COUNTIF(C18:C26, "Parcialmente")*0.5) / ((COUNTA(C18:C26) - (COUNTIF(C18:C26, "N/A") + COUNTIF(C18:C26, "N/E"))))</f>
        <v>0.4375</v>
      </c>
      <c r="D17" s="3">
        <f>COUNTIF(D18:D26,"true")</f>
        <v>0</v>
      </c>
      <c r="E17" s="4"/>
      <c r="F17" s="3"/>
      <c r="G17" s="3"/>
      <c r="H17" s="3"/>
      <c r="I17" s="3"/>
      <c r="J17" s="3"/>
      <c r="K17" s="3"/>
      <c r="L17" s="3" t="str">
        <f ca="1">IFERROR(__xludf.DUMMYFUNCTION("CONCATENATE(""Cantidad de notas: "", COUNTIF(FLATTEN(SPLIT(TEXTJOIN(CHAR(10), TRUE, M22:M30), CHAR(10))), ""*-?*""))"),"Cantidad de notas: 25")</f>
        <v>Cantidad de notas: 25</v>
      </c>
      <c r="M17" s="3"/>
      <c r="N17" s="3">
        <f>SUM(N18:N26)</f>
        <v>0</v>
      </c>
      <c r="O17" s="5">
        <f>MIN(O18:O26)</f>
        <v>0</v>
      </c>
      <c r="P17" s="5">
        <f>MAX(P18:P26)</f>
        <v>0</v>
      </c>
      <c r="Q17" s="5"/>
      <c r="R17" s="5"/>
      <c r="S17" s="5"/>
      <c r="T17" s="5"/>
      <c r="U17" s="5"/>
      <c r="V17" s="5"/>
      <c r="W17" s="5"/>
      <c r="X17" s="5"/>
      <c r="Y17" s="5"/>
      <c r="Z17" s="3" t="str">
        <f>CONCATENATE("GFourmis: ", COUNTIF(Z18:Z26, "GFourmis"), CHAR(10), "Cliente: ", COUNTIF(Z18:Z26, "Cliente"), CHAR(10), "Tercero: ", COUNTIF(Z18:Z26, "Tercero"))</f>
        <v>GFourmis: 0
Cliente: 0
Tercero: 0</v>
      </c>
      <c r="AA17" s="2" t="e">
        <f>(COUNTIF(AA18:AA26,"Sí")*1 + COUNTIF(AA18:AA36, "Parcialmente")*0.5) / ((COUNTA(AA18:AA26) - (COUNTIF(AA18:AA26, "N/A") + COUNTIF(AA18:AA26, "N/E"))))</f>
        <v>#DIV/0!</v>
      </c>
      <c r="AB17" s="3" t="str">
        <f ca="1">IFERROR(__xludf.DUMMYFUNCTION("CONCATENATE(""Cantidad de notas: "", COUNTIF(FLATTEN(SPLIT(TEXTJOIN(CHAR(10), TRUE, AC22:AC30), CHAR(10))), ""*-?*""))"),"Cantidad de notas: 0")</f>
        <v>Cantidad de notas: 0</v>
      </c>
    </row>
    <row r="18" spans="1:28" ht="270" outlineLevel="1" x14ac:dyDescent="0.35">
      <c r="A18" s="33" t="s">
        <v>79</v>
      </c>
      <c r="B18" s="23" t="s">
        <v>80</v>
      </c>
      <c r="C18" s="7" t="s">
        <v>11</v>
      </c>
      <c r="D18" s="8" t="b">
        <v>1</v>
      </c>
      <c r="E18" s="9" t="s">
        <v>81</v>
      </c>
      <c r="F18" s="10" t="s">
        <v>5</v>
      </c>
      <c r="G18" s="11" t="e">
        <f t="shared" ref="G18:G26" ca="1" si="18">_xludf.IFS(F18 = "Frecuente", 5, F18 = "Probable", 4, F18 = "Moderado", 3, F18 = "Bajo", 2, F18 = "Rara vez", 1)</f>
        <v>#NAME?</v>
      </c>
      <c r="H18" s="10" t="s">
        <v>14</v>
      </c>
      <c r="I18" s="7" t="e">
        <f t="shared" ref="I18:I26" ca="1" si="19">_xludf.IFS(H18 = "Crítico", 625, H18 = "Mayor", 125, H18 = "Moderado", 25, H18 = "Menor", 5, H18 = "Inferior", 1)</f>
        <v>#NAME?</v>
      </c>
      <c r="J18" s="12" t="e">
        <f t="shared" ref="J18:J26" ca="1" si="20">_xludf.IFS(K18 &lt;= 10, "Bajo", AND(K18 &gt; 10, K18 &lt;= 75), "Moderado", AND(K18 &gt; 75, K18 &lt;= 500), "Alto", AND(K18 &gt; 500, K18 &lt;= 3125), "Extremo")</f>
        <v>#NAME?</v>
      </c>
      <c r="K18" s="6" t="e">
        <f t="shared" ref="K18:K26" ca="1" si="21">G18*I18</f>
        <v>#NAME?</v>
      </c>
      <c r="L18" s="6" t="s">
        <v>82</v>
      </c>
      <c r="M18" s="6"/>
      <c r="N18" s="13">
        <v>0</v>
      </c>
      <c r="O18" s="14"/>
      <c r="P18" s="14"/>
      <c r="Q18" s="16"/>
      <c r="R18" s="17"/>
      <c r="S18" s="18" t="e">
        <f t="shared" ref="S18:S26" ca="1" si="22">_xludf.IFS(R18 = "Alta", 3, R18 = "Media", 2, R18 = "Baja", 1)</f>
        <v>#NAME?</v>
      </c>
      <c r="T18" s="19"/>
      <c r="U18" s="18" t="e">
        <f t="shared" ref="U18:U26" ca="1" si="23">_xludf.IFS(T18 = "Alta", 3, T18 = "Media", 2, T18 = "Baja", 1)</f>
        <v>#NAME?</v>
      </c>
      <c r="V18" s="17"/>
      <c r="W18" s="18" t="e">
        <f t="shared" ref="W18:W26" ca="1" si="24">_xludf.IFS(V18 = "Alta", 3, V18 = "Media", 2, V18 = "Baja", 1)</f>
        <v>#NAME?</v>
      </c>
      <c r="X18" s="20" t="e">
        <f t="shared" ref="X18:X26" ca="1" si="25">_xludf.IFS(Y18 &lt; 2, "Baja", AND(Y18 &gt;= 2, Y18 &lt;= 2.49), "Media", AND(Y18 &gt;= 2.5), "Alta")</f>
        <v>#NAME?</v>
      </c>
      <c r="Y18" s="21" t="e">
        <f t="shared" ref="Y18:Y26" ca="1" si="26">(N18 *0.25)+(S18*0.3)+(U18*0.3)+(W18*0.15)</f>
        <v>#NAME?</v>
      </c>
      <c r="Z18" s="7"/>
      <c r="AA18" s="7"/>
      <c r="AB18" s="6" t="s">
        <v>83</v>
      </c>
    </row>
    <row r="19" spans="1:28" ht="342" outlineLevel="1" x14ac:dyDescent="0.35">
      <c r="A19" s="33" t="s">
        <v>84</v>
      </c>
      <c r="B19" s="23" t="s">
        <v>85</v>
      </c>
      <c r="C19" s="7" t="s">
        <v>19</v>
      </c>
      <c r="D19" s="8" t="b">
        <v>1</v>
      </c>
      <c r="E19" s="9" t="s">
        <v>86</v>
      </c>
      <c r="F19" s="10" t="s">
        <v>13</v>
      </c>
      <c r="G19" s="11" t="e">
        <f t="shared" ca="1" si="18"/>
        <v>#NAME?</v>
      </c>
      <c r="H19" s="10" t="s">
        <v>26</v>
      </c>
      <c r="I19" s="7" t="e">
        <f t="shared" ca="1" si="19"/>
        <v>#NAME?</v>
      </c>
      <c r="J19" s="12" t="e">
        <f t="shared" ca="1" si="20"/>
        <v>#NAME?</v>
      </c>
      <c r="K19" s="6" t="e">
        <f t="shared" ca="1" si="21"/>
        <v>#NAME?</v>
      </c>
      <c r="L19" s="6" t="s">
        <v>87</v>
      </c>
      <c r="M19" s="6"/>
      <c r="N19" s="13">
        <v>0</v>
      </c>
      <c r="O19" s="14"/>
      <c r="P19" s="14"/>
      <c r="Q19" s="16"/>
      <c r="R19" s="17"/>
      <c r="S19" s="18" t="e">
        <f t="shared" ca="1" si="22"/>
        <v>#NAME?</v>
      </c>
      <c r="T19" s="19"/>
      <c r="U19" s="18" t="e">
        <f t="shared" ca="1" si="23"/>
        <v>#NAME?</v>
      </c>
      <c r="V19" s="17"/>
      <c r="W19" s="18" t="e">
        <f t="shared" ca="1" si="24"/>
        <v>#NAME?</v>
      </c>
      <c r="X19" s="20" t="e">
        <f t="shared" ca="1" si="25"/>
        <v>#NAME?</v>
      </c>
      <c r="Y19" s="21" t="e">
        <f t="shared" ca="1" si="26"/>
        <v>#NAME?</v>
      </c>
      <c r="Z19" s="7"/>
      <c r="AA19" s="7"/>
      <c r="AB19" s="6" t="s">
        <v>88</v>
      </c>
    </row>
    <row r="20" spans="1:28" ht="342" outlineLevel="1" x14ac:dyDescent="0.35">
      <c r="A20" s="33" t="s">
        <v>89</v>
      </c>
      <c r="B20" s="23" t="s">
        <v>90</v>
      </c>
      <c r="C20" s="7" t="s">
        <v>19</v>
      </c>
      <c r="D20" s="8" t="b">
        <v>1</v>
      </c>
      <c r="E20" s="9" t="s">
        <v>81</v>
      </c>
      <c r="F20" s="10" t="s">
        <v>91</v>
      </c>
      <c r="G20" s="11" t="e">
        <f t="shared" ca="1" si="18"/>
        <v>#NAME?</v>
      </c>
      <c r="H20" s="10" t="s">
        <v>26</v>
      </c>
      <c r="I20" s="7" t="e">
        <f t="shared" ca="1" si="19"/>
        <v>#NAME?</v>
      </c>
      <c r="J20" s="12" t="e">
        <f t="shared" ca="1" si="20"/>
        <v>#NAME?</v>
      </c>
      <c r="K20" s="6" t="e">
        <f t="shared" ca="1" si="21"/>
        <v>#NAME?</v>
      </c>
      <c r="L20" s="6" t="s">
        <v>92</v>
      </c>
      <c r="M20" s="6"/>
      <c r="N20" s="13">
        <v>0</v>
      </c>
      <c r="O20" s="14"/>
      <c r="P20" s="14"/>
      <c r="Q20" s="16"/>
      <c r="R20" s="17"/>
      <c r="S20" s="18" t="e">
        <f t="shared" ca="1" si="22"/>
        <v>#NAME?</v>
      </c>
      <c r="T20" s="19"/>
      <c r="U20" s="18" t="e">
        <f t="shared" ca="1" si="23"/>
        <v>#NAME?</v>
      </c>
      <c r="V20" s="17"/>
      <c r="W20" s="18" t="e">
        <f t="shared" ca="1" si="24"/>
        <v>#NAME?</v>
      </c>
      <c r="X20" s="20" t="e">
        <f t="shared" ca="1" si="25"/>
        <v>#NAME?</v>
      </c>
      <c r="Y20" s="21" t="e">
        <f t="shared" ca="1" si="26"/>
        <v>#NAME?</v>
      </c>
      <c r="Z20" s="7"/>
      <c r="AA20" s="7"/>
      <c r="AB20" s="6" t="s">
        <v>93</v>
      </c>
    </row>
    <row r="21" spans="1:28" ht="270" outlineLevel="1" x14ac:dyDescent="0.35">
      <c r="A21" s="33" t="s">
        <v>94</v>
      </c>
      <c r="B21" s="23" t="s">
        <v>95</v>
      </c>
      <c r="C21" s="7" t="s">
        <v>19</v>
      </c>
      <c r="D21" s="8" t="b">
        <v>1</v>
      </c>
      <c r="E21" s="9" t="s">
        <v>81</v>
      </c>
      <c r="F21" s="10" t="s">
        <v>5</v>
      </c>
      <c r="G21" s="11" t="e">
        <f t="shared" ca="1" si="18"/>
        <v>#NAME?</v>
      </c>
      <c r="H21" s="10" t="s">
        <v>14</v>
      </c>
      <c r="I21" s="7" t="e">
        <f t="shared" ca="1" si="19"/>
        <v>#NAME?</v>
      </c>
      <c r="J21" s="12" t="e">
        <f t="shared" ca="1" si="20"/>
        <v>#NAME?</v>
      </c>
      <c r="K21" s="6" t="e">
        <f t="shared" ca="1" si="21"/>
        <v>#NAME?</v>
      </c>
      <c r="L21" s="6" t="s">
        <v>96</v>
      </c>
      <c r="M21" s="6"/>
      <c r="N21" s="13">
        <v>0</v>
      </c>
      <c r="O21" s="14"/>
      <c r="P21" s="14"/>
      <c r="Q21" s="16"/>
      <c r="R21" s="17"/>
      <c r="S21" s="18" t="e">
        <f t="shared" ca="1" si="22"/>
        <v>#NAME?</v>
      </c>
      <c r="T21" s="19"/>
      <c r="U21" s="18" t="e">
        <f t="shared" ca="1" si="23"/>
        <v>#NAME?</v>
      </c>
      <c r="V21" s="17"/>
      <c r="W21" s="18" t="e">
        <f t="shared" ca="1" si="24"/>
        <v>#NAME?</v>
      </c>
      <c r="X21" s="20" t="e">
        <f t="shared" ca="1" si="25"/>
        <v>#NAME?</v>
      </c>
      <c r="Y21" s="21" t="e">
        <f t="shared" ca="1" si="26"/>
        <v>#NAME?</v>
      </c>
      <c r="Z21" s="7"/>
      <c r="AA21" s="7"/>
      <c r="AB21" s="6" t="s">
        <v>97</v>
      </c>
    </row>
    <row r="22" spans="1:28" ht="252" outlineLevel="1" x14ac:dyDescent="0.35">
      <c r="A22" s="33" t="s">
        <v>98</v>
      </c>
      <c r="B22" s="23" t="s">
        <v>99</v>
      </c>
      <c r="C22" s="7" t="s">
        <v>19</v>
      </c>
      <c r="D22" s="8" t="b">
        <v>1</v>
      </c>
      <c r="E22" s="9" t="s">
        <v>81</v>
      </c>
      <c r="F22" s="10" t="s">
        <v>6</v>
      </c>
      <c r="G22" s="11" t="e">
        <f t="shared" ca="1" si="18"/>
        <v>#NAME?</v>
      </c>
      <c r="H22" s="10" t="s">
        <v>14</v>
      </c>
      <c r="I22" s="7" t="e">
        <f t="shared" ca="1" si="19"/>
        <v>#NAME?</v>
      </c>
      <c r="J22" s="12" t="e">
        <f t="shared" ca="1" si="20"/>
        <v>#NAME?</v>
      </c>
      <c r="K22" s="6" t="e">
        <f t="shared" ca="1" si="21"/>
        <v>#NAME?</v>
      </c>
      <c r="L22" s="6" t="s">
        <v>100</v>
      </c>
      <c r="M22" s="6"/>
      <c r="N22" s="13">
        <v>0</v>
      </c>
      <c r="O22" s="14"/>
      <c r="P22" s="14"/>
      <c r="Q22" s="16"/>
      <c r="R22" s="17"/>
      <c r="S22" s="18" t="e">
        <f t="shared" ca="1" si="22"/>
        <v>#NAME?</v>
      </c>
      <c r="T22" s="19"/>
      <c r="U22" s="18" t="e">
        <f t="shared" ca="1" si="23"/>
        <v>#NAME?</v>
      </c>
      <c r="V22" s="17"/>
      <c r="W22" s="18" t="e">
        <f t="shared" ca="1" si="24"/>
        <v>#NAME?</v>
      </c>
      <c r="X22" s="20" t="e">
        <f t="shared" ca="1" si="25"/>
        <v>#NAME?</v>
      </c>
      <c r="Y22" s="21" t="e">
        <f t="shared" ca="1" si="26"/>
        <v>#NAME?</v>
      </c>
      <c r="Z22" s="7"/>
      <c r="AA22" s="7"/>
      <c r="AB22" s="6" t="s">
        <v>101</v>
      </c>
    </row>
    <row r="23" spans="1:28" ht="108" outlineLevel="1" x14ac:dyDescent="0.35">
      <c r="A23" s="33" t="s">
        <v>102</v>
      </c>
      <c r="B23" s="23" t="s">
        <v>103</v>
      </c>
      <c r="C23" s="7" t="s">
        <v>3</v>
      </c>
      <c r="D23" s="8" t="b">
        <v>0</v>
      </c>
      <c r="E23" s="9" t="s">
        <v>81</v>
      </c>
      <c r="F23" s="10" t="s">
        <v>6</v>
      </c>
      <c r="G23" s="11" t="e">
        <f t="shared" ca="1" si="18"/>
        <v>#NAME?</v>
      </c>
      <c r="H23" s="10" t="s">
        <v>26</v>
      </c>
      <c r="I23" s="7" t="e">
        <f t="shared" ca="1" si="19"/>
        <v>#NAME?</v>
      </c>
      <c r="J23" s="12" t="e">
        <f t="shared" ca="1" si="20"/>
        <v>#NAME?</v>
      </c>
      <c r="K23" s="6" t="e">
        <f t="shared" ca="1" si="21"/>
        <v>#NAME?</v>
      </c>
      <c r="L23" s="6" t="s">
        <v>67</v>
      </c>
      <c r="M23" s="6"/>
      <c r="N23" s="13">
        <v>0</v>
      </c>
      <c r="O23" s="14"/>
      <c r="P23" s="14"/>
      <c r="Q23" s="16"/>
      <c r="R23" s="17"/>
      <c r="S23" s="18" t="e">
        <f t="shared" ca="1" si="22"/>
        <v>#NAME?</v>
      </c>
      <c r="T23" s="19"/>
      <c r="U23" s="18" t="e">
        <f t="shared" ca="1" si="23"/>
        <v>#NAME?</v>
      </c>
      <c r="V23" s="17"/>
      <c r="W23" s="18" t="e">
        <f t="shared" ca="1" si="24"/>
        <v>#NAME?</v>
      </c>
      <c r="X23" s="20" t="e">
        <f t="shared" ca="1" si="25"/>
        <v>#NAME?</v>
      </c>
      <c r="Y23" s="21" t="e">
        <f t="shared" ca="1" si="26"/>
        <v>#NAME?</v>
      </c>
      <c r="Z23" s="7"/>
      <c r="AA23" s="7"/>
      <c r="AB23" s="6" t="s">
        <v>104</v>
      </c>
    </row>
    <row r="24" spans="1:28" ht="90" outlineLevel="1" x14ac:dyDescent="0.2">
      <c r="A24" s="33" t="s">
        <v>105</v>
      </c>
      <c r="B24" s="23" t="s">
        <v>106</v>
      </c>
      <c r="C24" s="7" t="s">
        <v>3</v>
      </c>
      <c r="D24" s="8" t="b">
        <v>0</v>
      </c>
      <c r="E24" s="29"/>
      <c r="F24" s="10" t="s">
        <v>6</v>
      </c>
      <c r="G24" s="11" t="e">
        <f t="shared" ca="1" si="18"/>
        <v>#NAME?</v>
      </c>
      <c r="H24" s="10" t="s">
        <v>14</v>
      </c>
      <c r="I24" s="7" t="e">
        <f t="shared" ca="1" si="19"/>
        <v>#NAME?</v>
      </c>
      <c r="J24" s="12" t="e">
        <f t="shared" ca="1" si="20"/>
        <v>#NAME?</v>
      </c>
      <c r="K24" s="6" t="e">
        <f t="shared" ca="1" si="21"/>
        <v>#NAME?</v>
      </c>
      <c r="L24" s="6" t="s">
        <v>107</v>
      </c>
      <c r="M24" s="6"/>
      <c r="N24" s="13">
        <v>0</v>
      </c>
      <c r="O24" s="14"/>
      <c r="P24" s="14"/>
      <c r="Q24" s="16"/>
      <c r="R24" s="17"/>
      <c r="S24" s="18" t="e">
        <f t="shared" ca="1" si="22"/>
        <v>#NAME?</v>
      </c>
      <c r="T24" s="19"/>
      <c r="U24" s="18" t="e">
        <f t="shared" ca="1" si="23"/>
        <v>#NAME?</v>
      </c>
      <c r="V24" s="17"/>
      <c r="W24" s="18" t="e">
        <f t="shared" ca="1" si="24"/>
        <v>#NAME?</v>
      </c>
      <c r="X24" s="20" t="e">
        <f t="shared" ca="1" si="25"/>
        <v>#NAME?</v>
      </c>
      <c r="Y24" s="21" t="e">
        <f t="shared" ca="1" si="26"/>
        <v>#NAME?</v>
      </c>
      <c r="Z24" s="7"/>
      <c r="AA24" s="7"/>
      <c r="AB24" s="6" t="s">
        <v>108</v>
      </c>
    </row>
    <row r="25" spans="1:28" ht="198" outlineLevel="1" x14ac:dyDescent="0.35">
      <c r="A25" s="33" t="s">
        <v>109</v>
      </c>
      <c r="B25" s="23" t="s">
        <v>110</v>
      </c>
      <c r="C25" s="7" t="s">
        <v>3</v>
      </c>
      <c r="D25" s="8" t="b">
        <v>0</v>
      </c>
      <c r="E25" s="9" t="s">
        <v>111</v>
      </c>
      <c r="F25" s="30" t="s">
        <v>13</v>
      </c>
      <c r="G25" s="11" t="e">
        <f t="shared" ca="1" si="18"/>
        <v>#NAME?</v>
      </c>
      <c r="H25" s="30" t="s">
        <v>26</v>
      </c>
      <c r="I25" s="7" t="e">
        <f t="shared" ca="1" si="19"/>
        <v>#NAME?</v>
      </c>
      <c r="J25" s="12" t="e">
        <f t="shared" ca="1" si="20"/>
        <v>#NAME?</v>
      </c>
      <c r="K25" s="6" t="e">
        <f t="shared" ca="1" si="21"/>
        <v>#NAME?</v>
      </c>
      <c r="L25" s="6" t="s">
        <v>112</v>
      </c>
      <c r="M25" s="6"/>
      <c r="N25" s="13">
        <v>0</v>
      </c>
      <c r="O25" s="14"/>
      <c r="P25" s="14"/>
      <c r="Q25" s="16"/>
      <c r="R25" s="17"/>
      <c r="S25" s="18" t="e">
        <f t="shared" ca="1" si="22"/>
        <v>#NAME?</v>
      </c>
      <c r="T25" s="19"/>
      <c r="U25" s="18" t="e">
        <f t="shared" ca="1" si="23"/>
        <v>#NAME?</v>
      </c>
      <c r="V25" s="17"/>
      <c r="W25" s="18" t="e">
        <f t="shared" ca="1" si="24"/>
        <v>#NAME?</v>
      </c>
      <c r="X25" s="20" t="e">
        <f t="shared" ca="1" si="25"/>
        <v>#NAME?</v>
      </c>
      <c r="Y25" s="21" t="e">
        <f t="shared" ca="1" si="26"/>
        <v>#NAME?</v>
      </c>
      <c r="Z25" s="7"/>
      <c r="AA25" s="7"/>
      <c r="AB25" s="6" t="s">
        <v>113</v>
      </c>
    </row>
    <row r="26" spans="1:28" ht="162" outlineLevel="1" x14ac:dyDescent="0.35">
      <c r="A26" s="33" t="s">
        <v>114</v>
      </c>
      <c r="B26" s="23" t="s">
        <v>115</v>
      </c>
      <c r="C26" s="7" t="s">
        <v>116</v>
      </c>
      <c r="D26" s="8" t="b">
        <v>0</v>
      </c>
      <c r="E26" s="9" t="s">
        <v>117</v>
      </c>
      <c r="F26" s="30" t="s">
        <v>13</v>
      </c>
      <c r="G26" s="11" t="e">
        <f t="shared" ca="1" si="18"/>
        <v>#NAME?</v>
      </c>
      <c r="H26" s="30" t="s">
        <v>26</v>
      </c>
      <c r="I26" s="7" t="e">
        <f t="shared" ca="1" si="19"/>
        <v>#NAME?</v>
      </c>
      <c r="J26" s="12" t="e">
        <f t="shared" ca="1" si="20"/>
        <v>#NAME?</v>
      </c>
      <c r="K26" s="6" t="e">
        <f t="shared" ca="1" si="21"/>
        <v>#NAME?</v>
      </c>
      <c r="L26" s="6" t="s">
        <v>118</v>
      </c>
      <c r="M26" s="6"/>
      <c r="N26" s="13">
        <v>0</v>
      </c>
      <c r="O26" s="14"/>
      <c r="P26" s="14"/>
      <c r="Q26" s="16"/>
      <c r="R26" s="17"/>
      <c r="S26" s="18" t="e">
        <f t="shared" ca="1" si="22"/>
        <v>#NAME?</v>
      </c>
      <c r="T26" s="19"/>
      <c r="U26" s="18" t="e">
        <f t="shared" ca="1" si="23"/>
        <v>#NAME?</v>
      </c>
      <c r="V26" s="17"/>
      <c r="W26" s="18" t="e">
        <f t="shared" ca="1" si="24"/>
        <v>#NAME?</v>
      </c>
      <c r="X26" s="20" t="e">
        <f t="shared" ca="1" si="25"/>
        <v>#NAME?</v>
      </c>
      <c r="Y26" s="21" t="e">
        <f t="shared" ca="1" si="26"/>
        <v>#NAME?</v>
      </c>
      <c r="Z26" s="7"/>
      <c r="AA26" s="7"/>
      <c r="AB26" s="6" t="s">
        <v>119</v>
      </c>
    </row>
    <row r="27" spans="1:28" ht="54" customHeight="1" x14ac:dyDescent="0.2">
      <c r="A27" s="34" t="s">
        <v>120</v>
      </c>
      <c r="B27" s="3" t="str">
        <f>CONCATENATE("Detección: ",COUNTIF(B28:B31,"&lt;&gt;0"))</f>
        <v>Detección: 4</v>
      </c>
      <c r="C27" s="2">
        <f>(COUNTIF(C28:C31,"Sí")*1 + COUNTIF(C28:C31, "Parcialmente")*0.5) / ((COUNTA(C28:C31) - (COUNTIF(C28:C31, "N/A") + COUNTIF(C28:C31, "N/E"))))</f>
        <v>0.125</v>
      </c>
      <c r="D27" s="3">
        <f>COUNTIF(D28:D31,"true")</f>
        <v>0</v>
      </c>
      <c r="E27" s="4"/>
      <c r="F27" s="3"/>
      <c r="G27" s="3"/>
      <c r="H27" s="3"/>
      <c r="I27" s="3"/>
      <c r="J27" s="3"/>
      <c r="K27" s="3"/>
      <c r="L27" s="3" t="str">
        <f ca="1">IFERROR(__xludf.DUMMYFUNCTION("CONCATENATE(""Cantidad de notas: "", COUNTIF(FLATTEN(SPLIT(TEXTJOIN(CHAR(10), TRUE, M32:M35), CHAR(10))), ""*-?*""))"),"Cantidad de notas: 12")</f>
        <v>Cantidad de notas: 12</v>
      </c>
      <c r="M27" s="3"/>
      <c r="N27" s="3">
        <f>SUM(N28:N31)</f>
        <v>0</v>
      </c>
      <c r="O27" s="5">
        <f>MIN(O28:O31)</f>
        <v>0</v>
      </c>
      <c r="P27" s="5">
        <f>MAX(P28:P31)</f>
        <v>0</v>
      </c>
      <c r="Q27" s="5"/>
      <c r="R27" s="5"/>
      <c r="S27" s="5"/>
      <c r="T27" s="5"/>
      <c r="U27" s="5"/>
      <c r="V27" s="5"/>
      <c r="W27" s="5"/>
      <c r="X27" s="5"/>
      <c r="Y27" s="5"/>
      <c r="Z27" s="3" t="str">
        <f>CONCATENATE("GFourmis: ", COUNTIF(Z28:Z31, "GFourmis"), CHAR(10), "Cliente: ", COUNTIF(Z28:Z31, "Cliente"), CHAR(10), "Tercero: ", COUNTIF(Z28:Z31, "Tercero"))</f>
        <v>GFourmis: 0
Cliente: 0
Tercero: 0</v>
      </c>
      <c r="AA27" s="2" t="e">
        <f>(COUNTIF(AA28:AA31,"Sí")*1 + COUNTIF(AA28:AA31, "Parcialmente")*0.5) / ((COUNTA(AA28:AA31) - (COUNTIF(AA28:AA31, "N/A") + COUNTIF(AA28:AA31, "N/E"))))</f>
        <v>#DIV/0!</v>
      </c>
      <c r="AB27" s="3" t="str">
        <f ca="1">IFERROR(__xludf.DUMMYFUNCTION("CONCATENATE(""Cantidad de notas: "", COUNTIF(FLATTEN(SPLIT(TEXTJOIN(CHAR(10), TRUE, AC32:AC35), CHAR(10))), ""*-?*""))"),"Cantidad de notas: 0")</f>
        <v>Cantidad de notas: 0</v>
      </c>
    </row>
    <row r="28" spans="1:28" ht="288" outlineLevel="1" x14ac:dyDescent="0.35">
      <c r="A28" s="33" t="s">
        <v>121</v>
      </c>
      <c r="B28" s="31" t="s">
        <v>122</v>
      </c>
      <c r="C28" s="7" t="s">
        <v>11</v>
      </c>
      <c r="D28" s="8" t="b">
        <v>1</v>
      </c>
      <c r="E28" s="9" t="s">
        <v>123</v>
      </c>
      <c r="F28" s="10" t="s">
        <v>5</v>
      </c>
      <c r="G28" s="11" t="e">
        <f t="shared" ref="G28:G31" ca="1" si="27">_xludf.IFS(F28 = "Frecuente", 5, F28 = "Probable", 4, F28 = "Moderado", 3, F28 = "Bajo", 2, F28 = "Rara vez", 1)</f>
        <v>#NAME?</v>
      </c>
      <c r="H28" s="10" t="s">
        <v>14</v>
      </c>
      <c r="I28" s="7" t="e">
        <f t="shared" ref="I28:I31" ca="1" si="28">_xludf.IFS(H28 = "Crítico", 625, H28 = "Mayor", 125, H28 = "Moderado", 25, H28 = "Menor", 5, H28 = "Inferior", 1)</f>
        <v>#NAME?</v>
      </c>
      <c r="J28" s="12" t="e">
        <f t="shared" ref="J28:J31" ca="1" si="29">_xludf.IFS(K28 &lt;= 10, "Bajo", AND(K28 &gt; 10, K28 &lt;= 75), "Moderado", AND(K28 &gt; 75, K28 &lt;= 500), "Alto", AND(K28 &gt; 500, K28 &lt;= 3125), "Extremo")</f>
        <v>#NAME?</v>
      </c>
      <c r="K28" s="6" t="e">
        <f t="shared" ref="K28:K31" ca="1" si="30">G28*I28</f>
        <v>#NAME?</v>
      </c>
      <c r="L28" s="6" t="s">
        <v>124</v>
      </c>
      <c r="M28" s="6"/>
      <c r="N28" s="13">
        <v>0</v>
      </c>
      <c r="O28" s="14"/>
      <c r="P28" s="14"/>
      <c r="Q28" s="16"/>
      <c r="R28" s="17"/>
      <c r="S28" s="18" t="e">
        <f t="shared" ref="S28:S31" ca="1" si="31">_xludf.IFS(R28 = "Alta", 3, R28 = "Media", 2, R28 = "Baja", 1)</f>
        <v>#NAME?</v>
      </c>
      <c r="T28" s="19"/>
      <c r="U28" s="18" t="e">
        <f t="shared" ref="U28:U31" ca="1" si="32">_xludf.IFS(T28 = "Alta", 3, T28 = "Media", 2, T28 = "Baja", 1)</f>
        <v>#NAME?</v>
      </c>
      <c r="V28" s="17"/>
      <c r="W28" s="18" t="e">
        <f t="shared" ref="W28:W31" ca="1" si="33">_xludf.IFS(V28 = "Alta", 3, V28 = "Media", 2, V28 = "Baja", 1)</f>
        <v>#NAME?</v>
      </c>
      <c r="X28" s="20" t="e">
        <f t="shared" ref="X28:X31" ca="1" si="34">_xludf.IFS(Y28 &lt; 2, "Baja", AND(Y28 &gt;= 2, Y28 &lt;= 2.49), "Media", AND(Y28 &gt;= 2.5), "Alta")</f>
        <v>#NAME?</v>
      </c>
      <c r="Y28" s="21" t="e">
        <f t="shared" ref="Y28:Y31" ca="1" si="35">(N28 *0.25)+(S28*0.3)+(U28*0.3)+(W28*0.15)</f>
        <v>#NAME?</v>
      </c>
      <c r="Z28" s="7"/>
      <c r="AA28" s="7"/>
      <c r="AB28" s="6" t="s">
        <v>125</v>
      </c>
    </row>
    <row r="29" spans="1:28" ht="180" outlineLevel="1" x14ac:dyDescent="0.35">
      <c r="A29" s="33" t="s">
        <v>126</v>
      </c>
      <c r="B29" s="6" t="s">
        <v>127</v>
      </c>
      <c r="C29" s="7" t="s">
        <v>19</v>
      </c>
      <c r="D29" s="8" t="b">
        <v>1</v>
      </c>
      <c r="E29" s="9" t="s">
        <v>123</v>
      </c>
      <c r="F29" s="10" t="s">
        <v>5</v>
      </c>
      <c r="G29" s="11" t="e">
        <f t="shared" ca="1" si="27"/>
        <v>#NAME?</v>
      </c>
      <c r="H29" s="10" t="s">
        <v>14</v>
      </c>
      <c r="I29" s="7" t="e">
        <f t="shared" ca="1" si="28"/>
        <v>#NAME?</v>
      </c>
      <c r="J29" s="12" t="e">
        <f t="shared" ca="1" si="29"/>
        <v>#NAME?</v>
      </c>
      <c r="K29" s="6" t="e">
        <f t="shared" ca="1" si="30"/>
        <v>#NAME?</v>
      </c>
      <c r="L29" s="6" t="s">
        <v>128</v>
      </c>
      <c r="M29" s="6"/>
      <c r="N29" s="13">
        <v>0</v>
      </c>
      <c r="O29" s="14"/>
      <c r="P29" s="14"/>
      <c r="Q29" s="16"/>
      <c r="R29" s="17"/>
      <c r="S29" s="18" t="e">
        <f t="shared" ca="1" si="31"/>
        <v>#NAME?</v>
      </c>
      <c r="T29" s="19"/>
      <c r="U29" s="18" t="e">
        <f t="shared" ca="1" si="32"/>
        <v>#NAME?</v>
      </c>
      <c r="V29" s="17"/>
      <c r="W29" s="18" t="e">
        <f t="shared" ca="1" si="33"/>
        <v>#NAME?</v>
      </c>
      <c r="X29" s="20" t="e">
        <f t="shared" ca="1" si="34"/>
        <v>#NAME?</v>
      </c>
      <c r="Y29" s="21" t="e">
        <f t="shared" ca="1" si="35"/>
        <v>#NAME?</v>
      </c>
      <c r="Z29" s="7"/>
      <c r="AA29" s="7"/>
      <c r="AB29" s="6" t="s">
        <v>129</v>
      </c>
    </row>
    <row r="30" spans="1:28" ht="162" outlineLevel="1" x14ac:dyDescent="0.35">
      <c r="A30" s="33" t="s">
        <v>130</v>
      </c>
      <c r="B30" s="6" t="s">
        <v>131</v>
      </c>
      <c r="C30" s="7" t="s">
        <v>19</v>
      </c>
      <c r="D30" s="8" t="b">
        <v>1</v>
      </c>
      <c r="E30" s="9" t="s">
        <v>123</v>
      </c>
      <c r="F30" s="10" t="s">
        <v>5</v>
      </c>
      <c r="G30" s="11" t="e">
        <f t="shared" ca="1" si="27"/>
        <v>#NAME?</v>
      </c>
      <c r="H30" s="10" t="s">
        <v>14</v>
      </c>
      <c r="I30" s="7" t="e">
        <f t="shared" ca="1" si="28"/>
        <v>#NAME?</v>
      </c>
      <c r="J30" s="12" t="e">
        <f t="shared" ca="1" si="29"/>
        <v>#NAME?</v>
      </c>
      <c r="K30" s="6" t="e">
        <f t="shared" ca="1" si="30"/>
        <v>#NAME?</v>
      </c>
      <c r="L30" s="6" t="s">
        <v>132</v>
      </c>
      <c r="M30" s="6"/>
      <c r="N30" s="13">
        <v>0</v>
      </c>
      <c r="O30" s="14"/>
      <c r="P30" s="14"/>
      <c r="Q30" s="16"/>
      <c r="R30" s="17"/>
      <c r="S30" s="18" t="e">
        <f t="shared" ca="1" si="31"/>
        <v>#NAME?</v>
      </c>
      <c r="T30" s="19"/>
      <c r="U30" s="18" t="e">
        <f t="shared" ca="1" si="32"/>
        <v>#NAME?</v>
      </c>
      <c r="V30" s="17"/>
      <c r="W30" s="18" t="e">
        <f t="shared" ca="1" si="33"/>
        <v>#NAME?</v>
      </c>
      <c r="X30" s="20" t="e">
        <f t="shared" ca="1" si="34"/>
        <v>#NAME?</v>
      </c>
      <c r="Y30" s="21" t="e">
        <f t="shared" ca="1" si="35"/>
        <v>#NAME?</v>
      </c>
      <c r="Z30" s="7"/>
      <c r="AA30" s="7"/>
      <c r="AB30" s="6" t="s">
        <v>133</v>
      </c>
    </row>
    <row r="31" spans="1:28" ht="252" outlineLevel="1" x14ac:dyDescent="0.35">
      <c r="A31" s="33" t="s">
        <v>134</v>
      </c>
      <c r="B31" s="6" t="s">
        <v>135</v>
      </c>
      <c r="C31" s="7" t="s">
        <v>19</v>
      </c>
      <c r="D31" s="8" t="b">
        <v>1</v>
      </c>
      <c r="E31" s="9" t="s">
        <v>123</v>
      </c>
      <c r="F31" s="10" t="s">
        <v>5</v>
      </c>
      <c r="G31" s="11" t="e">
        <f t="shared" ca="1" si="27"/>
        <v>#NAME?</v>
      </c>
      <c r="H31" s="10" t="s">
        <v>14</v>
      </c>
      <c r="I31" s="7" t="e">
        <f t="shared" ca="1" si="28"/>
        <v>#NAME?</v>
      </c>
      <c r="J31" s="12" t="e">
        <f t="shared" ca="1" si="29"/>
        <v>#NAME?</v>
      </c>
      <c r="K31" s="6" t="e">
        <f t="shared" ca="1" si="30"/>
        <v>#NAME?</v>
      </c>
      <c r="L31" s="6" t="s">
        <v>136</v>
      </c>
      <c r="M31" s="6"/>
      <c r="N31" s="13">
        <v>0</v>
      </c>
      <c r="O31" s="14"/>
      <c r="P31" s="14"/>
      <c r="Q31" s="16"/>
      <c r="R31" s="17"/>
      <c r="S31" s="18" t="e">
        <f t="shared" ca="1" si="31"/>
        <v>#NAME?</v>
      </c>
      <c r="T31" s="19"/>
      <c r="U31" s="18" t="e">
        <f t="shared" ca="1" si="32"/>
        <v>#NAME?</v>
      </c>
      <c r="V31" s="17"/>
      <c r="W31" s="18" t="e">
        <f t="shared" ca="1" si="33"/>
        <v>#NAME?</v>
      </c>
      <c r="X31" s="20" t="e">
        <f t="shared" ca="1" si="34"/>
        <v>#NAME?</v>
      </c>
      <c r="Y31" s="21" t="e">
        <f t="shared" ca="1" si="35"/>
        <v>#NAME?</v>
      </c>
      <c r="Z31" s="7"/>
      <c r="AA31" s="7"/>
      <c r="AB31" s="6" t="s">
        <v>137</v>
      </c>
    </row>
    <row r="32" spans="1:28" ht="54" customHeight="1" x14ac:dyDescent="0.2">
      <c r="A32" s="34" t="s">
        <v>138</v>
      </c>
      <c r="B32" s="3" t="str">
        <f>CONCATENATE("Protección de infraestructura: ",COUNTIF(B33:B36,"&lt;&gt;0"))</f>
        <v>Protección de infraestructura: 4</v>
      </c>
      <c r="C32" s="2">
        <f>(COUNTIF(C33:C36,"Sí")*1 + COUNTIF(C33:C36, "Parcialmente")*0.5) / ((COUNTA(C33:C36) - (COUNTIF(C33:C36, "N/A") + COUNTIF(C33:C36, "N/E"))))</f>
        <v>0.25</v>
      </c>
      <c r="D32" s="3">
        <f>COUNTIF(D33:D36,"true")</f>
        <v>0</v>
      </c>
      <c r="E32" s="4"/>
      <c r="F32" s="3"/>
      <c r="G32" s="3"/>
      <c r="H32" s="3"/>
      <c r="I32" s="3"/>
      <c r="J32" s="3"/>
      <c r="K32" s="3"/>
      <c r="L32" s="3" t="str">
        <f ca="1">IFERROR(__xludf.DUMMYFUNCTION("CONCATENATE(""Cantidad de notas: "", COUNTIF(FLATTEN(SPLIT(TEXTJOIN(CHAR(10), TRUE, M37:M40), CHAR(10))), ""*-?*""))"),"Cantidad de notas: 21")</f>
        <v>Cantidad de notas: 21</v>
      </c>
      <c r="M32" s="3"/>
      <c r="N32" s="3">
        <f>SUM(N33:N36)</f>
        <v>0</v>
      </c>
      <c r="O32" s="5">
        <f>MIN(O33:O36)</f>
        <v>0</v>
      </c>
      <c r="P32" s="5">
        <f>MAX(P33:P36)</f>
        <v>0</v>
      </c>
      <c r="Q32" s="5"/>
      <c r="R32" s="5"/>
      <c r="S32" s="5"/>
      <c r="T32" s="5"/>
      <c r="U32" s="5"/>
      <c r="V32" s="5"/>
      <c r="W32" s="5"/>
      <c r="X32" s="5"/>
      <c r="Y32" s="5"/>
      <c r="Z32" s="3" t="str">
        <f>CONCATENATE("GFourmis: ", COUNTIF(Z33:Z36, "GFourmis"), CHAR(10), "Cliente: ", COUNTIF(Z33:Z36, "Cliente"), CHAR(10), "Tercero: ", COUNTIF(Z33:Z36, "Tercero"))</f>
        <v>GFourmis: 0
Cliente: 0
Tercero: 0</v>
      </c>
      <c r="AA32" s="2" t="e">
        <f>(COUNTIF(AA33:AA36,"Sí")*1 + COUNTIF(AA33:AA36, "Parcialmente")*0.5) / ((COUNTA(AA33:AA36) - (COUNTIF(AA33:AA36, "N/A") + COUNTIF(AA33:AA36, "N/E"))))</f>
        <v>#DIV/0!</v>
      </c>
      <c r="AB32" s="3" t="str">
        <f ca="1">IFERROR(__xludf.DUMMYFUNCTION("CONCATENATE(""Cantidad de notas: "", COUNTIF(FLATTEN(SPLIT(TEXTJOIN(CHAR(10), TRUE, AC37:AC40), CHAR(10))), ""*-?*""))"),"Cantidad de notas: 0")</f>
        <v>Cantidad de notas: 0</v>
      </c>
    </row>
    <row r="33" spans="1:28" ht="252" outlineLevel="1" x14ac:dyDescent="0.35">
      <c r="A33" s="33" t="s">
        <v>139</v>
      </c>
      <c r="B33" s="6" t="s">
        <v>140</v>
      </c>
      <c r="C33" s="7" t="s">
        <v>11</v>
      </c>
      <c r="D33" s="8" t="b">
        <v>1</v>
      </c>
      <c r="E33" s="9" t="s">
        <v>141</v>
      </c>
      <c r="F33" s="10" t="s">
        <v>5</v>
      </c>
      <c r="G33" s="11" t="e">
        <f t="shared" ref="G33:G36" ca="1" si="36">_xludf.IFS(F33 = "Frecuente", 5, F33 = "Probable", 4, F33 = "Moderado", 3, F33 = "Bajo", 2, F33 = "Rara vez", 1)</f>
        <v>#NAME?</v>
      </c>
      <c r="H33" s="10" t="s">
        <v>26</v>
      </c>
      <c r="I33" s="7" t="e">
        <f t="shared" ref="I33:I36" ca="1" si="37">_xludf.IFS(H33 = "Crítico", 625, H33 = "Mayor", 125, H33 = "Moderado", 25, H33 = "Menor", 5, H33 = "Inferior", 1)</f>
        <v>#NAME?</v>
      </c>
      <c r="J33" s="12" t="e">
        <f t="shared" ref="J33:J36" ca="1" si="38">_xludf.IFS(K33 &lt;= 10, "Bajo", AND(K33 &gt; 10, K33 &lt;= 75), "Moderado", AND(K33 &gt; 75, K33 &lt;= 500), "Alto", AND(K33 &gt; 500, K33 &lt;= 3125), "Extremo")</f>
        <v>#NAME?</v>
      </c>
      <c r="K33" s="6" t="e">
        <f t="shared" ref="K33:K36" ca="1" si="39">G33*I33</f>
        <v>#NAME?</v>
      </c>
      <c r="L33" s="6" t="s">
        <v>142</v>
      </c>
      <c r="M33" s="6"/>
      <c r="N33" s="13">
        <v>0</v>
      </c>
      <c r="O33" s="14"/>
      <c r="P33" s="14"/>
      <c r="Q33" s="16"/>
      <c r="R33" s="17"/>
      <c r="S33" s="18" t="e">
        <f t="shared" ref="S33:S36" ca="1" si="40">_xludf.IFS(R33 = "Alta", 3, R33 = "Media", 2, R33 = "Baja", 1)</f>
        <v>#NAME?</v>
      </c>
      <c r="T33" s="19"/>
      <c r="U33" s="18" t="e">
        <f t="shared" ref="U33:U36" ca="1" si="41">_xludf.IFS(T33 = "Alta", 3, T33 = "Media", 2, T33 = "Baja", 1)</f>
        <v>#NAME?</v>
      </c>
      <c r="V33" s="17"/>
      <c r="W33" s="18" t="e">
        <f t="shared" ref="W33:W36" ca="1" si="42">_xludf.IFS(V33 = "Alta", 3, V33 = "Media", 2, V33 = "Baja", 1)</f>
        <v>#NAME?</v>
      </c>
      <c r="X33" s="20" t="e">
        <f t="shared" ref="X33:X36" ca="1" si="43">_xludf.IFS(Y33 &lt; 2, "Baja", AND(Y33 &gt;= 2, Y33 &lt;= 2.49), "Media", AND(Y33 &gt;= 2.5), "Alta")</f>
        <v>#NAME?</v>
      </c>
      <c r="Y33" s="21" t="e">
        <f t="shared" ref="Y33:Y36" ca="1" si="44">(N33 *0.25)+(S33*0.3)+(U33*0.3)+(W33*0.15)</f>
        <v>#NAME?</v>
      </c>
      <c r="Z33" s="7"/>
      <c r="AA33" s="7"/>
      <c r="AB33" s="6" t="s">
        <v>143</v>
      </c>
    </row>
    <row r="34" spans="1:28" ht="288" outlineLevel="1" x14ac:dyDescent="0.35">
      <c r="A34" s="33" t="s">
        <v>144</v>
      </c>
      <c r="B34" s="6" t="s">
        <v>145</v>
      </c>
      <c r="C34" s="7" t="s">
        <v>19</v>
      </c>
      <c r="D34" s="8" t="b">
        <v>1</v>
      </c>
      <c r="E34" s="9" t="s">
        <v>146</v>
      </c>
      <c r="F34" s="10" t="s">
        <v>5</v>
      </c>
      <c r="G34" s="11" t="e">
        <f t="shared" ca="1" si="36"/>
        <v>#NAME?</v>
      </c>
      <c r="H34" s="10" t="s">
        <v>26</v>
      </c>
      <c r="I34" s="7" t="e">
        <f t="shared" ca="1" si="37"/>
        <v>#NAME?</v>
      </c>
      <c r="J34" s="12" t="e">
        <f t="shared" ca="1" si="38"/>
        <v>#NAME?</v>
      </c>
      <c r="K34" s="6" t="e">
        <f t="shared" ca="1" si="39"/>
        <v>#NAME?</v>
      </c>
      <c r="L34" s="6" t="s">
        <v>147</v>
      </c>
      <c r="M34" s="6"/>
      <c r="N34" s="13">
        <v>0</v>
      </c>
      <c r="O34" s="14"/>
      <c r="P34" s="14"/>
      <c r="Q34" s="16"/>
      <c r="R34" s="17"/>
      <c r="S34" s="18" t="e">
        <f t="shared" ca="1" si="40"/>
        <v>#NAME?</v>
      </c>
      <c r="T34" s="19"/>
      <c r="U34" s="18" t="e">
        <f t="shared" ca="1" si="41"/>
        <v>#NAME?</v>
      </c>
      <c r="V34" s="17"/>
      <c r="W34" s="18" t="e">
        <f t="shared" ca="1" si="42"/>
        <v>#NAME?</v>
      </c>
      <c r="X34" s="20" t="e">
        <f t="shared" ca="1" si="43"/>
        <v>#NAME?</v>
      </c>
      <c r="Y34" s="21" t="e">
        <f t="shared" ca="1" si="44"/>
        <v>#NAME?</v>
      </c>
      <c r="Z34" s="7"/>
      <c r="AA34" s="7"/>
      <c r="AB34" s="6" t="s">
        <v>148</v>
      </c>
    </row>
    <row r="35" spans="1:28" ht="180" outlineLevel="1" x14ac:dyDescent="0.35">
      <c r="A35" s="33" t="s">
        <v>149</v>
      </c>
      <c r="B35" s="6" t="s">
        <v>150</v>
      </c>
      <c r="C35" s="7" t="s">
        <v>11</v>
      </c>
      <c r="D35" s="8" t="b">
        <v>1</v>
      </c>
      <c r="E35" s="9" t="s">
        <v>146</v>
      </c>
      <c r="F35" s="10" t="s">
        <v>5</v>
      </c>
      <c r="G35" s="11" t="e">
        <f t="shared" ca="1" si="36"/>
        <v>#NAME?</v>
      </c>
      <c r="H35" s="10" t="s">
        <v>26</v>
      </c>
      <c r="I35" s="7" t="e">
        <f t="shared" ca="1" si="37"/>
        <v>#NAME?</v>
      </c>
      <c r="J35" s="12" t="e">
        <f t="shared" ca="1" si="38"/>
        <v>#NAME?</v>
      </c>
      <c r="K35" s="6" t="e">
        <f t="shared" ca="1" si="39"/>
        <v>#NAME?</v>
      </c>
      <c r="L35" s="6" t="s">
        <v>151</v>
      </c>
      <c r="M35" s="6"/>
      <c r="N35" s="13">
        <v>0</v>
      </c>
      <c r="O35" s="14"/>
      <c r="P35" s="14"/>
      <c r="Q35" s="16"/>
      <c r="R35" s="17"/>
      <c r="S35" s="18" t="e">
        <f t="shared" ca="1" si="40"/>
        <v>#NAME?</v>
      </c>
      <c r="T35" s="19"/>
      <c r="U35" s="18" t="e">
        <f t="shared" ca="1" si="41"/>
        <v>#NAME?</v>
      </c>
      <c r="V35" s="17"/>
      <c r="W35" s="18" t="e">
        <f t="shared" ca="1" si="42"/>
        <v>#NAME?</v>
      </c>
      <c r="X35" s="20" t="e">
        <f t="shared" ca="1" si="43"/>
        <v>#NAME?</v>
      </c>
      <c r="Y35" s="21" t="e">
        <f t="shared" ca="1" si="44"/>
        <v>#NAME?</v>
      </c>
      <c r="Z35" s="7"/>
      <c r="AA35" s="7"/>
      <c r="AB35" s="6" t="s">
        <v>152</v>
      </c>
    </row>
    <row r="36" spans="1:28" ht="144" outlineLevel="1" x14ac:dyDescent="0.35">
      <c r="A36" s="33" t="s">
        <v>153</v>
      </c>
      <c r="B36" s="6" t="s">
        <v>154</v>
      </c>
      <c r="C36" s="7" t="s">
        <v>19</v>
      </c>
      <c r="D36" s="8" t="b">
        <v>1</v>
      </c>
      <c r="E36" s="9" t="s">
        <v>155</v>
      </c>
      <c r="F36" s="10" t="s">
        <v>6</v>
      </c>
      <c r="G36" s="11" t="e">
        <f t="shared" ca="1" si="36"/>
        <v>#NAME?</v>
      </c>
      <c r="H36" s="10" t="s">
        <v>6</v>
      </c>
      <c r="I36" s="7" t="e">
        <f t="shared" ca="1" si="37"/>
        <v>#NAME?</v>
      </c>
      <c r="J36" s="12" t="e">
        <f t="shared" ca="1" si="38"/>
        <v>#NAME?</v>
      </c>
      <c r="K36" s="6" t="e">
        <f t="shared" ca="1" si="39"/>
        <v>#NAME?</v>
      </c>
      <c r="L36" s="6" t="s">
        <v>156</v>
      </c>
      <c r="M36" s="6"/>
      <c r="N36" s="13">
        <v>0</v>
      </c>
      <c r="O36" s="14"/>
      <c r="P36" s="14"/>
      <c r="Q36" s="16"/>
      <c r="R36" s="17"/>
      <c r="S36" s="18" t="e">
        <f t="shared" ca="1" si="40"/>
        <v>#NAME?</v>
      </c>
      <c r="T36" s="19"/>
      <c r="U36" s="18" t="e">
        <f t="shared" ca="1" si="41"/>
        <v>#NAME?</v>
      </c>
      <c r="V36" s="17"/>
      <c r="W36" s="18" t="e">
        <f t="shared" ca="1" si="42"/>
        <v>#NAME?</v>
      </c>
      <c r="X36" s="20" t="e">
        <f t="shared" ca="1" si="43"/>
        <v>#NAME?</v>
      </c>
      <c r="Y36" s="21" t="e">
        <f t="shared" ca="1" si="44"/>
        <v>#NAME?</v>
      </c>
      <c r="Z36" s="7"/>
      <c r="AA36" s="7"/>
      <c r="AB36" s="6" t="s">
        <v>157</v>
      </c>
    </row>
    <row r="37" spans="1:28" ht="54" customHeight="1" x14ac:dyDescent="0.2">
      <c r="A37" s="34" t="s">
        <v>158</v>
      </c>
      <c r="B37" s="3" t="str">
        <f>CONCATENATE("Protección de infraestructura: ",COUNTIF(B38:B42,"&lt;&gt;0"))</f>
        <v>Protección de infraestructura: 5</v>
      </c>
      <c r="C37" s="2">
        <f>(COUNTIF(C38:C42,"Sí")*1 + COUNTIF(C38:C42, "Parcialmente")*0.5) / ((COUNTA(C38:C42) - (COUNTIF(C38:C42, "N/A") + COUNTIF(C38:C42, "N/E"))))</f>
        <v>0.2</v>
      </c>
      <c r="D37" s="3">
        <f>COUNTIF(D38:D42,"true")</f>
        <v>0</v>
      </c>
      <c r="E37" s="4"/>
      <c r="F37" s="3"/>
      <c r="G37" s="3"/>
      <c r="H37" s="3"/>
      <c r="I37" s="3"/>
      <c r="J37" s="3"/>
      <c r="K37" s="3"/>
      <c r="L37" s="3" t="str">
        <f ca="1">IFERROR(__xludf.DUMMYFUNCTION("CONCATENATE(""Cantidad de notas: "", COUNTIF(FLATTEN(SPLIT(TEXTJOIN(CHAR(10), TRUE, M42:M46), CHAR(10))), ""*-?*""))"),"Cantidad de notas: 19")</f>
        <v>Cantidad de notas: 19</v>
      </c>
      <c r="M37" s="3"/>
      <c r="N37" s="3">
        <f>SUM(N38:N42)</f>
        <v>0</v>
      </c>
      <c r="O37" s="5">
        <f>MIN(O38:O41)</f>
        <v>0</v>
      </c>
      <c r="P37" s="5">
        <f>MAX(P38:P42)</f>
        <v>0</v>
      </c>
      <c r="Q37" s="5"/>
      <c r="R37" s="5"/>
      <c r="S37" s="5"/>
      <c r="T37" s="5"/>
      <c r="U37" s="5"/>
      <c r="V37" s="5"/>
      <c r="W37" s="5"/>
      <c r="X37" s="5"/>
      <c r="Y37" s="5"/>
      <c r="Z37" s="3" t="str">
        <f>CONCATENATE("GFourmis: ", COUNTIF(Z38:Z42, "GFourmis"), CHAR(10), "Cliente: ", COUNTIF(Z38:Z42, "Cliente"), CHAR(10), "Tercero: ", COUNTIF(Z38:Z42, "Tercero"))</f>
        <v>GFourmis: 0
Cliente: 0
Tercero: 0</v>
      </c>
      <c r="AA37" s="2" t="e">
        <f>(COUNTIF(AA38:AA42,"Sí")*1 + COUNTIF(AA38:AA42, "Parcialmente")*0.5) / ((COUNTA(AA38:AA42) - (COUNTIF(AA38:AA42, "N/A") + COUNTIF(AA38:AA42, "N/E"))))</f>
        <v>#DIV/0!</v>
      </c>
      <c r="AB37" s="3" t="str">
        <f ca="1">IFERROR(__xludf.DUMMYFUNCTION("CONCATENATE(""Cantidad de notas: "", COUNTIF(FLATTEN(SPLIT(TEXTJOIN(CHAR(10), TRUE, AC42:AC46), CHAR(10))), ""*-?*""))"),"Cantidad de notas: 0")</f>
        <v>Cantidad de notas: 0</v>
      </c>
    </row>
    <row r="38" spans="1:28" ht="144" outlineLevel="1" x14ac:dyDescent="0.35">
      <c r="A38" s="33" t="s">
        <v>159</v>
      </c>
      <c r="B38" s="6" t="s">
        <v>160</v>
      </c>
      <c r="C38" s="7" t="s">
        <v>19</v>
      </c>
      <c r="D38" s="8" t="b">
        <v>1</v>
      </c>
      <c r="E38" s="9" t="s">
        <v>161</v>
      </c>
      <c r="F38" s="10" t="s">
        <v>5</v>
      </c>
      <c r="G38" s="11" t="e">
        <f t="shared" ref="G38:G42" ca="1" si="45">_xludf.IFS(F38 = "Frecuente", 5, F38 = "Probable", 4, F38 = "Moderado", 3, F38 = "Bajo", 2, F38 = "Rara vez", 1)</f>
        <v>#NAME?</v>
      </c>
      <c r="H38" s="10" t="s">
        <v>26</v>
      </c>
      <c r="I38" s="7" t="e">
        <f t="shared" ref="I38:I42" ca="1" si="46">_xludf.IFS(H38 = "Crítico", 625, H38 = "Mayor", 125, H38 = "Moderado", 25, H38 = "Menor", 5, H38 = "Inferior", 1)</f>
        <v>#NAME?</v>
      </c>
      <c r="J38" s="12" t="e">
        <f t="shared" ref="J38:J42" ca="1" si="47">_xludf.IFS(K38 &lt;= 10, "Bajo", AND(K38 &gt; 10, K38 &lt;= 75), "Moderado", AND(K38 &gt; 75, K38 &lt;= 500), "Alto", AND(K38 &gt; 500, K38 &lt;= 3125), "Extremo")</f>
        <v>#NAME?</v>
      </c>
      <c r="K38" s="6" t="e">
        <f t="shared" ref="K38:K42" ca="1" si="48">G38*I38</f>
        <v>#NAME?</v>
      </c>
      <c r="L38" s="6" t="s">
        <v>162</v>
      </c>
      <c r="M38" s="6"/>
      <c r="N38" s="13">
        <v>0</v>
      </c>
      <c r="O38" s="14"/>
      <c r="P38" s="14"/>
      <c r="Q38" s="16"/>
      <c r="R38" s="17"/>
      <c r="S38" s="18" t="e">
        <f t="shared" ref="S38:S42" ca="1" si="49">_xludf.IFS(R38 = "Alta", 3, R38 = "Media", 2, R38 = "Baja", 1)</f>
        <v>#NAME?</v>
      </c>
      <c r="T38" s="19"/>
      <c r="U38" s="18" t="e">
        <f t="shared" ref="U38:U42" ca="1" si="50">_xludf.IFS(T38 = "Alta", 3, T38 = "Media", 2, T38 = "Baja", 1)</f>
        <v>#NAME?</v>
      </c>
      <c r="V38" s="17"/>
      <c r="W38" s="18" t="e">
        <f t="shared" ref="W38:W42" ca="1" si="51">_xludf.IFS(V38 = "Alta", 3, V38 = "Media", 2, V38 = "Baja", 1)</f>
        <v>#NAME?</v>
      </c>
      <c r="X38" s="20" t="e">
        <f t="shared" ref="X38:X42" ca="1" si="52">_xludf.IFS(Y38 &lt; 2, "Baja", AND(Y38 &gt;= 2, Y38 &lt;= 2.49), "Media", AND(Y38 &gt;= 2.5), "Alta")</f>
        <v>#NAME?</v>
      </c>
      <c r="Y38" s="21" t="e">
        <f t="shared" ref="Y38:Y42" ca="1" si="53">(N38 *0.25)+(S38*0.3)+(U38*0.3)+(W38*0.15)</f>
        <v>#NAME?</v>
      </c>
      <c r="Z38" s="7"/>
      <c r="AA38" s="7"/>
      <c r="AB38" s="6" t="s">
        <v>163</v>
      </c>
    </row>
    <row r="39" spans="1:28" ht="180" outlineLevel="1" x14ac:dyDescent="0.35">
      <c r="A39" s="33" t="s">
        <v>164</v>
      </c>
      <c r="B39" s="6" t="s">
        <v>165</v>
      </c>
      <c r="C39" s="7" t="s">
        <v>11</v>
      </c>
      <c r="D39" s="8" t="b">
        <v>1</v>
      </c>
      <c r="E39" s="9" t="s">
        <v>166</v>
      </c>
      <c r="F39" s="30" t="s">
        <v>6</v>
      </c>
      <c r="G39" s="11" t="e">
        <f t="shared" ca="1" si="45"/>
        <v>#NAME?</v>
      </c>
      <c r="H39" s="30" t="s">
        <v>14</v>
      </c>
      <c r="I39" s="7" t="e">
        <f t="shared" ca="1" si="46"/>
        <v>#NAME?</v>
      </c>
      <c r="J39" s="12" t="e">
        <f t="shared" ca="1" si="47"/>
        <v>#NAME?</v>
      </c>
      <c r="K39" s="6" t="e">
        <f t="shared" ca="1" si="48"/>
        <v>#NAME?</v>
      </c>
      <c r="L39" s="6" t="s">
        <v>167</v>
      </c>
      <c r="M39" s="6"/>
      <c r="N39" s="13">
        <v>0</v>
      </c>
      <c r="O39" s="14"/>
      <c r="P39" s="14"/>
      <c r="Q39" s="16"/>
      <c r="R39" s="17"/>
      <c r="S39" s="18" t="e">
        <f t="shared" ca="1" si="49"/>
        <v>#NAME?</v>
      </c>
      <c r="T39" s="19"/>
      <c r="U39" s="18" t="e">
        <f t="shared" ca="1" si="50"/>
        <v>#NAME?</v>
      </c>
      <c r="V39" s="17"/>
      <c r="W39" s="18" t="e">
        <f t="shared" ca="1" si="51"/>
        <v>#NAME?</v>
      </c>
      <c r="X39" s="20" t="e">
        <f t="shared" ca="1" si="52"/>
        <v>#NAME?</v>
      </c>
      <c r="Y39" s="21" t="e">
        <f t="shared" ca="1" si="53"/>
        <v>#NAME?</v>
      </c>
      <c r="Z39" s="7"/>
      <c r="AA39" s="7"/>
      <c r="AB39" s="6" t="s">
        <v>168</v>
      </c>
    </row>
    <row r="40" spans="1:28" ht="306" outlineLevel="1" x14ac:dyDescent="0.35">
      <c r="A40" s="33" t="s">
        <v>169</v>
      </c>
      <c r="B40" s="6" t="s">
        <v>170</v>
      </c>
      <c r="C40" s="7" t="s">
        <v>11</v>
      </c>
      <c r="D40" s="8" t="b">
        <v>1</v>
      </c>
      <c r="E40" s="9" t="s">
        <v>161</v>
      </c>
      <c r="F40" s="10" t="s">
        <v>5</v>
      </c>
      <c r="G40" s="11" t="e">
        <f t="shared" ca="1" si="45"/>
        <v>#NAME?</v>
      </c>
      <c r="H40" s="10" t="s">
        <v>26</v>
      </c>
      <c r="I40" s="7" t="e">
        <f t="shared" ca="1" si="46"/>
        <v>#NAME?</v>
      </c>
      <c r="J40" s="12" t="e">
        <f t="shared" ca="1" si="47"/>
        <v>#NAME?</v>
      </c>
      <c r="K40" s="6" t="e">
        <f t="shared" ca="1" si="48"/>
        <v>#NAME?</v>
      </c>
      <c r="L40" s="6" t="s">
        <v>171</v>
      </c>
      <c r="M40" s="6"/>
      <c r="N40" s="13">
        <v>0</v>
      </c>
      <c r="O40" s="14"/>
      <c r="P40" s="14"/>
      <c r="Q40" s="16"/>
      <c r="R40" s="17"/>
      <c r="S40" s="18" t="e">
        <f t="shared" ca="1" si="49"/>
        <v>#NAME?</v>
      </c>
      <c r="T40" s="19"/>
      <c r="U40" s="18" t="e">
        <f t="shared" ca="1" si="50"/>
        <v>#NAME?</v>
      </c>
      <c r="V40" s="17"/>
      <c r="W40" s="18" t="e">
        <f t="shared" ca="1" si="51"/>
        <v>#NAME?</v>
      </c>
      <c r="X40" s="20" t="e">
        <f t="shared" ca="1" si="52"/>
        <v>#NAME?</v>
      </c>
      <c r="Y40" s="21" t="e">
        <f t="shared" ca="1" si="53"/>
        <v>#NAME?</v>
      </c>
      <c r="Z40" s="7"/>
      <c r="AA40" s="7"/>
      <c r="AB40" s="6" t="s">
        <v>172</v>
      </c>
    </row>
    <row r="41" spans="1:28" ht="180" outlineLevel="1" x14ac:dyDescent="0.35">
      <c r="A41" s="33" t="s">
        <v>173</v>
      </c>
      <c r="B41" s="6" t="s">
        <v>174</v>
      </c>
      <c r="C41" s="7" t="s">
        <v>19</v>
      </c>
      <c r="D41" s="8" t="b">
        <v>1</v>
      </c>
      <c r="E41" s="9" t="s">
        <v>175</v>
      </c>
      <c r="F41" s="30" t="s">
        <v>91</v>
      </c>
      <c r="G41" s="11" t="e">
        <f t="shared" ca="1" si="45"/>
        <v>#NAME?</v>
      </c>
      <c r="H41" s="30" t="s">
        <v>14</v>
      </c>
      <c r="I41" s="7" t="e">
        <f t="shared" ca="1" si="46"/>
        <v>#NAME?</v>
      </c>
      <c r="J41" s="12" t="e">
        <f t="shared" ca="1" si="47"/>
        <v>#NAME?</v>
      </c>
      <c r="K41" s="6" t="e">
        <f t="shared" ca="1" si="48"/>
        <v>#NAME?</v>
      </c>
      <c r="L41" s="6" t="s">
        <v>176</v>
      </c>
      <c r="M41" s="6"/>
      <c r="N41" s="13">
        <v>0</v>
      </c>
      <c r="O41" s="14"/>
      <c r="P41" s="14"/>
      <c r="Q41" s="16"/>
      <c r="R41" s="17"/>
      <c r="S41" s="18" t="e">
        <f t="shared" ca="1" si="49"/>
        <v>#NAME?</v>
      </c>
      <c r="T41" s="19"/>
      <c r="U41" s="18" t="e">
        <f t="shared" ca="1" si="50"/>
        <v>#NAME?</v>
      </c>
      <c r="V41" s="17"/>
      <c r="W41" s="18" t="e">
        <f t="shared" ca="1" si="51"/>
        <v>#NAME?</v>
      </c>
      <c r="X41" s="20" t="e">
        <f t="shared" ca="1" si="52"/>
        <v>#NAME?</v>
      </c>
      <c r="Y41" s="21" t="e">
        <f t="shared" ca="1" si="53"/>
        <v>#NAME?</v>
      </c>
      <c r="Z41" s="7"/>
      <c r="AA41" s="7"/>
      <c r="AB41" s="6" t="s">
        <v>177</v>
      </c>
    </row>
    <row r="42" spans="1:28" ht="198" outlineLevel="1" x14ac:dyDescent="0.35">
      <c r="A42" s="33" t="s">
        <v>178</v>
      </c>
      <c r="B42" s="6" t="s">
        <v>179</v>
      </c>
      <c r="C42" s="7" t="s">
        <v>19</v>
      </c>
      <c r="D42" s="8" t="b">
        <v>1</v>
      </c>
      <c r="E42" s="9" t="s">
        <v>180</v>
      </c>
      <c r="F42" s="30" t="s">
        <v>5</v>
      </c>
      <c r="G42" s="11" t="e">
        <f t="shared" ca="1" si="45"/>
        <v>#NAME?</v>
      </c>
      <c r="H42" s="30" t="s">
        <v>14</v>
      </c>
      <c r="I42" s="7" t="e">
        <f t="shared" ca="1" si="46"/>
        <v>#NAME?</v>
      </c>
      <c r="J42" s="12" t="e">
        <f t="shared" ca="1" si="47"/>
        <v>#NAME?</v>
      </c>
      <c r="K42" s="6" t="e">
        <f t="shared" ca="1" si="48"/>
        <v>#NAME?</v>
      </c>
      <c r="L42" s="6" t="s">
        <v>181</v>
      </c>
      <c r="M42" s="6"/>
      <c r="N42" s="13">
        <v>0</v>
      </c>
      <c r="O42" s="14"/>
      <c r="P42" s="14"/>
      <c r="Q42" s="16"/>
      <c r="R42" s="17"/>
      <c r="S42" s="18" t="e">
        <f t="shared" ca="1" si="49"/>
        <v>#NAME?</v>
      </c>
      <c r="T42" s="19"/>
      <c r="U42" s="18" t="e">
        <f t="shared" ca="1" si="50"/>
        <v>#NAME?</v>
      </c>
      <c r="V42" s="17"/>
      <c r="W42" s="18" t="e">
        <f t="shared" ca="1" si="51"/>
        <v>#NAME?</v>
      </c>
      <c r="X42" s="20" t="e">
        <f t="shared" ca="1" si="52"/>
        <v>#NAME?</v>
      </c>
      <c r="Y42" s="21" t="e">
        <f t="shared" ca="1" si="53"/>
        <v>#NAME?</v>
      </c>
      <c r="Z42" s="7"/>
      <c r="AA42" s="7"/>
      <c r="AB42" s="6" t="s">
        <v>182</v>
      </c>
    </row>
    <row r="43" spans="1:28" ht="54" customHeight="1" x14ac:dyDescent="0.2">
      <c r="A43" s="34" t="s">
        <v>183</v>
      </c>
      <c r="B43" s="3" t="str">
        <f>CONCATENATE("Protección de datos: ",COUNTIF(B44:B47,"&lt;&gt;0"))</f>
        <v>Protección de datos: 4</v>
      </c>
      <c r="C43" s="2">
        <f>(COUNTIF(C44:C47,"Sí")*1 + COUNTIF(C44:C47, "Parcialmente")*0.5) / ((COUNTA(C44:C47) - (COUNTIF(C44:C47, "N/A") + COUNTIF(C44:C47, "N/E"))))</f>
        <v>0.25</v>
      </c>
      <c r="D43" s="3">
        <f>COUNTIF(D44:D47,"true")</f>
        <v>0</v>
      </c>
      <c r="E43" s="4"/>
      <c r="F43" s="3"/>
      <c r="G43" s="3"/>
      <c r="H43" s="3"/>
      <c r="I43" s="3"/>
      <c r="J43" s="3"/>
      <c r="K43" s="3"/>
      <c r="L43" s="3" t="str">
        <f ca="1">IFERROR(__xludf.DUMMYFUNCTION("CONCATENATE(""Cantidad de notas: "", COUNTIF(FLATTEN(SPLIT(TEXTJOIN(CHAR(10), TRUE, M48:M51), CHAR(10))), ""*-?*""))"),"Cantidad de notas: 18")</f>
        <v>Cantidad de notas: 18</v>
      </c>
      <c r="M43" s="3"/>
      <c r="N43" s="3">
        <f>SUM(N44:N47)</f>
        <v>0</v>
      </c>
      <c r="O43" s="5">
        <f>MIN(O44:O47)</f>
        <v>0</v>
      </c>
      <c r="P43" s="5">
        <f>MAX(P44:P47)</f>
        <v>0</v>
      </c>
      <c r="Q43" s="5"/>
      <c r="R43" s="5"/>
      <c r="S43" s="5"/>
      <c r="T43" s="5"/>
      <c r="U43" s="5"/>
      <c r="V43" s="5"/>
      <c r="W43" s="5"/>
      <c r="X43" s="5"/>
      <c r="Y43" s="5"/>
      <c r="Z43" s="3" t="str">
        <f>CONCATENATE("GFourmis: ", COUNTIF(Z44:Z47, "GFourmis"), CHAR(10), "Cliente: ", COUNTIF(Z44:Z47, "Cliente"), CHAR(10), "Tercero: ", COUNTIF(Z44:Z47, "Tercero"))</f>
        <v>GFourmis: 0
Cliente: 0
Tercero: 0</v>
      </c>
      <c r="AA43" s="2" t="e">
        <f>(COUNTIF(AA44:AA47,"Sí")*1 + COUNTIF(AA44:AA47, "Parcialmente")*0.5) / ((COUNTA(AA44:AA47) - (COUNTIF(AA44:AA47, "N/A") + COUNTIF(AA44:AA47, "N/E"))))</f>
        <v>#DIV/0!</v>
      </c>
      <c r="AB43" s="3" t="str">
        <f ca="1">IFERROR(__xludf.DUMMYFUNCTION("CONCATENATE(""Cantidad de notas: "", COUNTIF(FLATTEN(SPLIT(TEXTJOIN(CHAR(10), TRUE, AC48:AC51), CHAR(10))), ""*-?*""))"),"Cantidad de notas: 0")</f>
        <v>Cantidad de notas: 0</v>
      </c>
    </row>
    <row r="44" spans="1:28" ht="180" outlineLevel="1" x14ac:dyDescent="0.35">
      <c r="A44" s="36" t="s">
        <v>184</v>
      </c>
      <c r="B44" s="6" t="s">
        <v>185</v>
      </c>
      <c r="C44" s="7" t="s">
        <v>19</v>
      </c>
      <c r="D44" s="8" t="b">
        <v>1</v>
      </c>
      <c r="E44" s="9" t="s">
        <v>186</v>
      </c>
      <c r="F44" s="10" t="s">
        <v>13</v>
      </c>
      <c r="G44" s="11" t="e">
        <f t="shared" ref="G44:G47" ca="1" si="54">_xludf.IFS(F44 = "Frecuente", 5, F44 = "Probable", 4, F44 = "Moderado", 3, F44 = "Bajo", 2, F44 = "Rara vez", 1)</f>
        <v>#NAME?</v>
      </c>
      <c r="H44" s="10" t="s">
        <v>26</v>
      </c>
      <c r="I44" s="7" t="e">
        <f t="shared" ref="I44:I47" ca="1" si="55">_xludf.IFS(H44 = "Crítico", 625, H44 = "Mayor", 125, H44 = "Moderado", 25, H44 = "Menor", 5, H44 = "Inferior", 1)</f>
        <v>#NAME?</v>
      </c>
      <c r="J44" s="12" t="e">
        <f t="shared" ref="J44:J47" ca="1" si="56">_xludf.IFS(K44 &lt;= 10, "Bajo", AND(K44 &gt; 10, K44 &lt;= 75), "Moderado", AND(K44 &gt; 75, K44 &lt;= 500), "Alto", AND(K44 &gt; 500, K44 &lt;= 3125), "Extremo")</f>
        <v>#NAME?</v>
      </c>
      <c r="K44" s="6" t="e">
        <f t="shared" ref="K44:K47" ca="1" si="57">G44*I44</f>
        <v>#NAME?</v>
      </c>
      <c r="L44" s="6" t="s">
        <v>187</v>
      </c>
      <c r="M44" s="6"/>
      <c r="N44" s="13">
        <v>0</v>
      </c>
      <c r="O44" s="14"/>
      <c r="P44" s="14"/>
      <c r="Q44" s="16"/>
      <c r="R44" s="17"/>
      <c r="S44" s="18" t="e">
        <f t="shared" ref="S44:S47" ca="1" si="58">_xludf.IFS(R44 = "Alta", 3, R44 = "Media", 2, R44 = "Baja", 1)</f>
        <v>#NAME?</v>
      </c>
      <c r="T44" s="19"/>
      <c r="U44" s="18" t="e">
        <f t="shared" ref="U44:U47" ca="1" si="59">_xludf.IFS(T44 = "Alta", 3, T44 = "Media", 2, T44 = "Baja", 1)</f>
        <v>#NAME?</v>
      </c>
      <c r="V44" s="17"/>
      <c r="W44" s="18" t="e">
        <f t="shared" ref="W44:W47" ca="1" si="60">_xludf.IFS(V44 = "Alta", 3, V44 = "Media", 2, V44 = "Baja", 1)</f>
        <v>#NAME?</v>
      </c>
      <c r="X44" s="20" t="e">
        <f t="shared" ref="X44:X47" ca="1" si="61">_xludf.IFS(Y44 &lt; 2, "Baja", AND(Y44 &gt;= 2, Y44 &lt;= 2.49), "Media", AND(Y44 &gt;= 2.5), "Alta")</f>
        <v>#NAME?</v>
      </c>
      <c r="Y44" s="21" t="e">
        <f t="shared" ref="Y44:Y47" ca="1" si="62">(N44 *0.25)+(S44*0.3)+(U44*0.3)+(W44*0.15)</f>
        <v>#NAME?</v>
      </c>
      <c r="Z44" s="7"/>
      <c r="AA44" s="7"/>
      <c r="AB44" s="6" t="s">
        <v>188</v>
      </c>
    </row>
    <row r="45" spans="1:28" ht="270" outlineLevel="1" x14ac:dyDescent="0.35">
      <c r="A45" s="36" t="s">
        <v>189</v>
      </c>
      <c r="B45" s="6" t="s">
        <v>190</v>
      </c>
      <c r="C45" s="7" t="s">
        <v>11</v>
      </c>
      <c r="D45" s="8" t="b">
        <v>1</v>
      </c>
      <c r="E45" s="9" t="s">
        <v>191</v>
      </c>
      <c r="F45" s="10" t="s">
        <v>13</v>
      </c>
      <c r="G45" s="11" t="e">
        <f t="shared" ca="1" si="54"/>
        <v>#NAME?</v>
      </c>
      <c r="H45" s="10" t="s">
        <v>26</v>
      </c>
      <c r="I45" s="7" t="e">
        <f t="shared" ca="1" si="55"/>
        <v>#NAME?</v>
      </c>
      <c r="J45" s="12" t="e">
        <f t="shared" ca="1" si="56"/>
        <v>#NAME?</v>
      </c>
      <c r="K45" s="6" t="e">
        <f t="shared" ca="1" si="57"/>
        <v>#NAME?</v>
      </c>
      <c r="L45" s="6" t="s">
        <v>192</v>
      </c>
      <c r="M45" s="6"/>
      <c r="N45" s="13">
        <v>0</v>
      </c>
      <c r="O45" s="14"/>
      <c r="P45" s="14"/>
      <c r="Q45" s="16"/>
      <c r="R45" s="17"/>
      <c r="S45" s="18" t="e">
        <f t="shared" ca="1" si="58"/>
        <v>#NAME?</v>
      </c>
      <c r="T45" s="19"/>
      <c r="U45" s="18" t="e">
        <f t="shared" ca="1" si="59"/>
        <v>#NAME?</v>
      </c>
      <c r="V45" s="17"/>
      <c r="W45" s="18" t="e">
        <f t="shared" ca="1" si="60"/>
        <v>#NAME?</v>
      </c>
      <c r="X45" s="20" t="e">
        <f t="shared" ca="1" si="61"/>
        <v>#NAME?</v>
      </c>
      <c r="Y45" s="21" t="e">
        <f t="shared" ca="1" si="62"/>
        <v>#NAME?</v>
      </c>
      <c r="Z45" s="7"/>
      <c r="AA45" s="7"/>
      <c r="AB45" s="6" t="s">
        <v>193</v>
      </c>
    </row>
    <row r="46" spans="1:28" ht="144" outlineLevel="1" x14ac:dyDescent="0.35">
      <c r="A46" s="36" t="s">
        <v>194</v>
      </c>
      <c r="B46" s="6" t="s">
        <v>195</v>
      </c>
      <c r="C46" s="7" t="s">
        <v>19</v>
      </c>
      <c r="D46" s="8" t="b">
        <v>1</v>
      </c>
      <c r="E46" s="9" t="s">
        <v>196</v>
      </c>
      <c r="F46" s="10" t="s">
        <v>13</v>
      </c>
      <c r="G46" s="11" t="e">
        <f t="shared" ca="1" si="54"/>
        <v>#NAME?</v>
      </c>
      <c r="H46" s="10" t="s">
        <v>14</v>
      </c>
      <c r="I46" s="7" t="e">
        <f t="shared" ca="1" si="55"/>
        <v>#NAME?</v>
      </c>
      <c r="J46" s="12" t="e">
        <f t="shared" ca="1" si="56"/>
        <v>#NAME?</v>
      </c>
      <c r="K46" s="6" t="e">
        <f t="shared" ca="1" si="57"/>
        <v>#NAME?</v>
      </c>
      <c r="L46" s="6" t="s">
        <v>197</v>
      </c>
      <c r="M46" s="6"/>
      <c r="N46" s="13">
        <v>0</v>
      </c>
      <c r="O46" s="14"/>
      <c r="P46" s="14"/>
      <c r="Q46" s="16"/>
      <c r="R46" s="17"/>
      <c r="S46" s="18" t="e">
        <f t="shared" ca="1" si="58"/>
        <v>#NAME?</v>
      </c>
      <c r="T46" s="19"/>
      <c r="U46" s="18" t="e">
        <f t="shared" ca="1" si="59"/>
        <v>#NAME?</v>
      </c>
      <c r="V46" s="17"/>
      <c r="W46" s="18" t="e">
        <f t="shared" ca="1" si="60"/>
        <v>#NAME?</v>
      </c>
      <c r="X46" s="20" t="e">
        <f t="shared" ca="1" si="61"/>
        <v>#NAME?</v>
      </c>
      <c r="Y46" s="21" t="e">
        <f t="shared" ca="1" si="62"/>
        <v>#NAME?</v>
      </c>
      <c r="Z46" s="7"/>
      <c r="AA46" s="7"/>
      <c r="AB46" s="6" t="s">
        <v>198</v>
      </c>
    </row>
    <row r="47" spans="1:28" ht="252" outlineLevel="1" x14ac:dyDescent="0.35">
      <c r="A47" s="36" t="s">
        <v>199</v>
      </c>
      <c r="B47" s="6" t="s">
        <v>200</v>
      </c>
      <c r="C47" s="7" t="s">
        <v>11</v>
      </c>
      <c r="D47" s="8" t="b">
        <v>1</v>
      </c>
      <c r="E47" s="9" t="s">
        <v>201</v>
      </c>
      <c r="F47" s="10" t="s">
        <v>13</v>
      </c>
      <c r="G47" s="11" t="e">
        <f t="shared" ca="1" si="54"/>
        <v>#NAME?</v>
      </c>
      <c r="H47" s="10" t="s">
        <v>14</v>
      </c>
      <c r="I47" s="7" t="e">
        <f t="shared" ca="1" si="55"/>
        <v>#NAME?</v>
      </c>
      <c r="J47" s="12" t="e">
        <f t="shared" ca="1" si="56"/>
        <v>#NAME?</v>
      </c>
      <c r="K47" s="6" t="e">
        <f t="shared" ca="1" si="57"/>
        <v>#NAME?</v>
      </c>
      <c r="L47" s="6" t="s">
        <v>202</v>
      </c>
      <c r="M47" s="6"/>
      <c r="N47" s="13">
        <v>0</v>
      </c>
      <c r="O47" s="14"/>
      <c r="P47" s="14"/>
      <c r="Q47" s="16"/>
      <c r="R47" s="17"/>
      <c r="S47" s="18" t="e">
        <f t="shared" ca="1" si="58"/>
        <v>#NAME?</v>
      </c>
      <c r="T47" s="19"/>
      <c r="U47" s="18" t="e">
        <f t="shared" ca="1" si="59"/>
        <v>#NAME?</v>
      </c>
      <c r="V47" s="17"/>
      <c r="W47" s="18" t="e">
        <f t="shared" ca="1" si="60"/>
        <v>#NAME?</v>
      </c>
      <c r="X47" s="20" t="e">
        <f t="shared" ca="1" si="61"/>
        <v>#NAME?</v>
      </c>
      <c r="Y47" s="21" t="e">
        <f t="shared" ca="1" si="62"/>
        <v>#NAME?</v>
      </c>
      <c r="Z47" s="7"/>
      <c r="AA47" s="7"/>
      <c r="AB47" s="6" t="s">
        <v>203</v>
      </c>
    </row>
    <row r="48" spans="1:28" ht="54" customHeight="1" x14ac:dyDescent="0.2">
      <c r="A48" s="34" t="s">
        <v>204</v>
      </c>
      <c r="B48" s="3" t="str">
        <f>CONCATENATE("Protección de datos: ",COUNTIF(B49:B52,"&lt;&gt;0"))</f>
        <v>Protección de datos: 4</v>
      </c>
      <c r="C48" s="2">
        <f>(COUNTIF(C49:C52,"Sí")*1 + COUNTIF(C49:C52, "Parcialmente")*0.5) / ((COUNTA(C49:C52) - (COUNTIF(C49:C52, "N/A") + COUNTIF(C49:C52, "N/E"))))</f>
        <v>0.875</v>
      </c>
      <c r="D48" s="3">
        <f>COUNTIF(D49:D52,"true")</f>
        <v>0</v>
      </c>
      <c r="E48" s="4"/>
      <c r="F48" s="3"/>
      <c r="G48" s="3"/>
      <c r="H48" s="3"/>
      <c r="I48" s="3"/>
      <c r="J48" s="3"/>
      <c r="K48" s="3"/>
      <c r="L48" s="3" t="str">
        <f ca="1">IFERROR(__xludf.DUMMYFUNCTION("CONCATENATE(""Cantidad de notas: "", COUNTIF(FLATTEN(SPLIT(TEXTJOIN(CHAR(10), TRUE, M53:M56), CHAR(10))), ""*-?*""))"),"Cantidad de notas: 2")</f>
        <v>Cantidad de notas: 2</v>
      </c>
      <c r="M48" s="3"/>
      <c r="N48" s="3">
        <f>SUM(N49:N52)</f>
        <v>0</v>
      </c>
      <c r="O48" s="5">
        <f>MIN(O49:O52)</f>
        <v>0</v>
      </c>
      <c r="P48" s="5">
        <f>MAX(P49:P52)</f>
        <v>0</v>
      </c>
      <c r="Q48" s="5"/>
      <c r="R48" s="5"/>
      <c r="S48" s="5"/>
      <c r="T48" s="5"/>
      <c r="U48" s="5"/>
      <c r="V48" s="5"/>
      <c r="W48" s="5"/>
      <c r="X48" s="5"/>
      <c r="Y48" s="5"/>
      <c r="Z48" s="3" t="str">
        <f>CONCATENATE("GFourmis: ", COUNTIF(Z49:Z52, "GFourmis"), CHAR(10), "Cliente: ", COUNTIF(Z49:Z52, "Cliente"), CHAR(10), "Tercero: ", COUNTIF(Z49:Z52, "Tercero"))</f>
        <v>GFourmis: 0
Cliente: 0
Tercero: 0</v>
      </c>
      <c r="AA48" s="2" t="e">
        <f>(COUNTIF(AA49:AA52,"Sí")*1 + COUNTIF(AA49:AA52, "Parcialmente")*0.5) / ((COUNTA(AA49:AA52) - (COUNTIF(AA49:AA52, "N/A") + COUNTIF(AA49:AA52, "N/E"))))</f>
        <v>#DIV/0!</v>
      </c>
      <c r="AB48" s="3" t="str">
        <f ca="1">IFERROR(__xludf.DUMMYFUNCTION("CONCATENATE(""Cantidad de notas: "", COUNTIF(FLATTEN(SPLIT(TEXTJOIN(CHAR(10), TRUE, AC53:AC56), CHAR(10))), ""*-?*""))"),"Cantidad de notas: 0")</f>
        <v>Cantidad de notas: 0</v>
      </c>
    </row>
    <row r="49" spans="1:28" ht="144" outlineLevel="1" x14ac:dyDescent="0.35">
      <c r="A49" s="36" t="s">
        <v>205</v>
      </c>
      <c r="B49" s="6" t="s">
        <v>206</v>
      </c>
      <c r="C49" s="7" t="s">
        <v>3</v>
      </c>
      <c r="D49" s="8" t="b">
        <v>0</v>
      </c>
      <c r="E49" s="9" t="s">
        <v>207</v>
      </c>
      <c r="F49" s="30" t="s">
        <v>13</v>
      </c>
      <c r="G49" s="11" t="e">
        <f t="shared" ref="G49:G52" ca="1" si="63">_xludf.IFS(F49 = "Frecuente", 5, F49 = "Probable", 4, F49 = "Moderado", 3, F49 = "Bajo", 2, F49 = "Rara vez", 1)</f>
        <v>#NAME?</v>
      </c>
      <c r="H49" s="30" t="s">
        <v>14</v>
      </c>
      <c r="I49" s="7" t="e">
        <f t="shared" ref="I49:I52" ca="1" si="64">_xludf.IFS(H49 = "Crítico", 625, H49 = "Mayor", 125, H49 = "Moderado", 25, H49 = "Menor", 5, H49 = "Inferior", 1)</f>
        <v>#NAME?</v>
      </c>
      <c r="J49" s="12" t="e">
        <f t="shared" ref="J49:J52" ca="1" si="65">_xludf.IFS(K49 &lt;= 10, "Bajo", AND(K49 &gt; 10, K49 &lt;= 75), "Moderado", AND(K49 &gt; 75, K49 &lt;= 500), "Alto", AND(K49 &gt; 500, K49 &lt;= 3125), "Extremo")</f>
        <v>#NAME?</v>
      </c>
      <c r="K49" s="6" t="e">
        <f t="shared" ref="K49:K52" ca="1" si="66">G49*I49</f>
        <v>#NAME?</v>
      </c>
      <c r="L49" s="6" t="s">
        <v>67</v>
      </c>
      <c r="M49" s="6"/>
      <c r="N49" s="13">
        <v>0</v>
      </c>
      <c r="O49" s="14"/>
      <c r="P49" s="14"/>
      <c r="Q49" s="16"/>
      <c r="R49" s="17"/>
      <c r="S49" s="18" t="e">
        <f t="shared" ref="S49:S52" ca="1" si="67">_xludf.IFS(R49 = "Alta", 3, R49 = "Media", 2, R49 = "Baja", 1)</f>
        <v>#NAME?</v>
      </c>
      <c r="T49" s="19"/>
      <c r="U49" s="18" t="e">
        <f t="shared" ref="U49:U52" ca="1" si="68">_xludf.IFS(T49 = "Alta", 3, T49 = "Media", 2, T49 = "Baja", 1)</f>
        <v>#NAME?</v>
      </c>
      <c r="V49" s="17"/>
      <c r="W49" s="18" t="e">
        <f t="shared" ref="W49:W52" ca="1" si="69">_xludf.IFS(V49 = "Alta", 3, V49 = "Media", 2, V49 = "Baja", 1)</f>
        <v>#NAME?</v>
      </c>
      <c r="X49" s="20" t="e">
        <f t="shared" ref="X49:X52" ca="1" si="70">_xludf.IFS(Y49 &lt; 2, "Baja", AND(Y49 &gt;= 2, Y49 &lt;= 2.49), "Media", AND(Y49 &gt;= 2.5), "Alta")</f>
        <v>#NAME?</v>
      </c>
      <c r="Y49" s="21" t="e">
        <f t="shared" ref="Y49:Y52" ca="1" si="71">(N49 *0.25)+(S49*0.3)+(U49*0.3)+(W49*0.15)</f>
        <v>#NAME?</v>
      </c>
      <c r="Z49" s="7"/>
      <c r="AA49" s="7"/>
      <c r="AB49" s="6" t="s">
        <v>208</v>
      </c>
    </row>
    <row r="50" spans="1:28" ht="144" outlineLevel="1" x14ac:dyDescent="0.35">
      <c r="A50" s="36" t="s">
        <v>209</v>
      </c>
      <c r="B50" s="6" t="s">
        <v>210</v>
      </c>
      <c r="C50" s="7" t="s">
        <v>3</v>
      </c>
      <c r="D50" s="8" t="b">
        <v>0</v>
      </c>
      <c r="E50" s="9" t="s">
        <v>211</v>
      </c>
      <c r="F50" s="30" t="s">
        <v>13</v>
      </c>
      <c r="G50" s="11" t="e">
        <f t="shared" ca="1" si="63"/>
        <v>#NAME?</v>
      </c>
      <c r="H50" s="30" t="s">
        <v>14</v>
      </c>
      <c r="I50" s="7" t="e">
        <f t="shared" ca="1" si="64"/>
        <v>#NAME?</v>
      </c>
      <c r="J50" s="12" t="e">
        <f t="shared" ca="1" si="65"/>
        <v>#NAME?</v>
      </c>
      <c r="K50" s="6" t="e">
        <f t="shared" ca="1" si="66"/>
        <v>#NAME?</v>
      </c>
      <c r="L50" s="6" t="s">
        <v>67</v>
      </c>
      <c r="M50" s="6"/>
      <c r="N50" s="13">
        <v>0</v>
      </c>
      <c r="O50" s="14"/>
      <c r="P50" s="14"/>
      <c r="Q50" s="16"/>
      <c r="R50" s="17"/>
      <c r="S50" s="18" t="e">
        <f t="shared" ca="1" si="67"/>
        <v>#NAME?</v>
      </c>
      <c r="T50" s="19"/>
      <c r="U50" s="18" t="e">
        <f t="shared" ca="1" si="68"/>
        <v>#NAME?</v>
      </c>
      <c r="V50" s="17"/>
      <c r="W50" s="18" t="e">
        <f t="shared" ca="1" si="69"/>
        <v>#NAME?</v>
      </c>
      <c r="X50" s="20" t="e">
        <f t="shared" ca="1" si="70"/>
        <v>#NAME?</v>
      </c>
      <c r="Y50" s="21" t="e">
        <f t="shared" ca="1" si="71"/>
        <v>#NAME?</v>
      </c>
      <c r="Z50" s="7"/>
      <c r="AA50" s="7"/>
      <c r="AB50" s="6" t="s">
        <v>212</v>
      </c>
    </row>
    <row r="51" spans="1:28" ht="162" outlineLevel="1" x14ac:dyDescent="0.35">
      <c r="A51" s="36" t="s">
        <v>213</v>
      </c>
      <c r="B51" s="6" t="s">
        <v>214</v>
      </c>
      <c r="C51" s="7" t="s">
        <v>3</v>
      </c>
      <c r="D51" s="8" t="b">
        <v>0</v>
      </c>
      <c r="E51" s="9" t="s">
        <v>215</v>
      </c>
      <c r="F51" s="30" t="s">
        <v>13</v>
      </c>
      <c r="G51" s="11" t="e">
        <f t="shared" ca="1" si="63"/>
        <v>#NAME?</v>
      </c>
      <c r="H51" s="30" t="s">
        <v>26</v>
      </c>
      <c r="I51" s="7" t="e">
        <f t="shared" ca="1" si="64"/>
        <v>#NAME?</v>
      </c>
      <c r="J51" s="12" t="e">
        <f t="shared" ca="1" si="65"/>
        <v>#NAME?</v>
      </c>
      <c r="K51" s="6" t="e">
        <f t="shared" ca="1" si="66"/>
        <v>#NAME?</v>
      </c>
      <c r="L51" s="6" t="s">
        <v>67</v>
      </c>
      <c r="M51" s="6"/>
      <c r="N51" s="13">
        <v>0</v>
      </c>
      <c r="O51" s="14"/>
      <c r="P51" s="14"/>
      <c r="Q51" s="16"/>
      <c r="R51" s="17"/>
      <c r="S51" s="18" t="e">
        <f t="shared" ca="1" si="67"/>
        <v>#NAME?</v>
      </c>
      <c r="T51" s="19"/>
      <c r="U51" s="18" t="e">
        <f t="shared" ca="1" si="68"/>
        <v>#NAME?</v>
      </c>
      <c r="V51" s="17"/>
      <c r="W51" s="18" t="e">
        <f t="shared" ca="1" si="69"/>
        <v>#NAME?</v>
      </c>
      <c r="X51" s="20" t="e">
        <f t="shared" ca="1" si="70"/>
        <v>#NAME?</v>
      </c>
      <c r="Y51" s="21" t="e">
        <f t="shared" ca="1" si="71"/>
        <v>#NAME?</v>
      </c>
      <c r="Z51" s="7"/>
      <c r="AA51" s="7"/>
      <c r="AB51" s="6" t="s">
        <v>216</v>
      </c>
    </row>
    <row r="52" spans="1:28" ht="162" outlineLevel="1" x14ac:dyDescent="0.35">
      <c r="A52" s="36" t="s">
        <v>217</v>
      </c>
      <c r="B52" s="6" t="s">
        <v>218</v>
      </c>
      <c r="C52" s="7" t="s">
        <v>11</v>
      </c>
      <c r="D52" s="8" t="b">
        <v>1</v>
      </c>
      <c r="E52" s="9" t="s">
        <v>219</v>
      </c>
      <c r="F52" s="30" t="s">
        <v>13</v>
      </c>
      <c r="G52" s="11" t="e">
        <f t="shared" ca="1" si="63"/>
        <v>#NAME?</v>
      </c>
      <c r="H52" s="30" t="s">
        <v>26</v>
      </c>
      <c r="I52" s="7" t="e">
        <f t="shared" ca="1" si="64"/>
        <v>#NAME?</v>
      </c>
      <c r="J52" s="12" t="e">
        <f t="shared" ca="1" si="65"/>
        <v>#NAME?</v>
      </c>
      <c r="K52" s="6" t="e">
        <f t="shared" ca="1" si="66"/>
        <v>#NAME?</v>
      </c>
      <c r="L52" s="6" t="s">
        <v>220</v>
      </c>
      <c r="M52" s="6"/>
      <c r="N52" s="13">
        <v>0</v>
      </c>
      <c r="O52" s="14"/>
      <c r="P52" s="14"/>
      <c r="Q52" s="16"/>
      <c r="R52" s="17"/>
      <c r="S52" s="18" t="e">
        <f t="shared" ca="1" si="67"/>
        <v>#NAME?</v>
      </c>
      <c r="T52" s="19"/>
      <c r="U52" s="18" t="e">
        <f t="shared" ca="1" si="68"/>
        <v>#NAME?</v>
      </c>
      <c r="V52" s="17"/>
      <c r="W52" s="18" t="e">
        <f t="shared" ca="1" si="69"/>
        <v>#NAME?</v>
      </c>
      <c r="X52" s="20" t="e">
        <f t="shared" ca="1" si="70"/>
        <v>#NAME?</v>
      </c>
      <c r="Y52" s="21" t="e">
        <f t="shared" ca="1" si="71"/>
        <v>#NAME?</v>
      </c>
      <c r="Z52" s="7"/>
      <c r="AA52" s="7"/>
      <c r="AB52" s="6" t="s">
        <v>221</v>
      </c>
    </row>
    <row r="53" spans="1:28" ht="54" customHeight="1" x14ac:dyDescent="0.2">
      <c r="A53" s="34" t="s">
        <v>222</v>
      </c>
      <c r="B53" s="3" t="str">
        <f>CONCATENATE("Protección de datos: ",COUNTIF(B54:B56,"&lt;&gt;0"))</f>
        <v>Protección de datos: 3</v>
      </c>
      <c r="C53" s="2">
        <f>(COUNTIF(C54:C56,"Sí")*1 + COUNTIF(C54:C56, "Parcialmente")*0.5) / ((COUNTA(C54:C56) - (COUNTIF(C54:C56, "N/A") + COUNTIF(C54:C56, "N/E"))))</f>
        <v>0.5</v>
      </c>
      <c r="D53" s="3">
        <f>COUNTIF(D54:D56,"true")</f>
        <v>0</v>
      </c>
      <c r="E53" s="4"/>
      <c r="F53" s="3"/>
      <c r="G53" s="3"/>
      <c r="H53" s="3"/>
      <c r="I53" s="3"/>
      <c r="J53" s="3"/>
      <c r="K53" s="3"/>
      <c r="L53" s="3" t="str">
        <f ca="1">IFERROR(__xludf.DUMMYFUNCTION("CONCATENATE(""Cantidad de notas: "", COUNTIF(FLATTEN(SPLIT(TEXTJOIN(CHAR(10), TRUE, M58:M60), CHAR(10))), ""*-?*""))"),"Cantidad de notas: 8")</f>
        <v>Cantidad de notas: 8</v>
      </c>
      <c r="M53" s="3"/>
      <c r="N53" s="3">
        <f>SUM(N54:N56)</f>
        <v>0</v>
      </c>
      <c r="O53" s="5">
        <f>MIN(O54:O56)</f>
        <v>0</v>
      </c>
      <c r="P53" s="5">
        <f>MAX(P54:P56)</f>
        <v>0</v>
      </c>
      <c r="Q53" s="5"/>
      <c r="R53" s="5"/>
      <c r="S53" s="5"/>
      <c r="T53" s="5"/>
      <c r="U53" s="5"/>
      <c r="V53" s="5"/>
      <c r="W53" s="5"/>
      <c r="X53" s="5"/>
      <c r="Y53" s="5"/>
      <c r="Z53" s="3" t="str">
        <f>CONCATENATE("GFourmis: ", COUNTIF(Z54:Z56, "GFourmis"), CHAR(10), "Cliente: ", COUNTIF(Z54:Z56, "Cliente"), CHAR(10), "Tercero: ", COUNTIF(Z54:Z56, "Tercero"))</f>
        <v>GFourmis: 0
Cliente: 0
Tercero: 0</v>
      </c>
      <c r="AA53" s="2" t="e">
        <f>(COUNTIF(AA54:AA56,"Sí")*1 + COUNTIF(AA54:AA56, "Parcialmente")*0.5) / ((COUNTA(AA54:AA56) - (COUNTIF(AA54:AA56, "N/A") + COUNTIF(AA54:AA56, "N/E"))))</f>
        <v>#DIV/0!</v>
      </c>
      <c r="AB53" s="3" t="str">
        <f ca="1">IFERROR(__xludf.DUMMYFUNCTION("CONCATENATE(""Cantidad de notas: "", COUNTIF(FLATTEN(SPLIT(TEXTJOIN(CHAR(10), TRUE, AC58:AC60), CHAR(10))), ""*-?*""))"),"Cantidad de notas: 0")</f>
        <v>Cantidad de notas: 0</v>
      </c>
    </row>
    <row r="54" spans="1:28" ht="198" outlineLevel="1" x14ac:dyDescent="0.35">
      <c r="A54" s="36" t="s">
        <v>223</v>
      </c>
      <c r="B54" s="6" t="s">
        <v>224</v>
      </c>
      <c r="C54" s="7" t="s">
        <v>11</v>
      </c>
      <c r="D54" s="8" t="b">
        <v>1</v>
      </c>
      <c r="E54" s="9" t="s">
        <v>225</v>
      </c>
      <c r="F54" s="10" t="s">
        <v>5</v>
      </c>
      <c r="G54" s="11" t="e">
        <f t="shared" ref="G54:G56" ca="1" si="72">_xludf.IFS(F54 = "Frecuente", 5, F54 = "Probable", 4, F54 = "Moderado", 3, F54 = "Bajo", 2, F54 = "Rara vez", 1)</f>
        <v>#NAME?</v>
      </c>
      <c r="H54" s="10" t="s">
        <v>26</v>
      </c>
      <c r="I54" s="7" t="e">
        <f t="shared" ref="I54:I56" ca="1" si="73">_xludf.IFS(H54 = "Crítico", 625, H54 = "Mayor", 125, H54 = "Moderado", 25, H54 = "Menor", 5, H54 = "Inferior", 1)</f>
        <v>#NAME?</v>
      </c>
      <c r="J54" s="12" t="e">
        <f t="shared" ref="J54:J56" ca="1" si="74">_xludf.IFS(K54 &lt;= 10, "Bajo", AND(K54 &gt; 10, K54 &lt;= 75), "Moderado", AND(K54 &gt; 75, K54 &lt;= 500), "Alto", AND(K54 &gt; 500, K54 &lt;= 3125), "Extremo")</f>
        <v>#NAME?</v>
      </c>
      <c r="K54" s="6" t="e">
        <f t="shared" ref="K54:K56" ca="1" si="75">G54*I54</f>
        <v>#NAME?</v>
      </c>
      <c r="L54" s="6" t="s">
        <v>226</v>
      </c>
      <c r="M54" s="6"/>
      <c r="N54" s="13">
        <v>0</v>
      </c>
      <c r="O54" s="14"/>
      <c r="P54" s="14"/>
      <c r="Q54" s="16"/>
      <c r="R54" s="17"/>
      <c r="S54" s="18" t="e">
        <f t="shared" ref="S54:S56" ca="1" si="76">_xludf.IFS(R54 = "Alta", 3, R54 = "Media", 2, R54 = "Baja", 1)</f>
        <v>#NAME?</v>
      </c>
      <c r="T54" s="19"/>
      <c r="U54" s="18" t="e">
        <f t="shared" ref="U54:U56" ca="1" si="77">_xludf.IFS(T54 = "Alta", 3, T54 = "Media", 2, T54 = "Baja", 1)</f>
        <v>#NAME?</v>
      </c>
      <c r="V54" s="17"/>
      <c r="W54" s="18" t="e">
        <f t="shared" ref="W54:W56" ca="1" si="78">_xludf.IFS(V54 = "Alta", 3, V54 = "Media", 2, V54 = "Baja", 1)</f>
        <v>#NAME?</v>
      </c>
      <c r="X54" s="20" t="e">
        <f t="shared" ref="X54:X56" ca="1" si="79">_xludf.IFS(Y54 &lt; 2, "Baja", AND(Y54 &gt;= 2, Y54 &lt;= 2.49), "Media", AND(Y54 &gt;= 2.5), "Alta")</f>
        <v>#NAME?</v>
      </c>
      <c r="Y54" s="21" t="e">
        <f t="shared" ref="Y54:Y56" ca="1" si="80">(N54 *0.25)+(S54*0.3)+(U54*0.3)+(W54*0.15)</f>
        <v>#NAME?</v>
      </c>
      <c r="Z54" s="7"/>
      <c r="AA54" s="7"/>
      <c r="AB54" s="6" t="s">
        <v>227</v>
      </c>
    </row>
    <row r="55" spans="1:28" ht="288" outlineLevel="1" x14ac:dyDescent="0.35">
      <c r="A55" s="36" t="s">
        <v>228</v>
      </c>
      <c r="B55" s="6" t="s">
        <v>229</v>
      </c>
      <c r="C55" s="7" t="s">
        <v>11</v>
      </c>
      <c r="D55" s="8" t="b">
        <v>1</v>
      </c>
      <c r="E55" s="9" t="s">
        <v>230</v>
      </c>
      <c r="F55" s="10" t="s">
        <v>5</v>
      </c>
      <c r="G55" s="11" t="e">
        <f t="shared" ca="1" si="72"/>
        <v>#NAME?</v>
      </c>
      <c r="H55" s="10" t="s">
        <v>14</v>
      </c>
      <c r="I55" s="7" t="e">
        <f t="shared" ca="1" si="73"/>
        <v>#NAME?</v>
      </c>
      <c r="J55" s="12" t="e">
        <f t="shared" ca="1" si="74"/>
        <v>#NAME?</v>
      </c>
      <c r="K55" s="6" t="e">
        <f t="shared" ca="1" si="75"/>
        <v>#NAME?</v>
      </c>
      <c r="L55" s="6" t="s">
        <v>231</v>
      </c>
      <c r="M55" s="6"/>
      <c r="N55" s="13">
        <v>0</v>
      </c>
      <c r="O55" s="14"/>
      <c r="P55" s="14"/>
      <c r="Q55" s="16"/>
      <c r="R55" s="17"/>
      <c r="S55" s="18" t="e">
        <f t="shared" ca="1" si="76"/>
        <v>#NAME?</v>
      </c>
      <c r="T55" s="19"/>
      <c r="U55" s="18" t="e">
        <f t="shared" ca="1" si="77"/>
        <v>#NAME?</v>
      </c>
      <c r="V55" s="17"/>
      <c r="W55" s="18" t="e">
        <f t="shared" ca="1" si="78"/>
        <v>#NAME?</v>
      </c>
      <c r="X55" s="20" t="e">
        <f t="shared" ca="1" si="79"/>
        <v>#NAME?</v>
      </c>
      <c r="Y55" s="21" t="e">
        <f t="shared" ca="1" si="80"/>
        <v>#NAME?</v>
      </c>
      <c r="Z55" s="7"/>
      <c r="AA55" s="7"/>
      <c r="AB55" s="6" t="s">
        <v>232</v>
      </c>
    </row>
    <row r="56" spans="1:28" ht="180" outlineLevel="1" x14ac:dyDescent="0.35">
      <c r="A56" s="36" t="s">
        <v>233</v>
      </c>
      <c r="B56" s="6" t="s">
        <v>234</v>
      </c>
      <c r="C56" s="7" t="s">
        <v>235</v>
      </c>
      <c r="D56" s="8" t="b">
        <v>0</v>
      </c>
      <c r="E56" s="9" t="s">
        <v>236</v>
      </c>
      <c r="F56" s="10" t="s">
        <v>5</v>
      </c>
      <c r="G56" s="11" t="e">
        <f t="shared" ca="1" si="72"/>
        <v>#NAME?</v>
      </c>
      <c r="H56" s="10" t="s">
        <v>14</v>
      </c>
      <c r="I56" s="7" t="e">
        <f t="shared" ca="1" si="73"/>
        <v>#NAME?</v>
      </c>
      <c r="J56" s="12" t="e">
        <f t="shared" ca="1" si="74"/>
        <v>#NAME?</v>
      </c>
      <c r="K56" s="6" t="e">
        <f t="shared" ca="1" si="75"/>
        <v>#NAME?</v>
      </c>
      <c r="L56" s="6"/>
      <c r="M56" s="6"/>
      <c r="N56" s="13">
        <v>0</v>
      </c>
      <c r="O56" s="14"/>
      <c r="P56" s="14"/>
      <c r="Q56" s="16"/>
      <c r="R56" s="17"/>
      <c r="S56" s="18" t="e">
        <f t="shared" ca="1" si="76"/>
        <v>#NAME?</v>
      </c>
      <c r="T56" s="19"/>
      <c r="U56" s="18" t="e">
        <f t="shared" ca="1" si="77"/>
        <v>#NAME?</v>
      </c>
      <c r="V56" s="17"/>
      <c r="W56" s="18" t="e">
        <f t="shared" ca="1" si="78"/>
        <v>#NAME?</v>
      </c>
      <c r="X56" s="20" t="e">
        <f t="shared" ca="1" si="79"/>
        <v>#NAME?</v>
      </c>
      <c r="Y56" s="21" t="e">
        <f t="shared" ca="1" si="80"/>
        <v>#NAME?</v>
      </c>
      <c r="Z56" s="7"/>
      <c r="AA56" s="7"/>
      <c r="AB56" s="6" t="s">
        <v>237</v>
      </c>
    </row>
    <row r="57" spans="1:28" ht="54" customHeight="1" x14ac:dyDescent="0.2">
      <c r="A57" s="34" t="s">
        <v>238</v>
      </c>
      <c r="B57" s="3" t="str">
        <f>CONCATENATE("Respuestas e incidencias: ",COUNTIF(B58:B65,"&lt;&gt;0"))</f>
        <v>Respuestas e incidencias: 8</v>
      </c>
      <c r="C57" s="2">
        <f>(COUNTIF(C58:C65,"Sí")*1 + COUNTIF(C58:C65, "Parcialmente")*0.5) / ((COUNTA(C58:C65) - (COUNTIF(C58:C65, "N/A") + COUNTIF(C58:C65, "N/E"))))</f>
        <v>8.3333333333333329E-2</v>
      </c>
      <c r="D57" s="3">
        <f>COUNTIF(D58:D65,"true")</f>
        <v>0</v>
      </c>
      <c r="E57" s="4"/>
      <c r="F57" s="3"/>
      <c r="G57" s="3"/>
      <c r="H57" s="3"/>
      <c r="I57" s="3"/>
      <c r="J57" s="3"/>
      <c r="K57" s="3"/>
      <c r="L57" s="3" t="str">
        <f ca="1">IFERROR(__xludf.DUMMYFUNCTION("CONCATENATE(""Cantidad de notas: "", COUNTIF(FLATTEN(SPLIT(TEXTJOIN(CHAR(10), TRUE, M62:M63), CHAR(10))), ""*-?*""))"),"Cantidad de notas: 0")</f>
        <v>Cantidad de notas: 0</v>
      </c>
      <c r="M57" s="3"/>
      <c r="N57" s="3">
        <f>SUM(N58:N65)</f>
        <v>0</v>
      </c>
      <c r="O57" s="5">
        <f>MIN(O58:O65)</f>
        <v>0</v>
      </c>
      <c r="P57" s="5">
        <f>MAX(P58:P65)</f>
        <v>0</v>
      </c>
      <c r="Q57" s="5"/>
      <c r="R57" s="5"/>
      <c r="S57" s="5"/>
      <c r="T57" s="5"/>
      <c r="U57" s="5"/>
      <c r="V57" s="5"/>
      <c r="W57" s="5"/>
      <c r="X57" s="5"/>
      <c r="Y57" s="5"/>
      <c r="Z57" s="3" t="str">
        <f>CONCATENATE("GFourmis: ", COUNTIF(Z58:Z65, "GFourmis"), CHAR(10), "Cliente: ", COUNTIF(Z58:Z65, "Cliente"), CHAR(10), "Tercero: ", COUNTIF(Z58:Z65, "Tercero"))</f>
        <v>GFourmis: 0
Cliente: 0
Tercero: 0</v>
      </c>
      <c r="AA57" s="2" t="e">
        <f>(COUNTIF(AA58:AA65,"Sí")*1 + COUNTIF(AA58:AA65, "Parcialmente")*0.5) / ((COUNTA(AA58:AA65) - (COUNTIF(AA58:AA65, "N/A") + COUNTIF(AA58:AA65, "N/E"))))</f>
        <v>#DIV/0!</v>
      </c>
      <c r="AB57" s="3" t="str">
        <f ca="1">IFERROR(__xludf.DUMMYFUNCTION("CONCATENATE(""Cantidad de notas: "", COUNTIF(FLATTEN(SPLIT(TEXTJOIN(CHAR(10), TRUE, AC62:AC63), CHAR(10))), ""*-?*""))"),"Cantidad de notas: 0")</f>
        <v>Cantidad de notas: 0</v>
      </c>
    </row>
    <row r="58" spans="1:28" ht="144" outlineLevel="1" x14ac:dyDescent="0.35">
      <c r="A58" s="36" t="s">
        <v>239</v>
      </c>
      <c r="B58" s="6" t="s">
        <v>240</v>
      </c>
      <c r="C58" s="7" t="s">
        <v>19</v>
      </c>
      <c r="D58" s="8" t="b">
        <v>1</v>
      </c>
      <c r="E58" s="9" t="s">
        <v>241</v>
      </c>
      <c r="F58" s="10" t="s">
        <v>13</v>
      </c>
      <c r="G58" s="11" t="e">
        <f t="shared" ref="G58:G65" ca="1" si="81">_xludf.IFS(F58 = "Frecuente", 5, F58 = "Probable", 4, F58 = "Moderado", 3, F58 = "Bajo", 2, F58 = "Rara vez", 1)</f>
        <v>#NAME?</v>
      </c>
      <c r="H58" s="10" t="s">
        <v>14</v>
      </c>
      <c r="I58" s="7" t="e">
        <f t="shared" ref="I58:I65" ca="1" si="82">_xludf.IFS(H58 = "Crítico", 625, H58 = "Mayor", 125, H58 = "Moderado", 25, H58 = "Menor", 5, H58 = "Inferior", 1)</f>
        <v>#NAME?</v>
      </c>
      <c r="J58" s="12" t="e">
        <f t="shared" ref="J58:J65" ca="1" si="83">_xludf.IFS(K58 &lt;= 10, "Bajo", AND(K58 &gt; 10, K58 &lt;= 75), "Moderado", AND(K58 &gt; 75, K58 &lt;= 500), "Alto", AND(K58 &gt; 500, K58 &lt;= 3125), "Extremo")</f>
        <v>#NAME?</v>
      </c>
      <c r="K58" s="6" t="e">
        <f t="shared" ref="K58:K65" ca="1" si="84">G58*I58</f>
        <v>#NAME?</v>
      </c>
      <c r="L58" s="6" t="s">
        <v>242</v>
      </c>
      <c r="M58" s="6"/>
      <c r="N58" s="13">
        <v>0</v>
      </c>
      <c r="O58" s="14"/>
      <c r="P58" s="14"/>
      <c r="Q58" s="16"/>
      <c r="R58" s="17"/>
      <c r="S58" s="18" t="e">
        <f t="shared" ref="S58:S65" ca="1" si="85">_xludf.IFS(R58 = "Alta", 3, R58 = "Media", 2, R58 = "Baja", 1)</f>
        <v>#NAME?</v>
      </c>
      <c r="T58" s="19"/>
      <c r="U58" s="18" t="e">
        <f t="shared" ref="U58:U65" ca="1" si="86">_xludf.IFS(T58 = "Alta", 3, T58 = "Media", 2, T58 = "Baja", 1)</f>
        <v>#NAME?</v>
      </c>
      <c r="V58" s="17"/>
      <c r="W58" s="18" t="e">
        <f t="shared" ref="W58:W65" ca="1" si="87">_xludf.IFS(V58 = "Alta", 3, V58 = "Media", 2, V58 = "Baja", 1)</f>
        <v>#NAME?</v>
      </c>
      <c r="X58" s="20" t="e">
        <f t="shared" ref="X58:X65" ca="1" si="88">_xludf.IFS(Y58 &lt; 2, "Baja", AND(Y58 &gt;= 2, Y58 &lt;= 2.49), "Media", AND(Y58 &gt;= 2.5), "Alta")</f>
        <v>#NAME?</v>
      </c>
      <c r="Y58" s="21" t="e">
        <f t="shared" ref="Y58:Y65" ca="1" si="89">(N58 *0.25)+(S58*0.3)+(U58*0.3)+(W58*0.15)</f>
        <v>#NAME?</v>
      </c>
      <c r="Z58" s="7"/>
      <c r="AA58" s="7"/>
      <c r="AB58" s="6" t="s">
        <v>243</v>
      </c>
    </row>
    <row r="59" spans="1:28" ht="144" outlineLevel="1" x14ac:dyDescent="0.35">
      <c r="A59" s="36" t="s">
        <v>244</v>
      </c>
      <c r="B59" s="6" t="s">
        <v>245</v>
      </c>
      <c r="C59" s="7" t="s">
        <v>19</v>
      </c>
      <c r="D59" s="8" t="b">
        <v>1</v>
      </c>
      <c r="E59" s="9" t="s">
        <v>246</v>
      </c>
      <c r="F59" s="10" t="s">
        <v>13</v>
      </c>
      <c r="G59" s="11" t="e">
        <f t="shared" ca="1" si="81"/>
        <v>#NAME?</v>
      </c>
      <c r="H59" s="10" t="s">
        <v>14</v>
      </c>
      <c r="I59" s="7" t="e">
        <f t="shared" ca="1" si="82"/>
        <v>#NAME?</v>
      </c>
      <c r="J59" s="12" t="e">
        <f t="shared" ca="1" si="83"/>
        <v>#NAME?</v>
      </c>
      <c r="K59" s="6" t="e">
        <f t="shared" ca="1" si="84"/>
        <v>#NAME?</v>
      </c>
      <c r="L59" s="6" t="s">
        <v>247</v>
      </c>
      <c r="M59" s="6"/>
      <c r="N59" s="13">
        <v>0</v>
      </c>
      <c r="O59" s="14"/>
      <c r="P59" s="14"/>
      <c r="Q59" s="16"/>
      <c r="R59" s="17"/>
      <c r="S59" s="18" t="e">
        <f t="shared" ca="1" si="85"/>
        <v>#NAME?</v>
      </c>
      <c r="T59" s="19"/>
      <c r="U59" s="18" t="e">
        <f t="shared" ca="1" si="86"/>
        <v>#NAME?</v>
      </c>
      <c r="V59" s="17"/>
      <c r="W59" s="18" t="e">
        <f t="shared" ca="1" si="87"/>
        <v>#NAME?</v>
      </c>
      <c r="X59" s="20" t="e">
        <f t="shared" ca="1" si="88"/>
        <v>#NAME?</v>
      </c>
      <c r="Y59" s="21" t="e">
        <f t="shared" ca="1" si="89"/>
        <v>#NAME?</v>
      </c>
      <c r="Z59" s="7"/>
      <c r="AA59" s="7"/>
      <c r="AB59" s="6" t="s">
        <v>248</v>
      </c>
    </row>
    <row r="60" spans="1:28" ht="162" outlineLevel="1" x14ac:dyDescent="0.35">
      <c r="A60" s="36" t="s">
        <v>249</v>
      </c>
      <c r="B60" s="6" t="s">
        <v>250</v>
      </c>
      <c r="C60" s="7" t="s">
        <v>19</v>
      </c>
      <c r="D60" s="8" t="b">
        <v>1</v>
      </c>
      <c r="E60" s="9" t="s">
        <v>251</v>
      </c>
      <c r="F60" s="10" t="s">
        <v>13</v>
      </c>
      <c r="G60" s="11" t="e">
        <f t="shared" ca="1" si="81"/>
        <v>#NAME?</v>
      </c>
      <c r="H60" s="10" t="s">
        <v>26</v>
      </c>
      <c r="I60" s="7" t="e">
        <f t="shared" ca="1" si="82"/>
        <v>#NAME?</v>
      </c>
      <c r="J60" s="12" t="e">
        <f t="shared" ca="1" si="83"/>
        <v>#NAME?</v>
      </c>
      <c r="K60" s="6" t="e">
        <f t="shared" ca="1" si="84"/>
        <v>#NAME?</v>
      </c>
      <c r="L60" s="6" t="s">
        <v>252</v>
      </c>
      <c r="M60" s="6"/>
      <c r="N60" s="13">
        <v>0</v>
      </c>
      <c r="O60" s="14"/>
      <c r="P60" s="14"/>
      <c r="Q60" s="16"/>
      <c r="R60" s="17"/>
      <c r="S60" s="18" t="e">
        <f t="shared" ca="1" si="85"/>
        <v>#NAME?</v>
      </c>
      <c r="T60" s="19"/>
      <c r="U60" s="18" t="e">
        <f t="shared" ca="1" si="86"/>
        <v>#NAME?</v>
      </c>
      <c r="V60" s="17"/>
      <c r="W60" s="18" t="e">
        <f t="shared" ca="1" si="87"/>
        <v>#NAME?</v>
      </c>
      <c r="X60" s="20" t="e">
        <f t="shared" ca="1" si="88"/>
        <v>#NAME?</v>
      </c>
      <c r="Y60" s="21" t="e">
        <f t="shared" ca="1" si="89"/>
        <v>#NAME?</v>
      </c>
      <c r="Z60" s="7"/>
      <c r="AA60" s="7"/>
      <c r="AB60" s="6" t="s">
        <v>253</v>
      </c>
    </row>
    <row r="61" spans="1:28" ht="144" outlineLevel="1" x14ac:dyDescent="0.35">
      <c r="A61" s="36" t="s">
        <v>254</v>
      </c>
      <c r="B61" s="6" t="s">
        <v>255</v>
      </c>
      <c r="C61" s="7" t="s">
        <v>116</v>
      </c>
      <c r="D61" s="8" t="b">
        <v>0</v>
      </c>
      <c r="E61" s="9" t="s">
        <v>256</v>
      </c>
      <c r="F61" s="10" t="s">
        <v>6</v>
      </c>
      <c r="G61" s="11" t="e">
        <f t="shared" ca="1" si="81"/>
        <v>#NAME?</v>
      </c>
      <c r="H61" s="10" t="s">
        <v>14</v>
      </c>
      <c r="I61" s="7" t="e">
        <f t="shared" ca="1" si="82"/>
        <v>#NAME?</v>
      </c>
      <c r="J61" s="12" t="e">
        <f t="shared" ca="1" si="83"/>
        <v>#NAME?</v>
      </c>
      <c r="K61" s="6" t="e">
        <f t="shared" ca="1" si="84"/>
        <v>#NAME?</v>
      </c>
      <c r="L61" s="6"/>
      <c r="M61" s="6"/>
      <c r="N61" s="13">
        <v>0</v>
      </c>
      <c r="O61" s="14"/>
      <c r="P61" s="14"/>
      <c r="Q61" s="16"/>
      <c r="R61" s="17"/>
      <c r="S61" s="18" t="e">
        <f t="shared" ca="1" si="85"/>
        <v>#NAME?</v>
      </c>
      <c r="T61" s="19"/>
      <c r="U61" s="18" t="e">
        <f t="shared" ca="1" si="86"/>
        <v>#NAME?</v>
      </c>
      <c r="V61" s="17"/>
      <c r="W61" s="18" t="e">
        <f t="shared" ca="1" si="87"/>
        <v>#NAME?</v>
      </c>
      <c r="X61" s="20" t="e">
        <f t="shared" ca="1" si="88"/>
        <v>#NAME?</v>
      </c>
      <c r="Y61" s="21" t="e">
        <f t="shared" ca="1" si="89"/>
        <v>#NAME?</v>
      </c>
      <c r="Z61" s="7"/>
      <c r="AA61" s="7"/>
      <c r="AB61" s="6" t="s">
        <v>257</v>
      </c>
    </row>
    <row r="62" spans="1:28" ht="144" outlineLevel="1" x14ac:dyDescent="0.35">
      <c r="A62" s="36" t="s">
        <v>258</v>
      </c>
      <c r="B62" s="6" t="s">
        <v>259</v>
      </c>
      <c r="C62" s="7" t="s">
        <v>19</v>
      </c>
      <c r="D62" s="8" t="b">
        <v>1</v>
      </c>
      <c r="E62" s="9" t="s">
        <v>260</v>
      </c>
      <c r="F62" s="10" t="s">
        <v>13</v>
      </c>
      <c r="G62" s="11" t="e">
        <f t="shared" ca="1" si="81"/>
        <v>#NAME?</v>
      </c>
      <c r="H62" s="10" t="s">
        <v>14</v>
      </c>
      <c r="I62" s="7" t="e">
        <f t="shared" ca="1" si="82"/>
        <v>#NAME?</v>
      </c>
      <c r="J62" s="12" t="e">
        <f t="shared" ca="1" si="83"/>
        <v>#NAME?</v>
      </c>
      <c r="K62" s="6" t="e">
        <f t="shared" ca="1" si="84"/>
        <v>#NAME?</v>
      </c>
      <c r="L62" s="6" t="s">
        <v>261</v>
      </c>
      <c r="M62" s="6"/>
      <c r="N62" s="13">
        <v>0</v>
      </c>
      <c r="O62" s="14"/>
      <c r="P62" s="14"/>
      <c r="Q62" s="16"/>
      <c r="R62" s="17"/>
      <c r="S62" s="18" t="e">
        <f t="shared" ca="1" si="85"/>
        <v>#NAME?</v>
      </c>
      <c r="T62" s="19"/>
      <c r="U62" s="18" t="e">
        <f t="shared" ca="1" si="86"/>
        <v>#NAME?</v>
      </c>
      <c r="V62" s="17"/>
      <c r="W62" s="18" t="e">
        <f t="shared" ca="1" si="87"/>
        <v>#NAME?</v>
      </c>
      <c r="X62" s="20" t="e">
        <f t="shared" ca="1" si="88"/>
        <v>#NAME?</v>
      </c>
      <c r="Y62" s="21" t="e">
        <f t="shared" ca="1" si="89"/>
        <v>#NAME?</v>
      </c>
      <c r="Z62" s="7"/>
      <c r="AA62" s="7"/>
      <c r="AB62" s="6" t="s">
        <v>262</v>
      </c>
    </row>
    <row r="63" spans="1:28" ht="198" outlineLevel="1" x14ac:dyDescent="0.35">
      <c r="A63" s="36" t="s">
        <v>263</v>
      </c>
      <c r="B63" s="6" t="s">
        <v>264</v>
      </c>
      <c r="C63" s="7" t="s">
        <v>11</v>
      </c>
      <c r="D63" s="8" t="b">
        <v>1</v>
      </c>
      <c r="E63" s="9" t="s">
        <v>265</v>
      </c>
      <c r="F63" s="10" t="s">
        <v>5</v>
      </c>
      <c r="G63" s="11" t="e">
        <f t="shared" ca="1" si="81"/>
        <v>#NAME?</v>
      </c>
      <c r="H63" s="10" t="s">
        <v>14</v>
      </c>
      <c r="I63" s="7" t="e">
        <f t="shared" ca="1" si="82"/>
        <v>#NAME?</v>
      </c>
      <c r="J63" s="12" t="e">
        <f t="shared" ca="1" si="83"/>
        <v>#NAME?</v>
      </c>
      <c r="K63" s="6" t="e">
        <f t="shared" ca="1" si="84"/>
        <v>#NAME?</v>
      </c>
      <c r="L63" s="6" t="s">
        <v>266</v>
      </c>
      <c r="M63" s="6"/>
      <c r="N63" s="13">
        <v>0</v>
      </c>
      <c r="O63" s="14"/>
      <c r="P63" s="14"/>
      <c r="Q63" s="16"/>
      <c r="R63" s="17"/>
      <c r="S63" s="18" t="e">
        <f t="shared" ca="1" si="85"/>
        <v>#NAME?</v>
      </c>
      <c r="T63" s="19"/>
      <c r="U63" s="18" t="e">
        <f t="shared" ca="1" si="86"/>
        <v>#NAME?</v>
      </c>
      <c r="V63" s="17"/>
      <c r="W63" s="18" t="e">
        <f t="shared" ca="1" si="87"/>
        <v>#NAME?</v>
      </c>
      <c r="X63" s="20" t="e">
        <f t="shared" ca="1" si="88"/>
        <v>#NAME?</v>
      </c>
      <c r="Y63" s="21" t="e">
        <f t="shared" ca="1" si="89"/>
        <v>#NAME?</v>
      </c>
      <c r="Z63" s="7"/>
      <c r="AA63" s="7"/>
      <c r="AB63" s="6" t="s">
        <v>267</v>
      </c>
    </row>
    <row r="64" spans="1:28" ht="198" outlineLevel="1" x14ac:dyDescent="0.35">
      <c r="A64" s="36" t="s">
        <v>268</v>
      </c>
      <c r="B64" s="6" t="s">
        <v>269</v>
      </c>
      <c r="C64" s="7" t="s">
        <v>116</v>
      </c>
      <c r="D64" s="8" t="b">
        <v>0</v>
      </c>
      <c r="E64" s="9" t="s">
        <v>270</v>
      </c>
      <c r="F64" s="10" t="s">
        <v>13</v>
      </c>
      <c r="G64" s="11" t="e">
        <f t="shared" ca="1" si="81"/>
        <v>#NAME?</v>
      </c>
      <c r="H64" s="10" t="s">
        <v>14</v>
      </c>
      <c r="I64" s="7" t="e">
        <f t="shared" ca="1" si="82"/>
        <v>#NAME?</v>
      </c>
      <c r="J64" s="12" t="e">
        <f t="shared" ca="1" si="83"/>
        <v>#NAME?</v>
      </c>
      <c r="K64" s="6" t="e">
        <f t="shared" ca="1" si="84"/>
        <v>#NAME?</v>
      </c>
      <c r="L64" s="6"/>
      <c r="M64" s="6"/>
      <c r="N64" s="13">
        <v>0</v>
      </c>
      <c r="O64" s="14"/>
      <c r="P64" s="14"/>
      <c r="Q64" s="16"/>
      <c r="R64" s="17"/>
      <c r="S64" s="18" t="e">
        <f t="shared" ca="1" si="85"/>
        <v>#NAME?</v>
      </c>
      <c r="T64" s="19"/>
      <c r="U64" s="18" t="e">
        <f t="shared" ca="1" si="86"/>
        <v>#NAME?</v>
      </c>
      <c r="V64" s="17"/>
      <c r="W64" s="18" t="e">
        <f t="shared" ca="1" si="87"/>
        <v>#NAME?</v>
      </c>
      <c r="X64" s="20" t="e">
        <f t="shared" ca="1" si="88"/>
        <v>#NAME?</v>
      </c>
      <c r="Y64" s="21" t="e">
        <f t="shared" ca="1" si="89"/>
        <v>#NAME?</v>
      </c>
      <c r="Z64" s="7"/>
      <c r="AA64" s="7"/>
      <c r="AB64" s="6" t="s">
        <v>271</v>
      </c>
    </row>
    <row r="65" spans="1:28" ht="144" outlineLevel="1" x14ac:dyDescent="0.35">
      <c r="A65" s="36" t="s">
        <v>272</v>
      </c>
      <c r="B65" s="6" t="s">
        <v>273</v>
      </c>
      <c r="C65" s="7" t="s">
        <v>19</v>
      </c>
      <c r="D65" s="8" t="b">
        <v>1</v>
      </c>
      <c r="E65" s="9" t="s">
        <v>274</v>
      </c>
      <c r="F65" s="10" t="s">
        <v>13</v>
      </c>
      <c r="G65" s="11" t="e">
        <f t="shared" ca="1" si="81"/>
        <v>#NAME?</v>
      </c>
      <c r="H65" s="10" t="s">
        <v>14</v>
      </c>
      <c r="I65" s="7" t="e">
        <f t="shared" ca="1" si="82"/>
        <v>#NAME?</v>
      </c>
      <c r="J65" s="12" t="e">
        <f t="shared" ca="1" si="83"/>
        <v>#NAME?</v>
      </c>
      <c r="K65" s="6" t="e">
        <f t="shared" ca="1" si="84"/>
        <v>#NAME?</v>
      </c>
      <c r="L65" s="6" t="s">
        <v>275</v>
      </c>
      <c r="M65" s="6"/>
      <c r="N65" s="13">
        <v>0</v>
      </c>
      <c r="O65" s="14"/>
      <c r="P65" s="14"/>
      <c r="Q65" s="16"/>
      <c r="R65" s="17"/>
      <c r="S65" s="18" t="e">
        <f t="shared" ca="1" si="85"/>
        <v>#NAME?</v>
      </c>
      <c r="T65" s="19"/>
      <c r="U65" s="18" t="e">
        <f t="shared" ca="1" si="86"/>
        <v>#NAME?</v>
      </c>
      <c r="V65" s="17"/>
      <c r="W65" s="18" t="e">
        <f t="shared" ca="1" si="87"/>
        <v>#NAME?</v>
      </c>
      <c r="X65" s="20" t="e">
        <f t="shared" ca="1" si="88"/>
        <v>#NAME?</v>
      </c>
      <c r="Y65" s="21" t="e">
        <f t="shared" ca="1" si="89"/>
        <v>#NAME?</v>
      </c>
      <c r="Z65" s="7"/>
      <c r="AA65" s="7"/>
      <c r="AB65" s="6" t="s">
        <v>276</v>
      </c>
    </row>
    <row r="66" spans="1:28" ht="54" customHeight="1" x14ac:dyDescent="0.2">
      <c r="A66" s="34" t="s">
        <v>277</v>
      </c>
      <c r="B66" s="3" t="str">
        <f>CONCATENATE("Seguridad de aplicaciónes: ",COUNTIF(B67:B74,"&lt;&gt;0"))</f>
        <v>Seguridad de aplicaciónes: 8</v>
      </c>
      <c r="C66" s="2">
        <f>(COUNTIF(C67:C74,"Sí")*1 + COUNTIF(C67:C74, "Parcialmente")*0.5) / ((COUNTA(C67:C74) - (COUNTIF(C67:C74, "N/A") + COUNTIF(C67:C74, "N/E"))))</f>
        <v>0.3</v>
      </c>
      <c r="D66" s="3">
        <f>COUNTIF(D67:D74,"true")</f>
        <v>0</v>
      </c>
      <c r="E66" s="4"/>
      <c r="F66" s="3"/>
      <c r="G66" s="3"/>
      <c r="H66" s="3"/>
      <c r="I66" s="3"/>
      <c r="J66" s="3"/>
      <c r="K66" s="3"/>
      <c r="L66" s="3" t="str">
        <f ca="1">IFERROR(__xludf.DUMMYFUNCTION("CONCATENATE(""Cantidad de notas: "", COUNTIF(FLATTEN(SPLIT(TEXTJOIN(CHAR(10), TRUE, M71:M78), CHAR(10))), ""*-?*""))"),"Cantidad de notas: 12")</f>
        <v>Cantidad de notas: 12</v>
      </c>
      <c r="M66" s="3"/>
      <c r="N66" s="3">
        <f>SUM(N67:N74)</f>
        <v>0</v>
      </c>
      <c r="O66" s="5">
        <f>MIN(O67:O74)</f>
        <v>0</v>
      </c>
      <c r="P66" s="5">
        <f>MAX(P67:P74)</f>
        <v>0</v>
      </c>
      <c r="Q66" s="5"/>
      <c r="R66" s="5"/>
      <c r="S66" s="5"/>
      <c r="T66" s="5"/>
      <c r="U66" s="5"/>
      <c r="V66" s="5"/>
      <c r="W66" s="5"/>
      <c r="X66" s="5"/>
      <c r="Y66" s="5"/>
      <c r="Z66" s="3" t="str">
        <f>CONCATENATE("GFourmis: ", COUNTIF(Z67:Z74, "GFourmis"), CHAR(10), "Cliente: ", COUNTIF(Z67:Z74, "Cliente"), CHAR(10), "Tercero: ", COUNTIF(Z67:Z74, "Tercero"))</f>
        <v>GFourmis: 0
Cliente: 0
Tercero: 0</v>
      </c>
      <c r="AA66" s="2" t="e">
        <f>(COUNTIF(AA67:AA74,"Sí")*1 + COUNTIF(AA67:AA74, "Parcialmente")*0.5) / ((COUNTA(AA67:AA74) - (COUNTIF(AA67:AA74, "N/A") + COUNTIF(AA67:AA74, "N/E"))))</f>
        <v>#DIV/0!</v>
      </c>
      <c r="AB66" s="3" t="str">
        <f ca="1">IFERROR(__xludf.DUMMYFUNCTION("CONCATENATE(""Cantidad de notas: "", COUNTIF(FLATTEN(SPLIT(TEXTJOIN(CHAR(10), TRUE, AC71:AC72), CHAR(10))), ""*-?*""))"),"Cantidad de notas: 0")</f>
        <v>Cantidad de notas: 0</v>
      </c>
    </row>
    <row r="67" spans="1:28" ht="180" outlineLevel="1" x14ac:dyDescent="0.35">
      <c r="A67" s="36" t="s">
        <v>278</v>
      </c>
      <c r="B67" s="6" t="s">
        <v>279</v>
      </c>
      <c r="C67" s="7" t="s">
        <v>11</v>
      </c>
      <c r="D67" s="8" t="b">
        <v>1</v>
      </c>
      <c r="E67" s="9" t="s">
        <v>280</v>
      </c>
      <c r="F67" s="10" t="s">
        <v>5</v>
      </c>
      <c r="G67" s="11" t="e">
        <f t="shared" ref="G67:G74" ca="1" si="90">_xludf.IFS(F67 = "Frecuente", 5, F67 = "Probable", 4, F67 = "Moderado", 3, F67 = "Bajo", 2, F67 = "Rara vez", 1)</f>
        <v>#NAME?</v>
      </c>
      <c r="H67" s="10" t="s">
        <v>14</v>
      </c>
      <c r="I67" s="7" t="e">
        <f t="shared" ref="I67:I74" ca="1" si="91">_xludf.IFS(H67 = "Crítico", 625, H67 = "Mayor", 125, H67 = "Moderado", 25, H67 = "Menor", 5, H67 = "Inferior", 1)</f>
        <v>#NAME?</v>
      </c>
      <c r="J67" s="12" t="e">
        <f t="shared" ref="J67:J74" ca="1" si="92">_xludf.IFS(K67 &lt;= 10, "Bajo", AND(K67 &gt; 10, K67 &lt;= 75), "Moderado", AND(K67 &gt; 75, K67 &lt;= 500), "Alto", AND(K67 &gt; 500, K67 &lt;= 3125), "Extremo")</f>
        <v>#NAME?</v>
      </c>
      <c r="K67" s="6" t="e">
        <f t="shared" ref="K67:K74" ca="1" si="93">G67*I67</f>
        <v>#NAME?</v>
      </c>
      <c r="L67" s="32" t="s">
        <v>281</v>
      </c>
      <c r="M67" s="32"/>
      <c r="N67" s="13">
        <v>0</v>
      </c>
      <c r="O67" s="14"/>
      <c r="P67" s="14"/>
      <c r="Q67" s="16"/>
      <c r="R67" s="17"/>
      <c r="S67" s="18" t="e">
        <f t="shared" ref="S67:S74" ca="1" si="94">_xludf.IFS(R67 = "Alta", 3, R67 = "Media", 2, R67 = "Baja", 1)</f>
        <v>#NAME?</v>
      </c>
      <c r="T67" s="19"/>
      <c r="U67" s="18" t="e">
        <f t="shared" ref="U67:U74" ca="1" si="95">_xludf.IFS(T67 = "Alta", 3, T67 = "Media", 2, T67 = "Baja", 1)</f>
        <v>#NAME?</v>
      </c>
      <c r="V67" s="17"/>
      <c r="W67" s="18" t="e">
        <f t="shared" ref="W67:W74" ca="1" si="96">_xludf.IFS(V67 = "Alta", 3, V67 = "Media", 2, V67 = "Baja", 1)</f>
        <v>#NAME?</v>
      </c>
      <c r="X67" s="20" t="e">
        <f t="shared" ref="X67:X74" ca="1" si="97">_xludf.IFS(Y67 &lt; 2, "Baja", AND(Y67 &gt;= 2, Y67 &lt;= 2.49), "Media", AND(Y67 &gt;= 2.5), "Alta")</f>
        <v>#NAME?</v>
      </c>
      <c r="Y67" s="21" t="e">
        <f t="shared" ref="Y67:Y74" ca="1" si="98">(N67 *0.25)+(S67*0.3)+(U67*0.3)+(W67*0.15)</f>
        <v>#NAME?</v>
      </c>
      <c r="Z67" s="7"/>
      <c r="AA67" s="7"/>
      <c r="AB67" s="6" t="s">
        <v>282</v>
      </c>
    </row>
    <row r="68" spans="1:28" ht="162" outlineLevel="1" x14ac:dyDescent="0.35">
      <c r="A68" s="36" t="s">
        <v>283</v>
      </c>
      <c r="B68" s="6" t="s">
        <v>284</v>
      </c>
      <c r="C68" s="7" t="s">
        <v>11</v>
      </c>
      <c r="D68" s="8" t="b">
        <v>1</v>
      </c>
      <c r="E68" s="9" t="s">
        <v>285</v>
      </c>
      <c r="F68" s="10" t="s">
        <v>5</v>
      </c>
      <c r="G68" s="11" t="e">
        <f t="shared" ca="1" si="90"/>
        <v>#NAME?</v>
      </c>
      <c r="H68" s="10" t="s">
        <v>14</v>
      </c>
      <c r="I68" s="7" t="e">
        <f t="shared" ca="1" si="91"/>
        <v>#NAME?</v>
      </c>
      <c r="J68" s="12" t="e">
        <f t="shared" ca="1" si="92"/>
        <v>#NAME?</v>
      </c>
      <c r="K68" s="6" t="e">
        <f t="shared" ca="1" si="93"/>
        <v>#NAME?</v>
      </c>
      <c r="L68" s="32" t="s">
        <v>286</v>
      </c>
      <c r="M68" s="6"/>
      <c r="N68" s="13">
        <v>0</v>
      </c>
      <c r="O68" s="14"/>
      <c r="P68" s="14"/>
      <c r="Q68" s="16"/>
      <c r="R68" s="17"/>
      <c r="S68" s="18" t="e">
        <f t="shared" ca="1" si="94"/>
        <v>#NAME?</v>
      </c>
      <c r="T68" s="19"/>
      <c r="U68" s="18" t="e">
        <f t="shared" ca="1" si="95"/>
        <v>#NAME?</v>
      </c>
      <c r="V68" s="17"/>
      <c r="W68" s="18" t="e">
        <f t="shared" ca="1" si="96"/>
        <v>#NAME?</v>
      </c>
      <c r="X68" s="20" t="e">
        <f t="shared" ca="1" si="97"/>
        <v>#NAME?</v>
      </c>
      <c r="Y68" s="21" t="e">
        <f t="shared" ca="1" si="98"/>
        <v>#NAME?</v>
      </c>
      <c r="Z68" s="7"/>
      <c r="AA68" s="7"/>
      <c r="AB68" s="6" t="s">
        <v>287</v>
      </c>
    </row>
    <row r="69" spans="1:28" ht="162" outlineLevel="1" x14ac:dyDescent="0.35">
      <c r="A69" s="36" t="s">
        <v>288</v>
      </c>
      <c r="B69" s="6" t="s">
        <v>289</v>
      </c>
      <c r="C69" s="7" t="s">
        <v>235</v>
      </c>
      <c r="D69" s="8" t="b">
        <v>0</v>
      </c>
      <c r="E69" s="9" t="s">
        <v>290</v>
      </c>
      <c r="F69" s="10" t="s">
        <v>5</v>
      </c>
      <c r="G69" s="11" t="e">
        <f t="shared" ca="1" si="90"/>
        <v>#NAME?</v>
      </c>
      <c r="H69" s="10" t="s">
        <v>14</v>
      </c>
      <c r="I69" s="7" t="e">
        <f t="shared" ca="1" si="91"/>
        <v>#NAME?</v>
      </c>
      <c r="J69" s="12" t="e">
        <f t="shared" ca="1" si="92"/>
        <v>#NAME?</v>
      </c>
      <c r="K69" s="6" t="e">
        <f t="shared" ca="1" si="93"/>
        <v>#NAME?</v>
      </c>
      <c r="L69" s="32"/>
      <c r="M69" s="32"/>
      <c r="N69" s="13">
        <v>0</v>
      </c>
      <c r="O69" s="14"/>
      <c r="P69" s="14"/>
      <c r="Q69" s="16"/>
      <c r="R69" s="17"/>
      <c r="S69" s="18" t="e">
        <f t="shared" ca="1" si="94"/>
        <v>#NAME?</v>
      </c>
      <c r="T69" s="19"/>
      <c r="U69" s="18" t="e">
        <f t="shared" ca="1" si="95"/>
        <v>#NAME?</v>
      </c>
      <c r="V69" s="17"/>
      <c r="W69" s="18" t="e">
        <f t="shared" ca="1" si="96"/>
        <v>#NAME?</v>
      </c>
      <c r="X69" s="20" t="e">
        <f t="shared" ca="1" si="97"/>
        <v>#NAME?</v>
      </c>
      <c r="Y69" s="21" t="e">
        <f t="shared" ca="1" si="98"/>
        <v>#NAME?</v>
      </c>
      <c r="Z69" s="7"/>
      <c r="AA69" s="7"/>
      <c r="AB69" s="6" t="s">
        <v>291</v>
      </c>
    </row>
    <row r="70" spans="1:28" ht="180" outlineLevel="1" x14ac:dyDescent="0.35">
      <c r="A70" s="36" t="s">
        <v>292</v>
      </c>
      <c r="B70" s="6" t="s">
        <v>293</v>
      </c>
      <c r="C70" s="7" t="s">
        <v>235</v>
      </c>
      <c r="D70" s="8" t="b">
        <v>0</v>
      </c>
      <c r="E70" s="9" t="s">
        <v>294</v>
      </c>
      <c r="F70" s="10" t="s">
        <v>5</v>
      </c>
      <c r="G70" s="11" t="e">
        <f t="shared" ca="1" si="90"/>
        <v>#NAME?</v>
      </c>
      <c r="H70" s="10" t="s">
        <v>14</v>
      </c>
      <c r="I70" s="7" t="e">
        <f t="shared" ca="1" si="91"/>
        <v>#NAME?</v>
      </c>
      <c r="J70" s="12" t="e">
        <f t="shared" ca="1" si="92"/>
        <v>#NAME?</v>
      </c>
      <c r="K70" s="6" t="e">
        <f t="shared" ca="1" si="93"/>
        <v>#NAME?</v>
      </c>
      <c r="L70" s="32"/>
      <c r="M70" s="32"/>
      <c r="N70" s="13">
        <v>0</v>
      </c>
      <c r="O70" s="14"/>
      <c r="P70" s="14"/>
      <c r="Q70" s="16"/>
      <c r="R70" s="17"/>
      <c r="S70" s="18" t="e">
        <f t="shared" ca="1" si="94"/>
        <v>#NAME?</v>
      </c>
      <c r="T70" s="19"/>
      <c r="U70" s="18" t="e">
        <f t="shared" ca="1" si="95"/>
        <v>#NAME?</v>
      </c>
      <c r="V70" s="17"/>
      <c r="W70" s="18" t="e">
        <f t="shared" ca="1" si="96"/>
        <v>#NAME?</v>
      </c>
      <c r="X70" s="20" t="e">
        <f t="shared" ca="1" si="97"/>
        <v>#NAME?</v>
      </c>
      <c r="Y70" s="21" t="e">
        <f t="shared" ca="1" si="98"/>
        <v>#NAME?</v>
      </c>
      <c r="Z70" s="7"/>
      <c r="AA70" s="7"/>
      <c r="AB70" s="6" t="s">
        <v>295</v>
      </c>
    </row>
    <row r="71" spans="1:28" ht="162" outlineLevel="1" x14ac:dyDescent="0.35">
      <c r="A71" s="36" t="s">
        <v>296</v>
      </c>
      <c r="B71" s="6" t="s">
        <v>297</v>
      </c>
      <c r="C71" s="7" t="s">
        <v>19</v>
      </c>
      <c r="D71" s="8" t="b">
        <v>1</v>
      </c>
      <c r="E71" s="9" t="s">
        <v>298</v>
      </c>
      <c r="F71" s="10" t="s">
        <v>6</v>
      </c>
      <c r="G71" s="11" t="e">
        <f t="shared" ca="1" si="90"/>
        <v>#NAME?</v>
      </c>
      <c r="H71" s="10" t="s">
        <v>14</v>
      </c>
      <c r="I71" s="7" t="e">
        <f t="shared" ca="1" si="91"/>
        <v>#NAME?</v>
      </c>
      <c r="J71" s="12" t="e">
        <f t="shared" ca="1" si="92"/>
        <v>#NAME?</v>
      </c>
      <c r="K71" s="6" t="e">
        <f t="shared" ca="1" si="93"/>
        <v>#NAME?</v>
      </c>
      <c r="L71" s="32" t="s">
        <v>299</v>
      </c>
      <c r="M71" s="32"/>
      <c r="N71" s="13">
        <v>0</v>
      </c>
      <c r="O71" s="14"/>
      <c r="P71" s="14"/>
      <c r="Q71" s="16"/>
      <c r="R71" s="17"/>
      <c r="S71" s="18" t="e">
        <f t="shared" ca="1" si="94"/>
        <v>#NAME?</v>
      </c>
      <c r="T71" s="19"/>
      <c r="U71" s="18" t="e">
        <f t="shared" ca="1" si="95"/>
        <v>#NAME?</v>
      </c>
      <c r="V71" s="17"/>
      <c r="W71" s="18" t="e">
        <f t="shared" ca="1" si="96"/>
        <v>#NAME?</v>
      </c>
      <c r="X71" s="20" t="e">
        <f t="shared" ca="1" si="97"/>
        <v>#NAME?</v>
      </c>
      <c r="Y71" s="21" t="e">
        <f t="shared" ca="1" si="98"/>
        <v>#NAME?</v>
      </c>
      <c r="Z71" s="7"/>
      <c r="AA71" s="7"/>
      <c r="AB71" s="6" t="s">
        <v>300</v>
      </c>
    </row>
    <row r="72" spans="1:28" ht="270" outlineLevel="1" x14ac:dyDescent="0.35">
      <c r="A72" s="36" t="s">
        <v>301</v>
      </c>
      <c r="B72" s="6" t="s">
        <v>302</v>
      </c>
      <c r="C72" s="7" t="s">
        <v>11</v>
      </c>
      <c r="D72" s="8" t="b">
        <v>1</v>
      </c>
      <c r="E72" s="9" t="s">
        <v>303</v>
      </c>
      <c r="F72" s="10" t="s">
        <v>5</v>
      </c>
      <c r="G72" s="11" t="e">
        <f t="shared" ca="1" si="90"/>
        <v>#NAME?</v>
      </c>
      <c r="H72" s="10" t="s">
        <v>6</v>
      </c>
      <c r="I72" s="7" t="e">
        <f t="shared" ca="1" si="91"/>
        <v>#NAME?</v>
      </c>
      <c r="J72" s="12" t="e">
        <f t="shared" ca="1" si="92"/>
        <v>#NAME?</v>
      </c>
      <c r="K72" s="6" t="e">
        <f t="shared" ca="1" si="93"/>
        <v>#NAME?</v>
      </c>
      <c r="L72" s="32" t="s">
        <v>304</v>
      </c>
      <c r="M72" s="32"/>
      <c r="N72" s="13">
        <v>0</v>
      </c>
      <c r="O72" s="14"/>
      <c r="P72" s="14"/>
      <c r="Q72" s="16"/>
      <c r="R72" s="17"/>
      <c r="S72" s="18" t="e">
        <f t="shared" ca="1" si="94"/>
        <v>#NAME?</v>
      </c>
      <c r="T72" s="19"/>
      <c r="U72" s="18" t="e">
        <f t="shared" ca="1" si="95"/>
        <v>#NAME?</v>
      </c>
      <c r="V72" s="17"/>
      <c r="W72" s="18" t="e">
        <f t="shared" ca="1" si="96"/>
        <v>#NAME?</v>
      </c>
      <c r="X72" s="20" t="e">
        <f t="shared" ca="1" si="97"/>
        <v>#NAME?</v>
      </c>
      <c r="Y72" s="21" t="e">
        <f t="shared" ca="1" si="98"/>
        <v>#NAME?</v>
      </c>
      <c r="Z72" s="7"/>
      <c r="AA72" s="7"/>
      <c r="AB72" s="6" t="s">
        <v>305</v>
      </c>
    </row>
    <row r="73" spans="1:28" ht="180" outlineLevel="1" x14ac:dyDescent="0.35">
      <c r="A73" s="36" t="s">
        <v>306</v>
      </c>
      <c r="B73" s="6" t="s">
        <v>307</v>
      </c>
      <c r="C73" s="7" t="s">
        <v>19</v>
      </c>
      <c r="D73" s="8" t="b">
        <v>1</v>
      </c>
      <c r="E73" s="9" t="s">
        <v>308</v>
      </c>
      <c r="F73" s="10" t="s">
        <v>13</v>
      </c>
      <c r="G73" s="11" t="e">
        <f t="shared" ca="1" si="90"/>
        <v>#NAME?</v>
      </c>
      <c r="H73" s="10" t="s">
        <v>6</v>
      </c>
      <c r="I73" s="7" t="e">
        <f t="shared" ca="1" si="91"/>
        <v>#NAME?</v>
      </c>
      <c r="J73" s="12" t="e">
        <f t="shared" ca="1" si="92"/>
        <v>#NAME?</v>
      </c>
      <c r="K73" s="6" t="e">
        <f t="shared" ca="1" si="93"/>
        <v>#NAME?</v>
      </c>
      <c r="L73" s="32" t="s">
        <v>309</v>
      </c>
      <c r="M73" s="32"/>
      <c r="N73" s="13">
        <v>0</v>
      </c>
      <c r="O73" s="14"/>
      <c r="P73" s="14"/>
      <c r="Q73" s="16"/>
      <c r="R73" s="17"/>
      <c r="S73" s="18" t="e">
        <f t="shared" ca="1" si="94"/>
        <v>#NAME?</v>
      </c>
      <c r="T73" s="19"/>
      <c r="U73" s="18" t="e">
        <f t="shared" ca="1" si="95"/>
        <v>#NAME?</v>
      </c>
      <c r="V73" s="17"/>
      <c r="W73" s="18" t="e">
        <f t="shared" ca="1" si="96"/>
        <v>#NAME?</v>
      </c>
      <c r="X73" s="20" t="e">
        <f t="shared" ca="1" si="97"/>
        <v>#NAME?</v>
      </c>
      <c r="Y73" s="21" t="e">
        <f t="shared" ca="1" si="98"/>
        <v>#NAME?</v>
      </c>
      <c r="Z73" s="7"/>
      <c r="AA73" s="7"/>
      <c r="AB73" s="6" t="s">
        <v>310</v>
      </c>
    </row>
    <row r="74" spans="1:28" ht="162" outlineLevel="1" x14ac:dyDescent="0.35">
      <c r="A74" s="36" t="s">
        <v>311</v>
      </c>
      <c r="B74" s="6" t="s">
        <v>312</v>
      </c>
      <c r="C74" s="7" t="s">
        <v>235</v>
      </c>
      <c r="D74" s="8" t="b">
        <v>0</v>
      </c>
      <c r="E74" s="9" t="s">
        <v>313</v>
      </c>
      <c r="F74" s="10" t="s">
        <v>6</v>
      </c>
      <c r="G74" s="11" t="e">
        <f t="shared" ca="1" si="90"/>
        <v>#NAME?</v>
      </c>
      <c r="H74" s="10" t="s">
        <v>14</v>
      </c>
      <c r="I74" s="7" t="e">
        <f t="shared" ca="1" si="91"/>
        <v>#NAME?</v>
      </c>
      <c r="J74" s="12" t="e">
        <f t="shared" ca="1" si="92"/>
        <v>#NAME?</v>
      </c>
      <c r="K74" s="6" t="e">
        <f t="shared" ca="1" si="93"/>
        <v>#NAME?</v>
      </c>
      <c r="L74" s="32"/>
      <c r="M74" s="32"/>
      <c r="N74" s="13">
        <v>0</v>
      </c>
      <c r="O74" s="14"/>
      <c r="P74" s="14"/>
      <c r="Q74" s="16"/>
      <c r="R74" s="17"/>
      <c r="S74" s="18" t="e">
        <f t="shared" ca="1" si="94"/>
        <v>#NAME?</v>
      </c>
      <c r="T74" s="19"/>
      <c r="U74" s="18" t="e">
        <f t="shared" ca="1" si="95"/>
        <v>#NAME?</v>
      </c>
      <c r="V74" s="17"/>
      <c r="W74" s="18" t="e">
        <f t="shared" ca="1" si="96"/>
        <v>#NAME?</v>
      </c>
      <c r="X74" s="20" t="e">
        <f t="shared" ca="1" si="97"/>
        <v>#NAME?</v>
      </c>
      <c r="Y74" s="21" t="e">
        <f t="shared" ca="1" si="98"/>
        <v>#NAME?</v>
      </c>
      <c r="Z74" s="7"/>
      <c r="AA74" s="7"/>
      <c r="AB74" s="6" t="s">
        <v>314</v>
      </c>
    </row>
    <row r="75" spans="1:28" ht="54" outlineLevel="1" x14ac:dyDescent="0.2">
      <c r="A75" s="35" t="s">
        <v>315</v>
      </c>
      <c r="B75" s="3" t="str">
        <f>CONCATENATE("Total acciones: ", (COUNTIF(B2:B9,"&lt;&gt;0") + COUNTIF(B11:B16,"&lt;&gt;0") + COUNTIF(B18:B26,"&lt;&gt;0") + COUNTIF(B28:B31,"&lt;&gt;0") + COUNTIF(B33:B36,"&lt;&gt;0") + COUNTIF(B38:B42,"&lt;&gt;0") + COUNTIF(B44:B47,"&lt;&gt;0") + COUNTIF(B49:B52,"&lt;&gt;0") + COUNTIF(B54:B56,"&lt;&gt;0") + COUNTIF(B58:B65,"&lt;&gt;0") + COUNTIF(B67:B74,"&lt;&gt;0")))</f>
        <v>Total acciones: 63</v>
      </c>
      <c r="C75" s="2">
        <f>SUM(C66,C57,C53,C48,C43,C37,C32,C27,C17,C10,C1)/11</f>
        <v>0.3503787878787879</v>
      </c>
      <c r="D75" s="3" t="str">
        <f>CONCATENATE("Total hallazgos: ",SUM(D66,D57,D53,D48,D43,D37,D32,D27,D17,D10,D1))</f>
        <v>Total hallazgos: 0</v>
      </c>
      <c r="E75" s="4"/>
      <c r="F75" s="3"/>
      <c r="G75" s="3"/>
      <c r="H75" s="3"/>
      <c r="I75" s="3"/>
      <c r="J75" s="3"/>
      <c r="K75" s="3"/>
      <c r="L75" s="3" t="str">
        <f ca="1">IFERROR(__xludf.DUMMYFUNCTION("CONCATENATE(""Cantidad de notas: "",
    COUNTIF(
      FLATTEN(
        SPLIT(
          TEXTJOIN(
            CHAR(10),
            TRUE,M6:M78
          ),
          CHAR(10)
        )
      ),
      ""*-?*""
    )
)"),"Cantidad de notas: 173")</f>
        <v>Cantidad de notas: 173</v>
      </c>
      <c r="M75" s="3"/>
      <c r="N75" s="3">
        <f>SUM(N66,N57,N53,N48,N43,N37,N32,N27,N17,N10,N1)</f>
        <v>0</v>
      </c>
      <c r="O75" s="27">
        <f>MIN(O1:O74)</f>
        <v>0</v>
      </c>
      <c r="P75" s="27">
        <f>MAX(P1:P74)</f>
        <v>0</v>
      </c>
      <c r="Q75" s="1"/>
      <c r="R75" s="1"/>
      <c r="S75" s="1"/>
      <c r="T75" s="1"/>
      <c r="U75" s="1"/>
      <c r="V75" s="1"/>
      <c r="W75" s="1"/>
      <c r="X75" s="1"/>
      <c r="Y75" s="1"/>
      <c r="Z75" s="3" t="str">
        <f>CONCATENATE("GFourmis: ", COUNTIF(Z2:Z74,"GFourmis"),CHAR(10), "Cliente: ", COUNTIF(Z2:Z74,"Cliente"),CHAR(10), "Tercero: ", COUNTIF(Z2:Z74,"Tercero"))</f>
        <v>GFourmis: 0
Cliente: 0
Tercero: 0</v>
      </c>
      <c r="AA75" s="2" t="e">
        <f>SUM(AA66,AA57,AA53,AA48,AA43,AA37,AA32,AA27,AA17,AA10,AA1)/10</f>
        <v>#DIV/0!</v>
      </c>
      <c r="AB75" s="3" t="str">
        <f ca="1">IFERROR(__xludf.DUMMYFUNCTION("CONCATENATE(""Cantidad de notas: "",
    COUNTIF(
      FLATTEN(
        SPLIT(
          TEXTJOIN(
            CHAR(10),
            TRUE,AC6:AC78
          ),
          CHAR(10)
        )
      ),
      ""*-?*""
    )
)"),"Cantidad de notas: 0")</f>
        <v>Cantidad de notas: 0</v>
      </c>
    </row>
  </sheetData>
  <autoFilter ref="A1:AB66" xr:uid="{00000000-0009-0000-0000-000000000000}"/>
  <dataValidations count="6">
    <dataValidation type="list" allowBlank="1" showErrorMessage="1" sqref="R2:R9 T2:T9 V2:V9 R11:R16 T11:T16 V11:V16 R18:R26 T18:T26 V18:V26 R28:R31 T28:T31 V28:V31 R33:R36 T33:T36 V33:V36 R38:R42 T38:T42 V38:V42 R44:R47 T44:T47 V44:V47 R49:R52 T49:T52 V49:V52 R54:R56 T54:T56 V54:V56 R58:R65 T58:T65 V58:V65 R67:R74 T67:T74 V67:V74" xr:uid="{00000000-0002-0000-0000-000000000000}">
      <formula1>"Alta,Media,Baja"</formula1>
    </dataValidation>
    <dataValidation type="list" allowBlank="1" showErrorMessage="1" sqref="Q2:Q9 Q11:Q16 Q18:Q26 Q28:Q31 Q33:Q36 Q38:Q42 Q44:Q47 Q49:Q52 Q54:Q56 Q58:Q65 Q67:Q74" xr:uid="{00000000-0002-0000-0000-000001000000}">
      <formula1>"Pendiente,Revisión,Ejecución,Completada,Planeado,No aplica,No es viable en esta iteración"</formula1>
    </dataValidation>
    <dataValidation type="list" allowBlank="1" showErrorMessage="1" sqref="F2:F9 F11:F16 F18:F26 F28:F31 F33:F36 F38:F42 F44:F47 F49:F52 F54:F56 F58:F65 F67:F74" xr:uid="{00000000-0002-0000-0000-000002000000}">
      <formula1>"Frecuente,Probable,Moderado,Bajo,Rara vez"</formula1>
    </dataValidation>
    <dataValidation type="list" allowBlank="1" showErrorMessage="1" sqref="H2:H9 H11:H16 H18:H26 H28:H31 H33:H36 H38:H42 H44:H47 H49:H52 H54:H56 H58:H65 H67:H74" xr:uid="{00000000-0002-0000-0000-000003000000}">
      <formula1>"Crítico,Mayor,Moderado,Menor,Inferior"</formula1>
    </dataValidation>
    <dataValidation type="list" allowBlank="1" showErrorMessage="1" sqref="C2:C9 AA2:AA9 C11:C16 AA11:AA16 C18:C26 AA18:AA26 C28:C31 AA28:AA31 C33:C36 AA33:AA36 C38:C42 AA38:AA42 C44:C47 AA44:AA47 C49:C52 AA49:AA52 C54:C56 AA54:AA56 C58:C65 AA58:AA65 C67:C74 AA67:AA74" xr:uid="{00000000-0002-0000-0000-000004000000}">
      <formula1>"Sí,No,Parcialmente,N/A,N/E"</formula1>
    </dataValidation>
    <dataValidation type="list" allowBlank="1" showErrorMessage="1" sqref="Z2:Z9 Z11:Z16 Z18:Z26 Z28:Z31 Z33:Z36 Z38:Z42 Z44:Z47 Z49:Z52 Z54:Z56 Z58:Z65 Z67:Z74" xr:uid="{00000000-0002-0000-0000-000005000000}">
      <formula1>"GFourmis,Cliente,Tercero"</formula1>
    </dataValidation>
  </dataValidations>
  <hyperlinks>
    <hyperlink ref="A1" r:id="rId1" xr:uid="{00000000-0004-0000-0000-000000000000}"/>
    <hyperlink ref="A2" r:id="rId2" xr:uid="{00000000-0004-0000-0000-000001000000}"/>
    <hyperlink ref="A3" r:id="rId3" xr:uid="{00000000-0004-0000-0000-000002000000}"/>
    <hyperlink ref="A4" r:id="rId4" xr:uid="{00000000-0004-0000-0000-000003000000}"/>
    <hyperlink ref="A5" r:id="rId5" xr:uid="{00000000-0004-0000-0000-000004000000}"/>
    <hyperlink ref="A6" r:id="rId6" xr:uid="{00000000-0004-0000-0000-000005000000}"/>
    <hyperlink ref="A7" r:id="rId7" xr:uid="{00000000-0004-0000-0000-000006000000}"/>
    <hyperlink ref="A8" r:id="rId8" xr:uid="{00000000-0004-0000-0000-000007000000}"/>
    <hyperlink ref="A9" r:id="rId9" xr:uid="{00000000-0004-0000-0000-000008000000}"/>
    <hyperlink ref="A10" r:id="rId10" xr:uid="{00000000-0004-0000-0000-000009000000}"/>
    <hyperlink ref="A11" r:id="rId11" xr:uid="{00000000-0004-0000-0000-00000A000000}"/>
    <hyperlink ref="A12" r:id="rId12" xr:uid="{00000000-0004-0000-0000-00000B000000}"/>
    <hyperlink ref="A13" r:id="rId13" xr:uid="{00000000-0004-0000-0000-00000C000000}"/>
    <hyperlink ref="A14" r:id="rId14" xr:uid="{00000000-0004-0000-0000-00000D000000}"/>
    <hyperlink ref="A15" r:id="rId15" xr:uid="{00000000-0004-0000-0000-00000E000000}"/>
    <hyperlink ref="A16" r:id="rId16" xr:uid="{00000000-0004-0000-0000-00000F000000}"/>
    <hyperlink ref="A17" r:id="rId17" xr:uid="{00000000-0004-0000-0000-000010000000}"/>
    <hyperlink ref="A18" r:id="rId18" xr:uid="{00000000-0004-0000-0000-000011000000}"/>
    <hyperlink ref="A19" r:id="rId19" xr:uid="{00000000-0004-0000-0000-000012000000}"/>
    <hyperlink ref="A20" r:id="rId20" xr:uid="{00000000-0004-0000-0000-000013000000}"/>
    <hyperlink ref="A21" r:id="rId21" xr:uid="{00000000-0004-0000-0000-000014000000}"/>
    <hyperlink ref="A22" r:id="rId22" xr:uid="{00000000-0004-0000-0000-000015000000}"/>
    <hyperlink ref="A23" r:id="rId23" xr:uid="{00000000-0004-0000-0000-000016000000}"/>
    <hyperlink ref="A24" r:id="rId24" xr:uid="{00000000-0004-0000-0000-000017000000}"/>
    <hyperlink ref="A25" r:id="rId25" xr:uid="{00000000-0004-0000-0000-000018000000}"/>
    <hyperlink ref="A26" r:id="rId26" xr:uid="{00000000-0004-0000-0000-000019000000}"/>
    <hyperlink ref="A27" r:id="rId27" xr:uid="{00000000-0004-0000-0000-00001A000000}"/>
    <hyperlink ref="A28" r:id="rId28" xr:uid="{00000000-0004-0000-0000-00001B000000}"/>
    <hyperlink ref="A29" r:id="rId29" xr:uid="{00000000-0004-0000-0000-00001C000000}"/>
    <hyperlink ref="A30" r:id="rId30" xr:uid="{00000000-0004-0000-0000-00001D000000}"/>
    <hyperlink ref="A31" r:id="rId31" xr:uid="{00000000-0004-0000-0000-00001E000000}"/>
    <hyperlink ref="A32" r:id="rId32" xr:uid="{00000000-0004-0000-0000-00001F000000}"/>
    <hyperlink ref="A33" r:id="rId33" xr:uid="{00000000-0004-0000-0000-000020000000}"/>
    <hyperlink ref="A34" r:id="rId34" xr:uid="{00000000-0004-0000-0000-000021000000}"/>
    <hyperlink ref="A35" r:id="rId35" xr:uid="{00000000-0004-0000-0000-000022000000}"/>
    <hyperlink ref="A36" r:id="rId36" xr:uid="{00000000-0004-0000-0000-000023000000}"/>
    <hyperlink ref="A37" r:id="rId37" xr:uid="{00000000-0004-0000-0000-000024000000}"/>
    <hyperlink ref="A38" r:id="rId38" xr:uid="{00000000-0004-0000-0000-000025000000}"/>
    <hyperlink ref="A39" r:id="rId39" xr:uid="{00000000-0004-0000-0000-000026000000}"/>
    <hyperlink ref="A40" r:id="rId40" xr:uid="{00000000-0004-0000-0000-000027000000}"/>
    <hyperlink ref="A41" r:id="rId41" xr:uid="{00000000-0004-0000-0000-000028000000}"/>
    <hyperlink ref="A42" r:id="rId42" xr:uid="{00000000-0004-0000-0000-000029000000}"/>
    <hyperlink ref="A43" r:id="rId43" xr:uid="{00000000-0004-0000-0000-00002A000000}"/>
    <hyperlink ref="A44" r:id="rId44" xr:uid="{00000000-0004-0000-0000-00002B000000}"/>
    <hyperlink ref="A45" r:id="rId45" xr:uid="{00000000-0004-0000-0000-00002C000000}"/>
    <hyperlink ref="A46" r:id="rId46" xr:uid="{00000000-0004-0000-0000-00002D000000}"/>
    <hyperlink ref="A47" r:id="rId47" xr:uid="{00000000-0004-0000-0000-00002E000000}"/>
    <hyperlink ref="A48" r:id="rId48" xr:uid="{00000000-0004-0000-0000-00002F000000}"/>
    <hyperlink ref="A49" r:id="rId49" xr:uid="{00000000-0004-0000-0000-000030000000}"/>
    <hyperlink ref="A50" r:id="rId50" xr:uid="{00000000-0004-0000-0000-000031000000}"/>
    <hyperlink ref="A51" r:id="rId51" xr:uid="{00000000-0004-0000-0000-000032000000}"/>
    <hyperlink ref="A52" r:id="rId52" xr:uid="{00000000-0004-0000-0000-000033000000}"/>
    <hyperlink ref="A53" r:id="rId53" xr:uid="{00000000-0004-0000-0000-000034000000}"/>
    <hyperlink ref="A54" r:id="rId54" xr:uid="{00000000-0004-0000-0000-000035000000}"/>
    <hyperlink ref="A55" r:id="rId55" xr:uid="{00000000-0004-0000-0000-000036000000}"/>
    <hyperlink ref="A56" r:id="rId56" xr:uid="{00000000-0004-0000-0000-000037000000}"/>
    <hyperlink ref="A57" r:id="rId57" xr:uid="{00000000-0004-0000-0000-000038000000}"/>
    <hyperlink ref="A58" r:id="rId58" xr:uid="{00000000-0004-0000-0000-000039000000}"/>
    <hyperlink ref="A59" r:id="rId59" xr:uid="{00000000-0004-0000-0000-00003A000000}"/>
    <hyperlink ref="A60" r:id="rId60" xr:uid="{00000000-0004-0000-0000-00003B000000}"/>
    <hyperlink ref="A61" r:id="rId61" xr:uid="{00000000-0004-0000-0000-00003C000000}"/>
    <hyperlink ref="A62" r:id="rId62" xr:uid="{00000000-0004-0000-0000-00003D000000}"/>
    <hyperlink ref="A63" r:id="rId63" xr:uid="{00000000-0004-0000-0000-00003E000000}"/>
    <hyperlink ref="A64" r:id="rId64" xr:uid="{00000000-0004-0000-0000-00003F000000}"/>
    <hyperlink ref="A65" r:id="rId65" xr:uid="{00000000-0004-0000-0000-000040000000}"/>
    <hyperlink ref="A66" r:id="rId66" xr:uid="{00000000-0004-0000-0000-000041000000}"/>
    <hyperlink ref="A67" r:id="rId67" xr:uid="{00000000-0004-0000-0000-000042000000}"/>
    <hyperlink ref="A68" r:id="rId68" xr:uid="{00000000-0004-0000-0000-000043000000}"/>
    <hyperlink ref="A69" r:id="rId69" xr:uid="{00000000-0004-0000-0000-000044000000}"/>
    <hyperlink ref="A70" r:id="rId70" xr:uid="{00000000-0004-0000-0000-000045000000}"/>
    <hyperlink ref="A71" r:id="rId71" xr:uid="{00000000-0004-0000-0000-000046000000}"/>
    <hyperlink ref="A72" r:id="rId72" xr:uid="{00000000-0004-0000-0000-000047000000}"/>
    <hyperlink ref="A73" r:id="rId73" xr:uid="{00000000-0004-0000-0000-000048000000}"/>
    <hyperlink ref="A74" r:id="rId74" xr:uid="{00000000-0004-0000-0000-000049000000}"/>
  </hyperlinks>
  <pageMargins left="0.7" right="0.7" top="0.75" bottom="0.75" header="0.3" footer="0.3"/>
  <legacyDrawing r:id="rId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B. Seguridad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FGT FONGRANTIERRA</cp:lastModifiedBy>
  <dcterms:modified xsi:type="dcterms:W3CDTF">2026-02-04T20:15:19Z</dcterms:modified>
</cp:coreProperties>
</file>