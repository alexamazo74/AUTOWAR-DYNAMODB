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AAM\GFourmis\ProjAutWAF\"/>
    </mc:Choice>
  </mc:AlternateContent>
  <xr:revisionPtr revIDLastSave="0" documentId="8_{D69E33B3-49B3-44EA-BB5C-822193D623FD}" xr6:coauthVersionLast="47" xr6:coauthVersionMax="47" xr10:uidLastSave="{00000000-0000-0000-0000-000000000000}"/>
  <bookViews>
    <workbookView xWindow="-120" yWindow="-120" windowWidth="38640" windowHeight="15720" xr2:uid="{9BA39763-A5FE-469F-9C98-A5FD4D23219A}"/>
  </bookViews>
  <sheets>
    <sheet name="Eficiencia del rendimiento"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U40" i="1" l="1"/>
  <c r="F40" i="1"/>
  <c r="B40" i="1"/>
  <c r="P39" i="1"/>
  <c r="N39" i="1"/>
  <c r="L39" i="1"/>
  <c r="R39" i="1" s="1"/>
  <c r="Q39" i="1" s="1"/>
  <c r="P38" i="1"/>
  <c r="N38" i="1"/>
  <c r="L38" i="1"/>
  <c r="R38" i="1" s="1"/>
  <c r="Q38" i="1" s="1"/>
  <c r="R37" i="1"/>
  <c r="Q37" i="1" s="1"/>
  <c r="P37" i="1"/>
  <c r="N37" i="1"/>
  <c r="L37" i="1"/>
  <c r="P36" i="1"/>
  <c r="N36" i="1"/>
  <c r="L36" i="1"/>
  <c r="R36" i="1" s="1"/>
  <c r="Q36" i="1" s="1"/>
  <c r="P35" i="1"/>
  <c r="N35" i="1"/>
  <c r="L35" i="1"/>
  <c r="R35" i="1" s="1"/>
  <c r="Q35" i="1" s="1"/>
  <c r="P34" i="1"/>
  <c r="N34" i="1"/>
  <c r="R34" i="1" s="1"/>
  <c r="Q34" i="1" s="1"/>
  <c r="L34" i="1"/>
  <c r="P33" i="1"/>
  <c r="N33" i="1"/>
  <c r="L33" i="1"/>
  <c r="R33" i="1" s="1"/>
  <c r="Q33" i="1" s="1"/>
  <c r="U32" i="1"/>
  <c r="T32" i="1"/>
  <c r="T40" i="1" s="1"/>
  <c r="S32" i="1"/>
  <c r="I32" i="1"/>
  <c r="H32" i="1"/>
  <c r="G32" i="1"/>
  <c r="G40" i="1" s="1"/>
  <c r="B32" i="1"/>
  <c r="P31" i="1"/>
  <c r="N31" i="1"/>
  <c r="L31" i="1"/>
  <c r="R31" i="1" s="1"/>
  <c r="Q31" i="1" s="1"/>
  <c r="P30" i="1"/>
  <c r="N30" i="1"/>
  <c r="L30" i="1"/>
  <c r="R30" i="1" s="1"/>
  <c r="Q30" i="1" s="1"/>
  <c r="P29" i="1"/>
  <c r="N29" i="1"/>
  <c r="L29" i="1"/>
  <c r="R29" i="1" s="1"/>
  <c r="Q29" i="1" s="1"/>
  <c r="P28" i="1"/>
  <c r="N28" i="1"/>
  <c r="L28" i="1"/>
  <c r="R28" i="1" s="1"/>
  <c r="Q28" i="1" s="1"/>
  <c r="P27" i="1"/>
  <c r="R27" i="1" s="1"/>
  <c r="Q27" i="1" s="1"/>
  <c r="N27" i="1"/>
  <c r="L27" i="1"/>
  <c r="P26" i="1"/>
  <c r="N26" i="1"/>
  <c r="L26" i="1"/>
  <c r="R26" i="1" s="1"/>
  <c r="Q26" i="1" s="1"/>
  <c r="P25" i="1"/>
  <c r="N25" i="1"/>
  <c r="L25" i="1"/>
  <c r="R25" i="1" s="1"/>
  <c r="Q25" i="1" s="1"/>
  <c r="U24" i="1"/>
  <c r="T24" i="1"/>
  <c r="I24" i="1"/>
  <c r="H24" i="1"/>
  <c r="G24" i="1"/>
  <c r="B24" i="1"/>
  <c r="P23" i="1"/>
  <c r="N23" i="1"/>
  <c r="L23" i="1"/>
  <c r="R23" i="1" s="1"/>
  <c r="Q23" i="1" s="1"/>
  <c r="P22" i="1"/>
  <c r="N22" i="1"/>
  <c r="L22" i="1"/>
  <c r="R22" i="1" s="1"/>
  <c r="Q22" i="1" s="1"/>
  <c r="P21" i="1"/>
  <c r="N21" i="1"/>
  <c r="L21" i="1"/>
  <c r="R21" i="1" s="1"/>
  <c r="Q21" i="1" s="1"/>
  <c r="P20" i="1"/>
  <c r="R20" i="1" s="1"/>
  <c r="Q20" i="1" s="1"/>
  <c r="N20" i="1"/>
  <c r="L20" i="1"/>
  <c r="P19" i="1"/>
  <c r="N19" i="1"/>
  <c r="L19" i="1"/>
  <c r="R19" i="1" s="1"/>
  <c r="Q19" i="1" s="1"/>
  <c r="U18" i="1"/>
  <c r="T18" i="1"/>
  <c r="I18" i="1"/>
  <c r="H18" i="1"/>
  <c r="G18" i="1"/>
  <c r="B18" i="1"/>
  <c r="P17" i="1"/>
  <c r="N17" i="1"/>
  <c r="L17" i="1"/>
  <c r="R17" i="1" s="1"/>
  <c r="Q17" i="1" s="1"/>
  <c r="P16" i="1"/>
  <c r="N16" i="1"/>
  <c r="L16" i="1"/>
  <c r="R16" i="1" s="1"/>
  <c r="Q16" i="1" s="1"/>
  <c r="P15" i="1"/>
  <c r="N15" i="1"/>
  <c r="L15" i="1"/>
  <c r="R15" i="1" s="1"/>
  <c r="Q15" i="1" s="1"/>
  <c r="P14" i="1"/>
  <c r="N14" i="1"/>
  <c r="L14" i="1"/>
  <c r="R14" i="1" s="1"/>
  <c r="Q14" i="1" s="1"/>
  <c r="P13" i="1"/>
  <c r="R13" i="1" s="1"/>
  <c r="Q13" i="1" s="1"/>
  <c r="N13" i="1"/>
  <c r="L13" i="1"/>
  <c r="P12" i="1"/>
  <c r="N12" i="1"/>
  <c r="L12" i="1"/>
  <c r="R12" i="1" s="1"/>
  <c r="Q12" i="1" s="1"/>
  <c r="U11" i="1"/>
  <c r="T11" i="1"/>
  <c r="I11" i="1"/>
  <c r="I40" i="1" s="1"/>
  <c r="H11" i="1"/>
  <c r="H40" i="1" s="1"/>
  <c r="G11" i="1"/>
  <c r="B11" i="1"/>
  <c r="P10" i="1"/>
  <c r="N10" i="1"/>
  <c r="L10" i="1"/>
  <c r="R10" i="1" s="1"/>
  <c r="Q10" i="1" s="1"/>
  <c r="P9" i="1"/>
  <c r="N9" i="1"/>
  <c r="L9" i="1"/>
  <c r="R9" i="1" s="1"/>
  <c r="Q9" i="1" s="1"/>
  <c r="P8" i="1"/>
  <c r="N8" i="1"/>
  <c r="L8" i="1"/>
  <c r="R8" i="1" s="1"/>
  <c r="Q8" i="1" s="1"/>
  <c r="P7" i="1"/>
  <c r="N7" i="1"/>
  <c r="L7" i="1"/>
  <c r="R7" i="1" s="1"/>
  <c r="Q7" i="1" s="1"/>
  <c r="P6" i="1"/>
  <c r="R6" i="1" s="1"/>
  <c r="Q6" i="1" s="1"/>
  <c r="N6" i="1"/>
  <c r="L6" i="1"/>
  <c r="P5" i="1"/>
  <c r="N5" i="1"/>
  <c r="L5" i="1"/>
  <c r="R5" i="1" s="1"/>
  <c r="Q5" i="1" s="1"/>
  <c r="P4" i="1"/>
  <c r="N4" i="1"/>
  <c r="L4" i="1"/>
  <c r="R4" i="1" s="1"/>
  <c r="Q4" i="1" s="1"/>
  <c r="U3" i="1"/>
  <c r="T3" i="1"/>
  <c r="I3" i="1"/>
  <c r="H3" i="1"/>
  <c r="G3" i="1"/>
  <c r="B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4" authorId="0" shapeId="0" xr:uid="{205FFEA3-1370-4A72-9B7F-FA3CC8B779B7}">
      <text>
        <r>
          <rPr>
            <sz val="10"/>
            <color rgb="FF000000"/>
            <rFont val="Arial"/>
            <scheme val="minor"/>
          </rPr>
          <t>Utiliza la nube como un centro de datos coubicado.
Después de migrar a la nube, no moderniza la aplicación.
Utiliza un único tipo de almacenamiento para todo lo que necesita conservar.
Utiliza los tipos de instancia que más se ajustan a sus estándares actuales, pero son más grandes cuando es necesario.
Implementa y administra tecnologías que están disponibles como servicios administrados.</t>
        </r>
      </text>
    </comment>
    <comment ref="B5" authorId="0" shapeId="0" xr:uid="{6E320606-099F-4280-A73A-4B2BA71316C8}">
      <text>
        <r>
          <rPr>
            <sz val="10"/>
            <color rgb="FF000000"/>
            <rFont val="Arial"/>
            <scheme val="minor"/>
          </rPr>
          <t>Utiliza AWS como un proveedor de servicios en la nube al uso.
Utiliza los servicios de AWS de una manera para la que no se diseñaron.
Sigue todas las directrices sin tener en cuenta su contexto empresarial.</t>
        </r>
      </text>
    </comment>
    <comment ref="B6" authorId="0" shapeId="0" xr:uid="{09D505E1-B66D-4093-969C-E309C654C290}">
      <text>
        <r>
          <rPr>
            <sz val="10"/>
            <color rgb="FF000000"/>
            <rFont val="Arial"/>
            <scheme val="minor"/>
          </rPr>
          <t>Solo utiliza una familia de instancias.
No contempla la posibilidad de utilizar soluciones con licencia en lugar de soluciones de código abierto.
No tiene políticas definidas sobre el ciclo de vida del almacenamiento.
No revisa los nuevos servicios y características de la Nube de AWS.
Solo utiliza el almacenamiento de bloques.</t>
        </r>
      </text>
    </comment>
    <comment ref="B7" authorId="0" shapeId="0" xr:uid="{B3E15661-1B0D-43EE-8343-06E71D489607}">
      <text>
        <r>
          <rPr>
            <sz val="10"/>
            <color rgb="FF000000"/>
            <rFont val="Arial"/>
            <scheme val="minor"/>
          </rPr>
          <t>Da por hecho que habría que implementar todas las ventajas relacionadas con el rendimiento, aunque esta implementación tenga repercusiones.
Solo evalúa los cambios en las cargas de trabajo cuando un problema de rendimiento ha alcanzado un punto crítico.</t>
        </r>
      </text>
    </comment>
    <comment ref="B8" authorId="0" shapeId="0" xr:uid="{D299AFCF-D398-451F-A4D6-44719BE57BAD}">
      <text>
        <r>
          <rPr>
            <sz val="10"/>
            <color rgb="FF000000"/>
            <rFont val="Arial"/>
            <scheme val="minor"/>
          </rPr>
          <t>Permite usar una gran variedad de tecnologías, lo que puede incidir en los gastos generales de administración de la empresa.</t>
        </r>
      </text>
    </comment>
    <comment ref="B9" authorId="0" shapeId="0" xr:uid="{7E4ED08C-48C6-47E3-86BF-BAF79FAAA9E4}">
      <text>
        <r>
          <rPr>
            <sz val="10"/>
            <color rgb="FF000000"/>
            <rFont val="Arial"/>
            <scheme val="minor"/>
          </rPr>
          <t>Utiliza pruebas comparativas de uso común que no son indicativas de las características concretas de su carga de trabajo.
La única referencia que tiene en cuenta son los comentarios y las percepciones de los clientes.</t>
        </r>
      </text>
    </comment>
    <comment ref="B10" authorId="0" shapeId="0" xr:uid="{9D48993E-9459-4DDF-9EE4-491872854166}">
      <text>
        <r>
          <rPr>
            <sz val="10"/>
            <color rgb="FF000000"/>
            <rFont val="Arial"/>
            <scheme val="minor"/>
          </rPr>
          <t>Presupone que la arquitectura actual es estática y no debe actualizarse con el tiempo.
Las decisiones arquitectónicas que toma se basan en conjeturas y suposiciones.
Se introducen cambios en la arquitectura a lo largo del tiempo sin justificación.</t>
        </r>
      </text>
    </comment>
    <comment ref="B12" authorId="0" shapeId="0" xr:uid="{E9CA7C67-5A4A-47AA-AF85-C9A999FF3C3C}">
      <text>
        <r>
          <rPr>
            <sz val="10"/>
            <color rgb="FF000000"/>
            <rFont val="Arial"/>
            <scheme val="minor"/>
          </rPr>
          <t>Utiliza la misma opción computacional que en el entorno en las instalaciones.
No tiene información suficiente sobre las opciones de computación, las características y las soluciones de la nube, y cómo estas podrían mejorar el rendimiento de computación.
Ha aprovisionado en exceso una opción de computación existente para cumplir los requisitos de escalado o rendimiento cuando una opción de computación alternativa se ajustaría con mayor precisión a las características de la carga de trabajo.</t>
        </r>
      </text>
    </comment>
    <comment ref="B13" authorId="0" shapeId="0" xr:uid="{38304E84-EA78-4B6D-9433-440E9174E56E}">
      <text>
        <r>
          <rPr>
            <sz val="10"/>
            <color rgb="FF000000"/>
            <rFont val="Arial"/>
            <scheme val="minor"/>
          </rPr>
          <t>No evalúan las opciones de computación ni las familias de instancias disponibles con arreglo a las características de la carga de trabajo.
Aprovisiona un exceso de recursos de computación para satisfacer los picos de demanda.</t>
        </r>
      </text>
    </comment>
    <comment ref="B14" authorId="0" shapeId="0" xr:uid="{7F3B2CB7-22A5-4B4E-A4F7-B2DCC9E40F81}">
      <text>
        <r>
          <rPr>
            <sz val="10"/>
            <color rgb="FF000000"/>
            <rFont val="Arial"/>
            <scheme val="minor"/>
          </rPr>
          <t xml:space="preserve">Solo se utiliza la búsqueda manual de métricas en los archivos de registro. 
Solo utiliza las métricas predeterminadas registradas en el software de supervisión seleccionado.
Solo se revisan las métricas cuando hay un problema.
</t>
        </r>
      </text>
    </comment>
    <comment ref="B15" authorId="0" shapeId="0" xr:uid="{89F5A901-439B-456D-9868-4DCD1E6AF1F1}">
      <text>
        <r>
          <rPr>
            <sz val="10"/>
            <color rgb="FF000000"/>
            <rFont val="Arial"/>
            <scheme val="minor"/>
          </rPr>
          <t>Ignora los requisitos de rendimiento de la carga de trabajo, lo que genera una falta o un exceso de aprovisionamiento de recursos de computación.
Solo elige la instancia más grande o más pequeña disponible para todas las cargas de trabajo.
Solo usa una familia de instancias para facilitar la administración.
No tiene en cuenta las recomendaciones de AWS Cost Explorer o Compute Optimizer para ajustar el tamaño.
No somete a nuevas evaluaciones a la carga de trabajo para determinar la idoneidad de nuevos tipos de instancias.
Solo certifica una pequeña cantidad de configuraciones de instancias para su organización.</t>
        </r>
      </text>
    </comment>
    <comment ref="B16" authorId="0" shapeId="0" xr:uid="{9EE79FBB-B009-49AF-B7BE-8511A79B6272}">
      <text>
        <r>
          <rPr>
            <sz val="10"/>
            <color rgb="FF000000"/>
            <rFont val="Arial"/>
            <scheme val="minor"/>
          </rPr>
          <t>Reacciona a las alarmas mediante el aumento manual de la capacidad.
Utiliza las mismas directrices de dimensionamiento (por lo general, una infraestructura estática) que en el entorno en las instalaciones.
Dejar la capacidad aumentada después de un evento de ajuste de escala en lugar de volver a desescalar verticalmente.</t>
        </r>
      </text>
    </comment>
    <comment ref="B17" authorId="0" shapeId="0" xr:uid="{1F091920-3B0C-4BF4-B854-70D39574E6B3}">
      <text>
        <r>
          <rPr>
            <sz val="10"/>
            <color rgb="FF000000"/>
            <rFont val="Arial"/>
            <scheme val="minor"/>
          </rPr>
          <t xml:space="preserve">En su carga de trabajo, no ha comparado una instancia de uso general con una instancia personalizada que pueda ofrecer mayor rendimiento y costos más reducidos.
Utiliza aceleradores de computación basados en hardware para tareas en las que pueda ser más eficiente utilizar alternativas basadas en CPU.
No supervisa el uso de GPU.
</t>
        </r>
      </text>
    </comment>
    <comment ref="B19" authorId="0" shapeId="0" xr:uid="{5756AB06-0971-4A30-AA45-6227010AEABF}">
      <text>
        <r>
          <rPr>
            <sz val="10"/>
            <color rgb="FF000000"/>
            <rFont val="Arial"/>
            <scheme val="minor"/>
          </rPr>
          <t>Utiliza exclusivamente un almacén de datos porque la experiencia y los conocimientos internos se limitan a un tipo concreto de solución de base de datos.
Presupone que todas las cargas de trabajo tienen unos requisitos similares en relación con el almacenamiento de datos y el acceso a la información.
No ha implementado un catálogo de datos para inventariar sus activos de datos.</t>
        </r>
      </text>
    </comment>
    <comment ref="B20" authorId="0" shapeId="0" xr:uid="{DFB2E2F4-1B11-4C1E-87A6-EDA2899BF92E}">
      <text>
        <r>
          <rPr>
            <sz val="10"/>
            <color rgb="FF000000"/>
            <rFont val="Arial"/>
            <scheme val="minor"/>
          </rPr>
          <t>Solo utiliza un tipo de almacenamiento, como, por ejemplo, Amazon EBS, para todas las cargas de trabajo.
Utiliza IOPS aprovisionadas en todas las cargas de trabajo sin efectuar pruebas reales con todos los niveles de almacenamiento.
No conoce las opciones de configuración de la solución de administración de datos que ha elegido.
La única opción que contempla es aumentar el tamaño de las instancias, sin valorar otras opciones de configuración disponibles.
No lleva a cabo pruebas en las características de escalado de su almacén de datos.</t>
        </r>
      </text>
    </comment>
    <comment ref="B21" authorId="0" shapeId="0" xr:uid="{7E7B0270-83F6-42AF-8DC6-46ED35D06AED}">
      <text>
        <r>
          <rPr>
            <sz val="10"/>
            <color rgb="FF000000"/>
            <rFont val="Arial"/>
            <scheme val="minor"/>
          </rPr>
          <t>Solo se utiliza la búsqueda manual de métricas en los archivos de registro.
Solo publica métricas en las herramientas internas que su equipo utiliza y no tiene una imagen completa de su carga de trabajo.
Solo se utilizan las métricas predeterminadas registradas por el software de supervisión seleccionado.
Solo se revisan las métricas cuando hay un problema.
Solo se supervisan las métricas del sistema y no se captura las métricas de acceso o de uso de datos.</t>
        </r>
      </text>
    </comment>
    <comment ref="B22" authorId="0" shapeId="0" xr:uid="{C08C693B-1049-4B0E-AEA3-3229CFF3DEB0}">
      <text>
        <r>
          <rPr>
            <sz val="10"/>
            <color rgb="FF000000"/>
            <rFont val="Arial"/>
            <scheme val="minor"/>
          </rPr>
          <t>No divide en particiones los datos en su almacén de datos.
Almacena los datos en un solo formato en su almacén de datos.
No utiliza índices en su almacén de datos.</t>
        </r>
      </text>
    </comment>
    <comment ref="B23" authorId="0" shapeId="0" xr:uid="{B8C2A0BF-59C1-4A46-9C53-5E2D7EE2A470}">
      <text>
        <r>
          <rPr>
            <sz val="10"/>
            <color rgb="FF000000"/>
            <rFont val="Arial"/>
            <scheme val="minor"/>
          </rPr>
          <t>Almacena en caché datos que cambian con frecuencia.
Confía en los datos en caché como si estuvieran almacenados de forma duradera y siempre disponibles.
No tiene en cuenta la coherencia de los datos en caché.
No supervisa la eficiencia de su implementación de almacenamiento en caché.</t>
        </r>
      </text>
    </comment>
    <comment ref="B25" authorId="0" shapeId="0" xr:uid="{471DF45E-83A0-4BC1-94B4-1123C89BD200}">
      <text>
        <r>
          <rPr>
            <sz val="10"/>
            <color rgb="FF000000"/>
            <rFont val="Arial"/>
            <scheme val="minor"/>
          </rPr>
          <t>Todo el tráfico fluye a través de sus centros de datos existentes.
Enruta todo el tráfico a través de firewalls centrales en lugar de utilizar herramientas de seguridad de red nativas en la nube.
Aprovisiona conexiones de AWS Direct Connect sin comprender los requisitos de uso reales.
No tiene en cuenta las características de la carga de trabajo ni la sobrecarga de cifrado al definir sus soluciones de redes.
Utiliza conceptos y estrategias en las instalaciones para las soluciones de redes en la nube.</t>
        </r>
      </text>
    </comment>
    <comment ref="B26" authorId="0" shapeId="0" xr:uid="{130F1761-14F4-4750-AC10-7B4DDFDC42EC}">
      <text>
        <r>
          <rPr>
            <sz val="10"/>
            <color rgb="FF000000"/>
            <rFont val="Arial"/>
            <scheme val="minor"/>
          </rPr>
          <t>Se mantiene dentro de una región porque es allí donde se encuentra físicamente su sede.
Utiliza firewalls en lugar de grupos de seguridad para filtrar el tráfico.
Se infringe la TLS para inspeccionar el tráfico en lugar de confiar en grupos de seguridad, políticas de puntos de conexión y otras funciones nativas en la nube.
Solo utiliza la segmentación basada en subredes en lugar de grupos de seguridad.</t>
        </r>
      </text>
    </comment>
    <comment ref="B27" authorId="0" shapeId="0" xr:uid="{8CF2CAC3-AA9F-4000-A2E3-DEB80923926F}">
      <text>
        <r>
          <rPr>
            <sz val="10"/>
            <color rgb="FF000000"/>
            <rFont val="Arial"/>
            <scheme val="minor"/>
          </rPr>
          <t>Solo evalúa las soluciones de VPN para los requisitos de cifrado de su red.
No evalúa las opciones de conectividad redundante o de respaldo.
No identifica todos los requisitos de la carga de trabajo (necesidades de cifrado, protocolo, ancho de banda y tráfico).</t>
        </r>
      </text>
    </comment>
    <comment ref="B28" authorId="0" shapeId="0" xr:uid="{2BF24022-636E-44A9-8539-D72F389B7D42}">
      <text>
        <r>
          <rPr>
            <sz val="10"/>
            <color rgb="FF000000"/>
            <rFont val="Arial"/>
            <scheme val="minor"/>
          </rPr>
          <t>No tiene en cuenta los requisitos de la carga de trabajo al elegir el tipo de equilibrador de carga.
No aprovecha las características del equilibrador de carga para optimizar el rendimiento.
La carga de trabajo se expone directamente a Internet sin un equilibrador de carga.
Enruta todo el tráfico de Internet a través de los equilibradores de carga existentes.
Utiliza el equilibrio de carga TCP genérico y hace que cada nodo de computación gestione el cifrado SSL.</t>
        </r>
      </text>
    </comment>
    <comment ref="B29" authorId="0" shapeId="0" xr:uid="{C34A19EF-A3AC-4888-8A42-B3A1E2B67078}">
      <text>
        <r>
          <rPr>
            <sz val="10"/>
            <color rgb="FF000000"/>
            <rFont val="Arial"/>
            <scheme val="minor"/>
          </rPr>
          <t>Utiliza TCP para todas las cargas de trabajo, independientemente de los requisitos de rendimiento.</t>
        </r>
      </text>
    </comment>
    <comment ref="B30" authorId="0" shapeId="0" xr:uid="{34BF5305-EC2C-44B4-8B3A-61214EFA72F8}">
      <text>
        <r>
          <rPr>
            <sz val="10"/>
            <color rgb="FF000000"/>
            <rFont val="Arial"/>
            <scheme val="minor"/>
          </rPr>
          <t>Consolida todos los recursos de la carga de trabajo en una ubicación geográfica.
Ha elegido la región más cercana a su ubicación, pero no al usuario final de la carga de trabajo.</t>
        </r>
      </text>
    </comment>
    <comment ref="B31" authorId="0" shapeId="0" xr:uid="{9C69D2CA-AC37-4831-833F-7659CEBE131A}">
      <text>
        <r>
          <rPr>
            <sz val="10"/>
            <color rgb="FF000000"/>
            <rFont val="Arial"/>
            <scheme val="minor"/>
          </rPr>
          <t>Supone que todos los problemas de rendimiento están relacionados con las aplicaciones.
Solo hace pruebas del rendimiento de la red desde una ubicación cercana al punto de implementación de la carga de trabajo.
Se utilizan configuraciones predeterminadas para todos los servicios de red.
Se sobreaprovisionan los recursos de red para proporcionar capacidad suficiente.</t>
        </r>
      </text>
    </comment>
    <comment ref="B33" authorId="0" shapeId="0" xr:uid="{5CCBA6B2-C979-4BCB-8E6A-55226A6C04DF}">
      <text>
        <r>
          <rPr>
            <sz val="10"/>
            <color rgb="FF000000"/>
            <rFont val="Arial"/>
            <scheme val="minor"/>
          </rPr>
          <t>Supervisa únicamente las métricas del nivel del sistema para obtener información sobre su carga de trabajo sin comprender el impacto empresarial de dichas métricas.
Presupone que los KPI ya se publican y comparten como datos de métricas estándar.
No tiene definido un KPI cuantitativo (que se pueda medir).
Los KPI no se corresponden con los objetivos o estrategias empresariales.</t>
        </r>
      </text>
    </comment>
    <comment ref="B34" authorId="0" shapeId="0" xr:uid="{181CC804-6C19-465C-B835-AA98183ED07D}">
      <text>
        <r>
          <rPr>
            <sz val="10"/>
            <color rgb="FF000000"/>
            <rFont val="Arial"/>
            <scheme val="minor"/>
          </rPr>
          <t>Supone que las métricas de computación estándares como el uso de CPU o la presión sobre la memoria son suficientes para detectar problemas de rendimiento.
Solo se utilizan las métricas predeterminadas registradas por el software de supervisión seleccionado.
Solo se revisan las métricas cuando hay un problema.</t>
        </r>
      </text>
    </comment>
    <comment ref="B35" authorId="0" shapeId="0" xr:uid="{BE53D281-0D89-4ED6-870B-9DD6E6CFCB61}">
      <text>
        <r>
          <rPr>
            <sz val="10"/>
            <color rgb="FF000000"/>
            <rFont val="Arial"/>
            <scheme val="minor"/>
          </rPr>
          <t>Presupone que la arquitectura actual es estática y no se va a actualizar con el tiempo.
Incorpora cambios en la arquitectura a lo largo del tiempo sin justificación basada en métricas.</t>
        </r>
      </text>
    </comment>
    <comment ref="B36" authorId="0" shapeId="0" xr:uid="{55D8CE3A-D96C-49C1-B433-DAB39E398FF2}">
      <text>
        <r>
          <rPr>
            <sz val="10"/>
            <color rgb="FF000000"/>
            <rFont val="Arial"/>
            <scheme val="minor"/>
          </rPr>
          <t>Hace pruebas de partes individuales de su carga de trabajo, pero no de la carga completa.
Hace pruebas de carga en una infraestructura que no es la misma que su entorno de producción.
Solo hace pruebas de carga hasta su carga prevista y no más allá, para ayudar a prever dónde puede tener problemas en el futuro.
Hace pruebas de carga sin consultar la Política de pruebas de Amazon EC2 ni presentar un formulario de envío de eventos simulados. Esto hace que la prueba no se ponga en marcha, ya que parece un evento de denegación de servicio.</t>
        </r>
      </text>
    </comment>
    <comment ref="B37" authorId="0" shapeId="0" xr:uid="{40268495-76E7-43F0-928C-F9E7E290E0EE}">
      <text>
        <r>
          <rPr>
            <sz val="10"/>
            <color rgb="FF000000"/>
            <rFont val="Arial"/>
            <scheme val="minor"/>
          </rPr>
          <t>Únicamente permite que el personal de operaciones pueda llevar a cabo cambios operativos en la carga de trabajo.
Permite que todas las alarmas se filtren al equipo de operaciones sin medidas de corrección proactivas.</t>
        </r>
      </text>
    </comment>
    <comment ref="B38" authorId="0" shapeId="0" xr:uid="{7094ECB7-4CBF-4657-9E67-5898D7FCAB16}">
      <text>
        <r>
          <rPr>
            <sz val="10"/>
            <color rgb="FF000000"/>
            <rFont val="Arial"/>
            <scheme val="minor"/>
          </rPr>
          <t>Asume que su arquitectura actual es estática y no se actualizará con el tiempo.
No dispone de sistemas ni de una cadencia regular para evaluar si los programas y paquetes actualizados son compatibles con la carga de trabajo.</t>
        </r>
      </text>
    </comment>
    <comment ref="B39" authorId="0" shapeId="0" xr:uid="{E664648B-4004-4BBE-926C-458E531773EF}">
      <text>
        <r>
          <rPr>
            <sz val="10"/>
            <color rgb="FF000000"/>
            <rFont val="Arial"/>
            <scheme val="minor"/>
          </rPr>
          <t>Permite que las métricas se mantengan en un estado de alarma durante un periodo de tiempo prolongado.
Crea alarmas que un sistema de automatización no puede accionar.</t>
        </r>
      </text>
    </comment>
  </commentList>
</comments>
</file>

<file path=xl/sharedStrings.xml><?xml version="1.0" encoding="utf-8"?>
<sst xmlns="http://schemas.openxmlformats.org/spreadsheetml/2006/main" count="267" uniqueCount="186">
  <si>
    <t>Prinicipio y prácticas</t>
  </si>
  <si>
    <t>Descripcion de práctica</t>
  </si>
  <si>
    <t>Servicios, recursos, configuracion a evaluar</t>
  </si>
  <si>
    <t>¿Como evaluar? (Acciones y revisiones)</t>
  </si>
  <si>
    <t>Validacion por CLI</t>
  </si>
  <si>
    <t>Accionables</t>
  </si>
  <si>
    <t>Horas</t>
  </si>
  <si>
    <t>Fecha</t>
  </si>
  <si>
    <t>Estado</t>
  </si>
  <si>
    <t>Prioridad</t>
  </si>
  <si>
    <t>Impacto</t>
  </si>
  <si>
    <t>Complejidad</t>
  </si>
  <si>
    <t>Viabilidad</t>
  </si>
  <si>
    <t>Responsable</t>
  </si>
  <si>
    <t>Estado final</t>
  </si>
  <si>
    <t>Notas</t>
  </si>
  <si>
    <t>Inicio</t>
  </si>
  <si>
    <t>Fin</t>
  </si>
  <si>
    <t>Selección de arquitectura
PERF 1. ¿Cómo selecciona los recursos y la arquitectura de nube adecuados para su carga de trabajo?</t>
  </si>
  <si>
    <t/>
  </si>
  <si>
    <r>
      <rPr>
        <b/>
        <sz val="11"/>
        <color rgb="FF000000"/>
        <rFont val="Montserrat"/>
      </rPr>
      <t>PERF01-BP01</t>
    </r>
    <r>
      <rPr>
        <sz val="11"/>
        <color rgb="FF000000"/>
        <rFont val="Montserrat"/>
      </rPr>
      <t xml:space="preserve"> Obtenga información sobre los servicios y las características en la nube disponibles y comprenda</t>
    </r>
  </si>
  <si>
    <t>Investigue continuamente los servicios y configuraciones disponibles que pueden ayudarle a tomar mejores decisiones arquitectónicas y a mejorar la eficiencia del rendimiento de la arquitectura de su carga de trabajo.</t>
  </si>
  <si>
    <t>AWS Well-Architected Tool
Servicio: AWS Well-Architected Tool
Recurso: Workloads registrados
Configuración: Revisiones completadas y milestone tracking activo
AWS Trusted Advisor
Servicio: AWS Trusted Advisor
Recurso: Performance checks
Configuración: Checks habilitados y estado de recomendaciones
AWS Compute Optimizer
Servicio: AWS Compute Optimizer
Recurso: Enrollment status y recomendaciones
Configuración: Servicio habilitado con recomendaciones generadas
Amazon CloudWatch
Servicio: Amazon CloudWatch
Recurso: Custom metrics y dashboards
Configuración: Métricas personalizadas definidas y dashboards configurados
AWS Config
Servicio: AWS Config
Recurso: Configuration rules
Configuración: Reglas de performance habilitadas y evaluando recursos</t>
  </si>
  <si>
    <t>AWS Well-Architected Tool Verificar existencia de workloads registrados con revisiones completadas en últimos 12 meses. Cumplimiento indica workloads activos con milestone tracking. Incumplimiento evidenciado por ausencia de workloads o revisiones desactualizadas.
AWS Trusted Advisor Verificar que performance checks estén habilitados y generen recomendaciones. Cumplimiento indica checks activos con resultados recientes. Incumplimiento evidenciado por checks deshabilitados o sin resultados.
AWS Compute Optimizer Verificar enrollment activo y generación de recomendaciones para recursos. Cumplimiento indica servicio habilitado con recomendaciones disponibles. Incumplimiento evidenciado por servicio deshabilitado o sin recomendaciones.
Amazon CloudWatch Verificar existencia de métricas custom y dashboards configurados. Cumplimiento indica métricas personalizadas activas y dashboards funcionales. Incumplimiento evidenciado por dependencia solo de métricas default.
AWS Config Verificar reglas de performance habilitadas y evaluando recursos activamente. Cumplimiento indica reglas activas con evaluaciones recientes. Incumplimiento evidenciado por ausencia de reglas o evaluaciones fallidas.</t>
  </si>
  <si>
    <t xml:space="preserve">AWS Well-Architected Tool
aws wellarchitected list-workloads
aws wellarchitected get-workload --workload-id &lt;workload-id&gt;
aws wellarchitected list-milestones --workload-id &lt;workload-id&gt;
AWS Trusted Advisor
aws support describe-trusted-advisor-checks --language en
aws support describe-trusted-advisor-check-result --check-id &lt;check-id&gt; --language en
AWS Compute Optimizer
aws compute-optimizer get-enrollment-status
aws compute-optimizer get-ec2-instance-recommendations
aws compute-optimizer get-auto-scaling-group-recommendations
Amazon CloudWatch
aws cloudwatch list-dashboards
aws cloudwatch list-metrics --namespace Custom
aws logs describe-log-groups
AWS Config
aws configservice describe-configuration-recorders
aws configservice describe-config-rules
aws configservice get-compliance-details-by-config-rule --config-rule-name &lt;rule-name&gt;
</t>
  </si>
  <si>
    <t xml:space="preserve">
-</t>
  </si>
  <si>
    <r>
      <rPr>
        <b/>
        <sz val="11"/>
        <color rgb="FF000000"/>
        <rFont val="Montserrat"/>
      </rPr>
      <t>PERF01-BP02</t>
    </r>
    <r>
      <rPr>
        <sz val="11"/>
        <color rgb="FF000000"/>
        <rFont val="Montserrat"/>
      </rPr>
      <t xml:space="preserve"> Use las instrucciones de su proveedor de nube o de un socio adecuado para obtener información sobre los patrones de arquitectura y los procedimientos recomendados</t>
    </r>
  </si>
  <si>
    <t>Utilice los recursos corporativos de la nube, como la documentación, los arquitectos de soluciones, los servicios profesionales o los socios adecuados, para que le sirvan de guía en sus decisiones arquitectónicas. Estos recursos le ayudarán a revisar y mejorar su arquitectura para obtener un rendimiento óptimo.</t>
  </si>
  <si>
    <t>AWS CloudFormation
Servicio: AWS CloudFormation
Recurso: Templates y stacks
Configuración: Uso de AWS Quick Start templates y reference architectures implementadas
AWS Service Catalog
Servicio: AWS Service Catalog
Recurso: Portfolios y productos
Configuración: Catálogo de productos con arquitecturas pre-aprobadas y patrones estándar
AWS Systems Manager
Servicio: AWS Systems Manager
Recurso: Documents y automation
Configuración: Runbooks automatizados basados en AWS best practices
AWS Config
Servicio: AWS Config
Recurso: Conformance packs
Configuración: Packs de conformidad implementados basados en AWS best practices
AWS Organizations
Servicio: AWS Organizations
Recurso: Service Control Policies (SCPs)
Configuración: Políticas que enforzan patrones arquitecturales recomendados</t>
  </si>
  <si>
    <t>AWS CloudFormation Verificar uso de AWS Quick Start templates o reference architectures en stacks desplegados. Cumplimiento indica templates basados en patrones AWS recomendados. Incumplimiento evidenciado por templates custom sin referencia a patrones establecidos.
AWS Service Catalog Verificar existencia de portfolios con productos basados en arquitecturas AWS recomendadas. Cumplimiento indica catálogo activo con productos pre-configurados siguiendo best practices. Incumplimiento evidenciado por ausencia de catálogo o productos sin patrones estándar.
AWS Systems Manager Verificar uso de automation documents basados en AWS best practices. Cumplimiento indica runbooks implementados siguiendo patrones recomendados. Incumplimiento evidenciado por automation custom sin referencia a guías AWS.
AWS Config Verificar implementación de conformance packs oficiales de AWS. Cumplimiento indica packs activos evaluando recursos contra best practices. Incumplimiento evidenciado por ausencia de conformance packs o uso solo de reglas custom.
AWS Organizations Verificar SCPs que enforzan patrones arquitecturales recomendados por AWS. Cumplimiento indica políticas basadas en security y performance best practices. Incumplimiento evidenciado por políticas custom sin referencia a guías AWS.</t>
  </si>
  <si>
    <t>AWS CloudFormation
aws cloudformation list-stacks --stack-status-filter CREATE_COMPLETE UPDATE_COMPLETE
aws cloudformation describe-stacks --stack-name &lt;stack-name&gt;
aws cloudformation get-template --stack-name &lt;stack-name&gt;
AWS Service Catalog
aws servicecatalog list-portfolios
aws servicecatalog describe-portfolio --id &lt;portfolio-id&gt;
aws servicecatalog search-products-as-admin
AWS Systems Manager
aws ssm list-documents --document-filter-list key=DocumentType,value=Automation
aws ssm describe-document --name &lt;document-name&gt;
aws ssm list-document-versions --name &lt;document-name&gt;
AWS Config
aws configservice describe-conformance-packs
aws configservice get-conformance-pack-compliance-summary --conformance-pack-name &lt;pack-name&gt;
aws configservice describe-organization-conformance-packs
AWS Organizations
aws organizations list-policies --filter SERVICE_CONTROL_POLICY
aws organizations describe-policy --policy-id &lt;policy-id&gt;
aws organizations list-targets-for-policy --policy-id &lt;policy-id&gt;</t>
  </si>
  <si>
    <r>
      <rPr>
        <b/>
        <sz val="11"/>
        <color rgb="FF000000"/>
        <rFont val="Montserrat"/>
      </rPr>
      <t>PERF01-BP03</t>
    </r>
    <r>
      <rPr>
        <sz val="11"/>
        <color rgb="FF000000"/>
        <rFont val="Montserrat"/>
      </rPr>
      <t xml:space="preserve"> Factorizar el coste en las decisiones arquitectónicas</t>
    </r>
  </si>
  <si>
    <t>Tenga en cuenta los costos en sus decisiones arquitectónicas para mejorar el uso de los recursos y la eficiencia del rendimiento de su carga de trabajo en la nube. Si conoce las implicaciones financieras de su carga de trabajo en la nube, es más probable que aproveche los recursos de forma eficiente y reduzca las prácticas innecesarias.</t>
  </si>
  <si>
    <t>AWS Cost Explorer
Servicio: AWS Cost Explorer
Recurso: Cost and usage reports
Configuración: Análisis de costos por servicio y dimensiones configurado con reportes regulares
AWS Budgets
Servicio: AWS Budgets
Recurso: Budget alerts y forecasts
Configuración: Presupuestos definidos con alertas automáticas para límites de costo
AWS Compute Optimizer
Servicio: AWS Compute Optimizer
Recurso: Rightsizing recommendations
Configuración: Recomendaciones de optimización habilitadas y siendo implementadas
AWS Cost Anomaly Detection
Servicio: AWS Cost Anomaly Detection
Recurso: Anomaly monitors y alerts
Configuración: Detectores de anomalías configurados con notificaciones automáticas
AWS Pricing Calculator
Servicio: AWS Pricing Calculator
Recurso: Cost estimates y scenarios
Configuración: Estimaciones documentadas para decisiones arquitecturales</t>
  </si>
  <si>
    <t>AWS Cost Explorer Verificar que existan reportes configurados analizando costos por servicio, región y tags. Cumplimiento indica reportes activos con análisis regular de tendencias de costo. Incumplimiento evidenciado por ausencia de análisis de costos o reportes desactualizados.
AWS Budgets Verificar existencia de presupuestos con alertas configuradas para diferentes umbrales. Cumplimiento indica budgets activos con alertas funcionando y forecasting habilitado. Incumplimiento evidenciado por ausencia de budgets o alertas deshabilitadas.
AWS Compute Optimizer Verificar que las recomendaciones de rightsizing se generen y implementen regularmente. Cumplimiento indica recomendaciones activas siendo evaluadas e implementadas. Incumplimiento evidenciado por recomendaciones ignoradas o servicio deshabilitado.
AWS Cost Anomaly Detection Verificar detectores configurados monitoreando patrones de gasto anómalos. Cumplimiento indica detectores activos con alertas configuradas. Incumplimiento evidenciado por ausencia de detectores o alertas no configuradas.
AWS Pricing Calculator Verificar uso documentado de estimaciones de costo en decisiones arquitecturales. Cumplimiento indica estimaciones guardadas y referenciadas en documentación. Incumplimiento evidenciado por decisiones sin análisis de costo previo.</t>
  </si>
  <si>
    <t>AWS Cost Explorer
aws ce get-cost-and-usage --time-period Start=2024-01-01,End=2024-12-31 --granularity MONTHLY --metrics BlendedCost
aws ce get-dimension-values --dimension SERVICE --time-period Start=2024-01-01,End=2024-12-31
aws ce list-cost-category-definitions
AWS Budgets
aws budgets describe-budgets --account-id &lt;account-id&gt;
aws budgets describe-budget --account-id &lt;account-id&gt; --budget-name &lt;budget-name&gt;
aws budgets describe-subscribers-for-notification --account-id &lt;account-id&gt; --budget-name &lt;budget-name&gt;
AWS Compute Optimizer
aws compute-optimizer get-enrollment-status
aws compute-optimizer get-ec2-instance-recommendations
aws compute-optimizer get-recommendation-summaries --resource-type Ec2Instance
AWS Cost Anomaly Detection
aws ce get-anomaly-detectors
aws ce get-anomalies --date-interval StartDate=2024-01-01,EndDate=2024-12-31
aws ce get-anomaly-monitors</t>
  </si>
  <si>
    <r>
      <rPr>
        <b/>
        <sz val="11"/>
        <color rgb="FF000000"/>
        <rFont val="Montserrat"/>
      </rPr>
      <t>PERF01-BP04</t>
    </r>
    <r>
      <rPr>
        <sz val="11"/>
        <color rgb="FF000000"/>
        <rFont val="Montserrat"/>
      </rPr>
      <t xml:space="preserve"> Evalúe cómo las compensaciones afectan a los clientes y a la eficiencia de la arquitectura</t>
    </r>
  </si>
  <si>
    <t>Cuando evalúe las mejoras relacionadas con el rendimiento, debe determinar qué decisiones afectarán a sus clientes y a la eficiencia de la carga de trabajo. Por ejemplo, si el uso de un almacén de datos clave-valor mejora el rendimiento del sistema, es importante analizar cómo la naturaleza eventualmente consistente de este cambio afectaría a los clientes.</t>
  </si>
  <si>
    <t>Amazon CloudWatch
Servicio: Amazon CloudWatch
Recurso: Custom metrics y SLA monitoring
Configuración: Métricas de performance y SLA definidas con umbrales de alerta configurados
Amazon CloudWatch RUM
Servicio: Amazon CloudWatch RUM
Recurso: Real user monitoring data
Configuración: Monitoreo de experiencia de usuario real con métricas de performance del frontend
AWS X-Ray
Servicio: AWS X-Ray
Recurso: Distributed tracing
Configuración: Trazabilidad de requests para identificar cuellos de botella y latencias
Amazon CloudWatch Synthetics
Servicio: Amazon CloudWatch Synthetics
Recurso: Synthetic monitoring canaries
Configuración: Canaries configurados para monitorear SLAs y performance de endpoints críticos
AWS Application Load Balancer
Servicio: AWS Application Load Balancer
Recurso: Target group health y metrics
Configuración: Health checks y métricas de latencia configuradas para evaluar trade-offs de routing</t>
  </si>
  <si>
    <t>Amazon CloudWatch Verificar existencia de métricas custom que midan SLAs y KPIs de negocio con alarmas configuradas. Cumplimiento indica métricas específicas del workload monitoreando factores de trade-off. Incumplimiento evidenciado por dependencia solo de métricas básicas sin correlación con impacto al cliente.
Amazon CloudWatch RUM Verificar implementación de RUM para medir experiencia real del usuario durante cambios arquitecturales. Cumplimiento indica datos de performance del frontend correlacionados con decisiones de arquitectura. Incumplimiento evidenciado por ausencia de monitoreo de experiencia de usuario real.
AWS X-Ray Verificar trazabilidad habilitada para identificar impactos de cambios en latencia y performance. Cumplimiento indica traces activos mostrando cuellos de botella y dependencias. Incumplimiento evidenciado por ausencia de tracing o traces no analizados para decisiones.
Amazon CloudWatch Synthetics Verificar canaries monitoreando SLAs críticos antes y después de cambios arquitecturales. Cumplimiento indica canaries activos validando trade-offs de performance. Incumplimiento evidenciado por ausencia de synthetic monitoring o resultados no utilizados.
AWS Application Load Balancer Verificar configuración de health checks y métricas que permitan evaluar trade-offs de disponibilidad vs performance. Cumplimiento indica métricas de latencia y health configuradas para decisiones informadas. Incumplimiento evidenciado por configuración básica sin métricas de trade-off.</t>
  </si>
  <si>
    <t>Amazon CloudWatch
aws cloudwatch describe-alarms --alarm-names &lt;alarm-name&gt;
aws cloudwatch list-metrics --namespace Custom
aws cloudwatch get-metric-statistics --namespace AWS/ApplicationELB --metric-name TargetResponseTime
Amazon CloudWatch RUM
aws rum list-app-monitors
aws rum get-app-monitor --name &lt;app-monitor-name&gt;
aws rum batch-get-rum-metric-definitions --app-monitor-name &lt;app-monitor-name&gt;
AWS X-Ray
aws xray get-service-graph --start-time &lt;start-time&gt; --end-time &lt;end-time&gt;
aws xray get-trace-summaries --time-range-type TimeRangeByStartTime --start-time &lt;start-time&gt; --end-time &lt;end-time&gt;
aws xray batch-get-traces --trace-ids &lt;trace-id&gt;
Amazon CloudWatch Synthetics
aws synthetics describe-canaries
aws synthetics get-canary --name &lt;canary-name&gt;
aws synthetics get-canary-runs --name &lt;canary-name&gt;
AWS Application Load Balancer
aws elbv2 describe-load-balancers
aws elbv2 describe-target-groups
aws elbv2 describe-target-health --target-group-arn &lt;target-group-arn&gt;</t>
  </si>
  <si>
    <r>
      <rPr>
        <b/>
        <sz val="11"/>
        <color rgb="FF000000"/>
        <rFont val="Montserrat"/>
      </rPr>
      <t>PERF01-BP05</t>
    </r>
    <r>
      <rPr>
        <sz val="11"/>
        <color rgb="FF000000"/>
        <rFont val="Montserrat"/>
      </rPr>
      <t xml:space="preserve"> Directivas de uso y arquitecturas de referencia</t>
    </r>
  </si>
  <si>
    <t>Cuando elija los servicios y las configuraciones, utilice políticas internas y arquitecturas de referencia existentes para ser más eficiente al diseñar e implementar su carga de trabajo.</t>
  </si>
  <si>
    <t>AWS Organizations
Servicio: AWS Organizations
Recurso: Service Control Policies (SCPs)
Configuración: Políticas que enforzan estándares arquitecturales y restricciones de servicios
AWS Service Catalog
Servicio: AWS Service Catalog
Recurso: Portfolios y productos pre-aprobados
Configuración: Catálogo con arquitecturas de referencia implementadas como productos estándar
AWS CloudFormation
Servicio: AWS CloudFormation
Recurso: Templates estandarizados
Configuración: Templates basados en arquitecturas de referencia con parámetros controlados
AWS Config
Servicio: AWS Config
Recurso: Custom rules y conformance packs
Configuración: Reglas que validan cumplimiento con políticas arquitecturales definidas
AWS Systems Manager
Servicio: AWS Systems Manager
Recurso: Parameter Store
Configuración: Parámetros estandarizados para configuraciones arquitecturales aprobadas</t>
  </si>
  <si>
    <t>AWS Organizations Verificar existencia de SCPs que enforzan políticas arquitecturales como restricciones de tipos de instancia o servicios permitidos. Cumplimiento indica políticas activas limitando opciones a estándares aprobados. Incumplimiento evidenciado por ausencia de SCPs o políticas demasiado permisivas.
AWS Service Catalog Verificar catálogo activo con productos basados en arquitecturas de referencia pre-aprobadas. Cumplimiento indica portfolios con productos estandarizados siendo utilizados. Incumplimiento evidenciado por ausencia de catálogo o productos no basados en referencias estándar.
AWS CloudFormation Verificar uso de templates estandarizados basados en arquitecturas de referencia. Cumplimiento indica templates reutilizables siguiendo patrones aprobados. Incumplimiento evidenciado por templates ad-hoc sin referencia a estándares organizacionales.
AWS Config Verificar reglas custom que validen cumplimiento con políticas arquitecturales. Cumplimiento indica reglas activas evaluando recursos contra estándares definidos. Incumplimiento evidenciado por ausencia de reglas de política o evaluaciones fallidas sin remediation.
AWS Systems Manager Verificar parámetros estandarizados para configuraciones arquitecturales aprobadas. Cumplimiento indica parameter store con valores estándar siendo utilizados. Incumplimiento evidenciado por configuraciones hardcodeadas sin centralización de estándares.</t>
  </si>
  <si>
    <t>AWS Organizations
aws organizations list-policies --filter SERVICE_CONTROL_POLICY
aws organizations describe-policy --policy-id &lt;policy-id&gt;
aws organizations list-targets-for-policy --policy-id &lt;policy-id&gt;
AWS Service Catalog
aws servicecatalog list-portfolios
aws servicecatalog describe-portfolio --id &lt;portfolio-id&gt;
aws servicecatalog search-products-as-admin --portfolio-id &lt;portfolio-id&gt;
AWS CloudFormation
aws cloudformation list-stacks --stack-status-filter CREATE_COMPLETE UPDATE_COMPLETE
aws cloudformation describe-stacks --stack-name &lt;stack-name&gt;
aws cloudformation validate-template --template-body file://template.yaml
AWS Config
aws configservice describe-config-rules
aws configservice get-compliance-details-by-config-rule --config-rule-name &lt;rule-name&gt;
aws configservice describe-conformance-packs
AWS Systems Manager
aws ssm describe-parameters
aws ssm get-parameters --names &lt;parameter-name&gt;
aws ssm get-parameters-by-path --path /architecture/standards/</t>
  </si>
  <si>
    <r>
      <rPr>
        <b/>
        <sz val="11"/>
        <color rgb="FF000000"/>
        <rFont val="Montserrat"/>
      </rPr>
      <t>PERF01-BP06</t>
    </r>
    <r>
      <rPr>
        <sz val="11"/>
        <color rgb="FF000000"/>
        <rFont val="Montserrat"/>
      </rPr>
      <t xml:space="preserve"> Utilice la evaluación comparativa para impulsar las decisiones arquitectónicas</t>
    </r>
  </si>
  <si>
    <t>Mida el rendimiento de una carga de trabajo existente para entender cómo rinde en la nube y fundamentar sus decisiones sobre arquitectura en esos datos.</t>
  </si>
  <si>
    <t>Amazon CloudWatch Synthetics
Servicio: Amazon CloudWatch Synthetics
Recurso: Canaries para synthetic testing
Configuración: Canaries configurados para benchmarking continuo de componentes críticos
Amazon CloudWatch RUM
Servicio: Amazon CloudWatch RUM
Recurso: Real user monitoring metrics
Configuración: Monitoreo de performance real de usuarios para establecer benchmarks baseline
AWS CodePipeline
Servicio: AWS CodePipeline
Recurso: Pipeline stages con performance testing
Configuración: Stages automatizados que ejecutan benchmarks y validan KPIs antes de deployment
Amazon CloudWatch
Servicio: Amazon CloudWatch
Recurso: Custom metrics y dashboards de benchmarking
Configuración: Métricas personalizadas que capturan resultados de benchmarks y tendencias
AWS Systems Manager
Servicio: AWS Systems Manager
Recurso: Automation documents para benchmarking
Configuración: Runbooks automatizados que ejecutan benchmarks estandarizados</t>
  </si>
  <si>
    <t>Amazon CloudWatch Synthetics Verificar canaries activos ejecutando benchmarks sintéticos de componentes críticos con frecuencia regular. Cumplimiento indica canaries configurados midiendo performance baseline y detectando degradaciones. Incumplimiento evidenciado por ausencia de synthetic testing o canaries no configurados para benchmarking.
Amazon CloudWatch RUM Verificar implementación de RUM capturando métricas reales de usuarios para establecer benchmarks de performance. Cumplimiento indica datos de RUM siendo utilizados para decisiones arquitecturales. Incumplimiento evidenciado por ausencia de real user monitoring o datos no analizados.
AWS CodePipeline Verificar pipelines con stages automatizados que ejecutan benchmarks y validan performance contra KPIs definidos. Cumplimiento indica integration de benchmarking en CI/CD con gates de calidad. Incumplimiento evidenciado por pipelines sin testing de performance o validación manual.
Amazon CloudWatch Verificar métricas custom y dashboards que documenten resultados de benchmarking y tendencias históricas. Cumplimiento indica métricas específicas de benchmarking siendo monitoreadas. Incumplimiento evidenciado por ausencia de métricas de benchmarking o dashboards no configurados.
AWS Systems Manager Verificar automation documents que ejecuten benchmarks estandarizados de manera consistente. Cumplimiento indica runbooks automatizados para benchmarking repetible. Incumplimiento evidenciado por benchmarking manual o procesos no estandarizados.</t>
  </si>
  <si>
    <t>Amazon CloudWatch Synthetics
aws synthetics describe-canaries
aws synthetics get-canary --name &lt;canary-name&gt;
aws synthetics get-canary-runs --name &lt;canary-name&gt; --max-results 10
Amazon CloudWatch RUM
aws rum list-app-monitors
aws rum get-app-monitor --name &lt;app-monitor-name&gt;
aws rum batch-get-rum-metric-definitions --app-monitor-name &lt;app-monitor-name&gt;
AWS CodePipeline
aws codepipeline list-pipelines
aws codepipeline get-pipeline --name &lt;pipeline-name&gt;
aws codepipeline get-pipeline-execution --pipeline-name &lt;pipeline-name&gt; --pipeline-execution-id &lt;execution-id&gt;
Amazon CloudWatch
aws cloudwatch list-dashboards
aws cloudwatch list-metrics --namespace Custom/Benchmarking
aws cloudwatch get-metric-statistics --namespace Custom/Benchmarking --metric-name &lt;metric-name&gt;
AWS Systems Manager
aws ssm list-documents --document-filter-list key=DocumentType,value=Automation
aws ssm describe-document --name &lt;benchmark-document-name&gt;
aws ssm describe-automation-executions --filters Key=DocumentName,Values=&lt;benchmark-document-name&gt;</t>
  </si>
  <si>
    <r>
      <rPr>
        <b/>
        <sz val="11"/>
        <color rgb="FF000000"/>
        <rFont val="Montserrat"/>
      </rPr>
      <t>PERF01-BP07</t>
    </r>
    <r>
      <rPr>
        <sz val="11"/>
        <color rgb="FF000000"/>
        <rFont val="Montserrat"/>
      </rPr>
      <t xml:space="preserve"> Uso de un enfoque basado en datos para las opciones arquitectónicas</t>
    </r>
  </si>
  <si>
    <t>Defina un enfoque claro basado en los datos para utilizarlo cuando tome decisiones sobre arquitectura y asegurarse de que se utilizan los servicios y las configuraciones en la nube correctos para satisfacer las necesidades específicas de su empresa.</t>
  </si>
  <si>
    <t>Amazon CloudWatch
Servicio: Amazon CloudWatch
Recurso: Metrics, logs y dashboards para decisiones arquitecturales
Configuración: Métricas personalizadas y dashboards que documenten performance data para decisiones
AWS X-Ray
Servicio: AWS X-Ray
Recurso: Distributed tracing y service maps
Configuración: Trazabilidad habilitada para recopilar datos de latencia y dependencias
AWS CloudTrail
Servicio: AWS CloudTrail
Recurso: API call logs y data events
Configuración: Logging habilitado para capturar datos de uso y patrones de acceso
Amazon QuickSight
Servicio: Amazon QuickSight
Recurso: Dashboards y análisis de performance data
Configuración: Dashboards configurados para visualizar métricas arquitecturales y tendencias
AWS Cost and Usage Reports
Servicio: AWS Cost and Usage Reports
Recurso: Detailed billing y usage data
Configuración: Reportes configurados para correlacionar performance con costos</t>
  </si>
  <si>
    <t>Amazon CloudWatch Verificar existencia de métricas custom y dashboards que capturen datos específicos del workload para decisiones arquitecturales. Cumplimiento indica métricas definidas correlacionando performance con decisiones de arquitectura. Incumplimiento evidenciado por dependencia de métricas básicas sin análisis para decisiones.
AWS X-Ray Verificar implementación de tracing que proporcione datos detallados sobre latencias y dependencias para optimización arquitectural. Cumplimiento indica traces activos siendo analizados para decisiones de diseño. Incumplimiento evidenciado por ausencia de tracing o datos no utilizados para arquitectura.
AWS CloudTrail Verificar logging configurado para capturar patrones de uso y acceso que informen decisiones arquitecturales. Cumplimiento indica logs siendo analizados para entender comportamiento del workload. Incumplimiento evidenciado por logging básico sin análisis de patrones.
Amazon QuickSight Verificar dashboards que visualicen datos de performance y faciliten análisis para decisiones arquitecturales. Cumplimiento indica visualizaciones activas siendo utilizadas por equipos de arquitectura. Incumplimiento evidenciado por ausencia de análisis visual o dashboards no utilizados.
AWS Cost and Usage Reports Verificar reportes detallados que correlacionen performance con costos para decisiones informadas. Cumplimiento indica análisis de costo-performance siendo utilizado en decisiones. Incumplimiento evidenciado por decisiones sin consideración de datos de costo-performance.</t>
  </si>
  <si>
    <t>Amazon CloudWatch
aws cloudwatch list-dashboards
aws cloudwatch list-metrics --namespace Custom
aws cloudwatch describe-alarms --state-value ALARM
aws logs describe-log-groups
AWS X-Ray
aws xray get-service-graph --start-time &lt;start-time&gt; --end-time &lt;end-time&gt;
aws xray get-trace-summaries --time-range-type TimeRangeByStartTime --start-time &lt;start-time&gt; --end-time &lt;end-time&gt;
aws xray get-sampling-rules
AWS CloudTrail
aws cloudtrail describe-trails
aws cloudtrail get-trail-status --name &lt;trail-name&gt;
aws cloudtrail lookup-events --start-time &lt;start-time&gt; --end-time &lt;end-time&gt;
Amazon QuickSight
aws quicksight list-dashboards --aws-account-id &lt;account-id&gt;
aws quicksight describe-dashboard --aws-account-id &lt;account-id&gt; --dashboard-id &lt;dashboard-id&gt;
aws quicksight list-data-sets --aws-account-id &lt;account-id&gt;
AWS Cost and Usage Reports
aws cur describe-report-definitions
aws cur put-report-definition --report-definition &lt;report-definition&gt;
aws s3 ls s3://&lt;cur-bucket&gt;/ --recursive</t>
  </si>
  <si>
    <t>Computación y hardware
PERF 2. ¿Cómo se seleccionan y usan los recursos informáticos en la carga de trabajo?</t>
  </si>
  <si>
    <r>
      <rPr>
        <b/>
        <sz val="11"/>
        <color rgb="FF000000"/>
        <rFont val="Montserrat"/>
      </rPr>
      <t>PERF02-BP01</t>
    </r>
    <r>
      <rPr>
        <sz val="11"/>
        <color rgb="FF000000"/>
        <rFont val="Montserrat"/>
      </rPr>
      <t xml:space="preserve"> Seleccione las mejores opciones de proceso para su carga de trabajo</t>
    </r>
  </si>
  <si>
    <t>Si selecciona la opción computacional más adecuada para su carga de trabajo, podrá mejorar el rendimiento, reducir los costos de infraestructura innecesarios y aligerar los esfuerzos operativos necesarios para mantener esa carga de trabajo.</t>
  </si>
  <si>
    <t>Amazon EC2
Servicio: Amazon EC2
Recurso: Instance types y families
Configuración: Selección de tipos de instancia apropiados para patrones de workload específicos
AWS Lambda
Servicio: AWS Lambda
Recurso: Function configuration
Configuración: Configuración de memoria, timeout y runtime apropiados para cargas de trabajo event-driven
Amazon ECS
Servicio: Amazon ECS
Recurso: Task definitions y container instances
Configuración: Configuración de CPU y memoria para tasks containerizados con launch types apropiados
Amazon EKS
Servicio: Amazon EKS
Recurso: Worker nodes y node groups
Configuración: Selección de instance types para worker nodes basado en workload requirements
AWS Batch
Servicio: AWS Batch
Recurso: Compute environments y job queues
Configuración: Configuración de compute environments con instance types optimizados para batch processing</t>
  </si>
  <si>
    <t>Amazon EC2 Verificar que los tipos de instancia seleccionados correspondan a los patrones de workload (compute-optimized, memory-optimized, storage-optimized). Cumplimiento indica uso de instance families apropiadas para características del workload. Incumplimiento evidenciado por uso de instance types genéricos o inadecuados para el patrón de carga.
AWS Lambda Verificar configuración de memoria y timeout apropiados para funciones basado en patrones de ejecución. Cumplimiento indica configuración optimizada para duration y memory usage patterns. Incumplimiento evidenciado por configuración default o sobre-provisionamiento sin justificación.
Amazon ECS Verificar que task definitions especifiquen CPU y memoria apropiados y que se utilice el launch type correcto (Fargate vs EC2). Cumplimiento indica configuración basada en resource requirements del workload. Incumplimiento evidenciado por configuración genérica o launch type inadecuado.
Amazon EKS Verificar que worker nodes utilicen instance types apropiados para workloads de Kubernetes desplegados. Cumplimiento indica node groups configurados según resource requirements de pods. Incumplimiento evidenciado por instance types genéricos sin consideración de workload patterns.
AWS Batch Verificar que compute environments estén configurados con instance types optimizados para batch processing requirements. Cumplimiento indica configuración específica para HPC o ML workloads. Incumplimiento evidenciado por configuración genérica sin optimización para batch patterns.</t>
  </si>
  <si>
    <t>Amazon EC2
aws ec2 describe-instances --query 'Reservations[*].Instances[*].[InstanceId,InstanceType,State.Name]'
aws ec2 describe-instance-types --instance-types &lt;instance-type&gt;
aws ec2 get-instance-types-from-instance-requirements --architecture-types x86_64
AWS Lambda
aws lambda list-functions
aws lambda get-function --function-name &lt;function-name&gt;
aws lambda get-function-configuration --function-name &lt;function-name&gt;
Amazon ECS
aws ecs list-clusters
aws ecs describe-task-definition --task-definition &lt;task-definition-arn&gt;
aws ecs list-container-instances --cluster &lt;cluster-name&gt;
Amazon EKS
aws eks list-clusters
aws eks describe-nodegroup --cluster-name &lt;cluster-name&gt; --nodegroup-name &lt;nodegroup-name&gt;
aws ec2 describe-instances --filters "Name=tag:kubernetes.io/cluster/&lt;cluster-name&gt;,Values=owned"
AWS Batch
aws batch describe-compute-environments
aws batch describe-job-queues
aws batch describe-job-definitions</t>
  </si>
  <si>
    <r>
      <rPr>
        <b/>
        <sz val="11"/>
        <color rgb="FF000000"/>
        <rFont val="Montserrat"/>
      </rPr>
      <t>PERF02-BP02</t>
    </r>
    <r>
      <rPr>
        <sz val="11"/>
        <color rgb="FF000000"/>
        <rFont val="Montserrat"/>
      </rPr>
      <t xml:space="preserve"> Descripción de la configuración y las características de proceso disponibles</t>
    </r>
  </si>
  <si>
    <t>Conozca las opciones de configuración y las características disponibles para su servicio de computación, lo que le permitirá aprovisionar la cantidad de recursos adecuada y conseguir un rendimiento más eficiente.</t>
  </si>
  <si>
    <t>AWS Compute Optimizer
Servicio: AWS Compute Optimizer
Recurso: Recommendations y findings
Configuración: Servicio habilitado con recomendaciones de configuración para EC2, Lambda, EBS y Auto Scaling Groups
Amazon EC2
Servicio: Amazon EC2
Recurso: Instance types y features
Configuración: Uso de instance families apropiadas (compute-optimized, memory-optimized, storage-optimized) con features específicas habilitadas
AWS Lambda
Servicio: AWS Lambda
Recurso: Function configuration
Configuración: Configuración de memory, timeout, runtime y concurrency basada en workload characteristics
Amazon ECS/EKS
Servicio: Amazon ECS/EKS
Recurso: Task definitions y resource allocation
Configuración: CPU y memory allocation apropiados con launch types optimizados (Fargate vs EC2)
AWS Auto Scaling
Servicio: AWS Auto Scaling
Recurso: Scaling policies y target tracking
Configuración: Políticas de scaling configuradas basadas en métricas de performance específicas del workload</t>
  </si>
  <si>
    <t>AWS Compute Optimizer Verificar que el servicio esté habilitado y generando recomendaciones basadas en utilization patterns. Cumplimiento indica recomendaciones activas siendo evaluadas e implementadas. Incumplimiento evidenciado por servicio deshabilitado o recomendaciones ignoradas sin justificación.
Amazon EC2 Verificar que se utilicen instance families apropiadas para workload characteristics y que features específicas estén habilitadas cuando sea necesario. Cumplimiento indica selección informada de instance types con features optimizadas. Incumplimiento evidenciado por uso de instance types genéricos sin consideración de workload patterns.
AWS Lambda Verificar configuración de memory, timeout y concurrency basada en execution patterns y performance requirements. Cumplimiento indica configuración optimizada para function characteristics. Incumplimiento evidenciado por configuración default sin optimización para workload específico.
Amazon ECS/EKS Verificar que task definitions especifiquen resource allocation apropiado y que se utilice el launch type correcto. Cumplimiento indica configuración basada en container resource requirements. Incumplimiento evidenciado por configuración genérica sin consideración de workload characteristics.
AWS Auto Scaling Verificar que scaling policies estén configuradas basadas en métricas específicas del workload y no solo en CPU utilization. Cumplimiento indica políticas personalizadas para workload patterns. Incumplimiento evidenciado por políticas básicas sin customización para workload específico.</t>
  </si>
  <si>
    <t>AWS Compute Optimizer
aws compute-optimizer get-enrollment-status
aws compute-optimizer get-ec2-instance-recommendations
aws compute-optimizer get-lambda-function-recommendations
aws compute-optimizer get-auto-scaling-group-recommendations
Amazon EC2
aws ec2 describe-instances --query 'Reservations[*].Instances[*].[InstanceId,InstanceType,CpuOptions,EbsOptimized]'
aws ec2 describe-instance-types --instance-types &lt;instance-type&gt; --query 'InstanceTypes[*].[InstanceType,VCpuInfo,MemoryInfo,ProcessorInfo]'
aws ec2 describe-instance-attribute --instance-id &lt;instance-id&gt; --attribute ebsOptimized
AWS Lambda
aws lambda list-functions --query 'Functions[*].[FunctionName,Runtime,MemorySize,Timeout]'
aws lambda get-function-configuration --function-name &lt;function-name&gt;
aws lambda get-provisioned-concurrency-config --function-name &lt;function-name&gt;
Amazon ECS/EKS
aws ecs describe-task-definition --task-definition &lt;task-definition-arn&gt; --query 'taskDefinition.[cpu,memory,requiresCompatibilities]'
aws eks describe-nodegroup --cluster-name &lt;cluster-name&gt; --nodegroup-name &lt;nodegroup-name&gt; --query 'nodegroup.[instanceTypes,capacityType]'
AWS Auto Scaling
aws autoscaling describe-auto-scaling-groups --query 'AutoScalingGroups[*].[AutoScalingGroupName,DesiredCapacity,MinSize,MaxSize]'
aws autoscaling describe-policies --auto-scaling-group-name &lt;asg-name&gt;
aws application-autoscaling describe-scaling-policies --service-namespace ecs</t>
  </si>
  <si>
    <r>
      <rPr>
        <b/>
        <sz val="11"/>
        <color rgb="FF000000"/>
        <rFont val="Montserrat"/>
      </rPr>
      <t>PERF02-BP03</t>
    </r>
    <r>
      <rPr>
        <sz val="11"/>
        <color rgb="FF000000"/>
        <rFont val="Montserrat"/>
      </rPr>
      <t xml:space="preserve"> Recopilación de métricas relacionadas con el proceso</t>
    </r>
  </si>
  <si>
    <t>Registre y supervise las métricas relacionadas con los recursos de computación para comprender mejor el rendimiento de los recursos de computación y mejorar su rendimiento y su uso.</t>
  </si>
  <si>
    <t>Amazon CloudWatch
Servicio: Amazon CloudWatch
Recurso: Metrics, logs y alarms
Configuración: Métricas default y custom configuradas con retention policies y alarmas para compute resources
AWS CloudWatch Agent
Servicio: AWS CloudWatch Agent
Recurso: Agent configuration y custom metrics
Configuración: Agentes desplegados en EC2 instances para recopilar memory y disk metrics
Amazon CloudWatch RUM
Servicio: Amazon CloudWatch RUM
Recurso: Real user monitoring data
Configuración: Monitoreo de performance del frontend con métricas de user experience
AWS X-Ray
Servicio: AWS X-Ray
Recurso: Distributed tracing
Configuración: Tracing habilitado para aplicaciones con sampling rules configuradas
AWS Systems Manager
Servicio: AWS Systems Manager
Recurso: Automation documents para deployment de agents
Configuración: Runbooks automatizados para desplegar y configurar monitoring agents</t>
  </si>
  <si>
    <t>Amazon CloudWatch Verificar que se recopilen métricas default y custom relevantes para el workload con alarmas configuradas. Cumplimiento indica métricas de CPU, memory, network y disk siendo monitoreadas con retention policies apropiadas. Incumplimiento evidenciado por dependencia solo de métricas básicas sin custom metrics específicas del workload.
AWS CloudWatch Agent Verificar que agentes estén desplegados en EC2 instances recopilando métricas detalladas de memory y disk. Cumplimiento indica agentes configurados enviando métricas custom a CloudWatch. Incumplimiento evidenciado por ausencia de agentes o configuración básica sin métricas detalladas.
Amazon CloudWatch RUM Verificar implementación de RUM para aplicaciones web capturando métricas de user experience. Cumplimiento indica datos de performance del frontend siendo recopilados y analizados. Incumplimiento evidenciado por ausencia de RUM o métricas no correlacionadas con performance.
AWS X-Ray Verificar que tracing esté habilitado para aplicaciones distribuidas con sampling rules apropiadas. Cumplimiento indica traces siendo recopilados para análisis de latencia y bottlenecks. Incumplimiento evidenciado por ausencia de tracing o sampling inadecuado.
AWS Systems Manager Verificar automation para deployment consistente de monitoring agents y configuraciones. Cumplimiento indica runbooks automatizados para gestión de agents. Incumplimiento evidenciado por deployment manual de agents o configuraciones inconsistentes.</t>
  </si>
  <si>
    <t>Amazon CloudWatch
aws cloudwatch list-metrics --namespace AWS/EC2
aws cloudwatch list-metrics --namespace CWAgent
aws cloudwatch describe-alarms --state-value ALARM
aws logs describe-log-groups --query 'logGroups[*].[logGroupName,retentionInDays]'
AWS CloudWatch Agent
aws ssm get-parameter --name AmazonCloudWatch-Config
aws ssm describe-instance-information --filters "Name=PingStatus,Values=Online"
aws cloudwatch list-metrics --namespace CWAgent --metric-name mem_used_percent
Amazon CloudWatch RUM
aws rum list-app-monitors
aws rum get-app-monitor --name &lt;app-monitor-name&gt;
aws rum batch-get-rum-metric-definitions --app-monitor-name &lt;app-monitor-name&gt;
AWS X-Ray
aws xray get-sampling-rules
aws xray get-service-graph --start-time &lt;start-time&gt; --end-time &lt;end-time&gt;
aws xray get-trace-summaries --time-range-type TimeRangeByStartTime --start-time &lt;start-time&gt; --end-time &lt;end-time&gt;
AWS Systems Manager
aws ssm list-documents --document-filter-list key=DocumentType,value=Automation
aws ssm describe-automation-executions --filters Key=DocumentName,Values=AWS-ConfigureAWSPackage
aws ssm describe-instance-associations-status --instance-id &lt;instance-id&gt;</t>
  </si>
  <si>
    <r>
      <rPr>
        <b/>
        <sz val="11"/>
        <color rgb="FF000000"/>
        <rFont val="Montserrat"/>
      </rPr>
      <t>PERF02-BP04</t>
    </r>
    <r>
      <rPr>
        <sz val="11"/>
        <color rgb="FF000000"/>
        <rFont val="Montserrat"/>
      </rPr>
      <t xml:space="preserve"> Configurar y ajustar el tamaño de los recursos informáticos</t>
    </r>
  </si>
  <si>
    <t>Configure y dimensione correctamente los recursos de computación para que se ajusten a los requisitos de rendimiento de su carga de trabajo y evitar la infrautilización o el uso excesivo de recursos.</t>
  </si>
  <si>
    <t>AWS Compute Optimizer
Servicio: AWS Compute Optimizer
Recurso: Right-sizing recommendations
Configuración: Servicio habilitado generando recomendaciones de rightsizing para EC2, Lambda, EBS y Auto Scaling Groups
Amazon EC2
Servicio: Amazon EC2
Recurso: Instance types y sizing
Configuración: Instances configuradas con tipos apropiados basados en workload characteristics (CPU, memory, I/O requirements)
AWS Auto Scaling
Servicio: AWS Auto Scaling
Recurso: Auto Scaling Groups y policies
Configuración: ASGs configurados con instance types apropiados y políticas de scaling basadas en métricas
AWS Lambda
Servicio: AWS Lambda
Recurso: Function memory y timeout configuration
Configuración: Funciones configuradas con memory allocation y timeout apropiados basados en execution patterns
Amazon ECS/EKS
Servicio: Amazon ECS/EKS
Recurso: Task definitions y resource allocation
Configuración: Tasks configurados con CPU y memory allocation apropiados para container workloads</t>
  </si>
  <si>
    <t>AWS Compute Optimizer Verificar que el servicio esté habilitado y que las recomendaciones de rightsizing se evalúen e implementen regularmente. Cumplimiento indica recomendaciones activas siendo utilizadas para optimización. Incumplimiento evidenciado por servicio deshabilitado o recomendaciones ignoradas sin justificación.
Amazon EC2 Verificar que instance types estén seleccionados basados en workload requirements específicos y no en configuraciones genéricas. Cumplimiento indica instances rightsized para CPU, memory e I/O needs. Incumplimiento evidenciado por over-provisioning, under-provisioning o uso de instance types inadecuados.
AWS Auto Scaling Verificar que ASGs utilicen instance types apropiados y que scaling policies estén basadas en métricas relevantes del workload. Cumplimiento indica configuración optimizada para demand patterns. Incumplimiento evidenciado por instance types genéricos o políticas de scaling básicas.
AWS Lambda Verificar que funciones tengan memory allocation y timeout configurados basados en execution patterns y performance requirements. Cumplimiento indica configuración optimizada para function characteristics. Incumplimiento evidenciado por configuración default sin optimización.
Amazon ECS/EKS Verificar que task definitions especifiquen resource allocation apropiado basado en container requirements. Cumplimiento indica CPU y memory allocation optimizados. Incumplimiento evidenciado por configuración genérica sin consideración de workload needs.</t>
  </si>
  <si>
    <t>AWS Compute Optimizer
aws compute-optimizer get-enrollment-status
aws compute-optimizer get-ec2-instance-recommendations --instance-arns &lt;instance-arn&gt;
aws compute-optimizer get-lambda-function-recommendations
aws compute-optimizer get-auto-scaling-group-recommendations
Amazon EC2
aws ec2 describe-instances --query 'Reservations[*].Instances[*].[InstanceId,InstanceType,CpuOptions,State.Name]'
aws cloudwatch get-metric-statistics --namespace AWS/EC2 --metric-name CPUUtilization --dimensions Name=InstanceId,Value=&lt;instance-id&gt;
aws ec2 describe-instance-types --instance-types &lt;instance-type&gt; --query 'InstanceTypes[*].[VCpuInfo,MemoryInfo]'
AWS Auto Scaling
aws autoscaling describe-auto-scaling-groups --query 'AutoScalingGroups[*].[AutoScalingGroupName,LaunchTemplate,MixedInstancesPolicy]'
aws autoscaling describe-policies --auto-scaling-group-name &lt;asg-name&gt;
aws cloudwatch describe-alarms --alarm-names &lt;scaling-alarm-name&gt;
AWS Lambda
aws lambda list-functions --query 'Functions[*].[FunctionName,MemorySize,Timeout,Runtime]'
aws lambda get-function-configuration --function-name &lt;function-name&gt;
aws logs filter-log-events --log-group-name /aws/lambda/&lt;function-name&gt; --filter-pattern "REPORT"
Amazon ECS/EKS
aws ecs describe-task-definition --task-definition &lt;task-definition-arn&gt; --query 'taskDefinition.[cpu,memory,containerDefinitions[*].[name,cpu,memory]]'
aws ecs describe-services --cluster &lt;cluster-name&gt; --services &lt;service-name&gt; --query 'services[*].[serviceName,desiredCount,runningCount]'
kubectl top nodes
kubectl top pods --all-namespaces</t>
  </si>
  <si>
    <r>
      <rPr>
        <b/>
        <sz val="11"/>
        <color rgb="FF000000"/>
        <rFont val="Montserrat"/>
      </rPr>
      <t>PERF02-BP05</t>
    </r>
    <r>
      <rPr>
        <sz val="11"/>
        <color rgb="FF000000"/>
        <rFont val="Montserrat"/>
      </rPr>
      <t xml:space="preserve"> Escale sus recursos informáticos de forma dinámica</t>
    </r>
  </si>
  <si>
    <t>Utilice la elasticidad de la nube para aumentar o reducir sus recursos computacionales de forma dinámica de forma que se ajusten a sus necesidades, lo que evitará un aprovisionamiento de capacidad excesivo o insuficiente para su carga de trabajo.</t>
  </si>
  <si>
    <t>Amazon EC2 Auto Scaling
Servicio: Amazon EC2 Auto Scaling
Recurso: Auto Scaling Groups y scaling policies
Configuración: ASGs configurados con target tracking, step scaling o predictive scaling policies basados en métricas relevantes
AWS Application Auto Scaling
Servicio: AWS Application Auto Scaling
Recurso: Scalable targets y scaling policies
Configuración: Scaling configurado para ECS services, Lambda concurrency, DynamoDB tables y otros servicios
Amazon ECS Service Auto Scaling
Servicio: Amazon ECS
Recurso: Service scaling policies
Configuración: Services configurados con target tracking scaling basado en CPU, memory o custom metrics
Kubernetes Cluster Autoscaler/Karpenter
Servicio: Amazon EKS
Recurso: Node scaling y pod autoscaling
Configuración: Cluster Autoscaler o Karpenter configurado para scaling automático de nodes basado en pod demands
AWS Lambda
Servicio: AWS Lambda
Recurso: Concurrency settings
Configuración: Reserved y provisioned concurrency configurados apropiadamente para traffic patterns</t>
  </si>
  <si>
    <t>Amazon EC2 Auto Scaling Verificar que ASGs utilicen dynamic scaling con target tracking policies en lugar de manual scaling. Cumplimiento indica políticas configuradas con métricas apropiadas y scaling automático funcionando. Incumplimiento evidenciado por scaling manual, políticas básicas o métricas inadecuadas.
AWS Application Auto Scaling Verificar que servicios compatibles tengan scaling automático configurado con target tracking basado en utilization metrics. Cumplimiento indica scaling policies activas para múltiples servicios. Incumplimiento evidenciado por ausencia de auto scaling o configuración manual.
Amazon ECS Service Auto Scaling Verificar que ECS services tengan scaling policies configuradas basadas en CPU, memory o custom metrics. Cumplimiento indica services escalando automáticamente según demand. Incumplimiento evidenciado por services con capacity fija o scaling manual.
Kubernetes Cluster Autoscaler/Karpenter Verificar que EKS clusters tengan node autoscaling configurado para responder a pod scheduling demands. Cumplimiento indica nodes escalando automáticamente basado en resource requests. Incumplimiento evidenciado por cluster size fijo o scaling manual de nodes.
AWS Lambda Verificar que funciones tengan concurrency settings apropiados para traffic patterns esperados. Cumplimiento indica reserved/provisioned concurrency configurado según usage patterns. Incumplimiento evidenciado por configuración default sin optimización para traffic.</t>
  </si>
  <si>
    <t>Amazon EC2 Auto Scaling
aws autoscaling describe-auto-scaling-groups --query 'AutoScalingGroups[*].[AutoScalingGroupName,MinSize,MaxSize,DesiredCapacity]'
aws autoscaling describe-policies --auto-scaling-group-name &lt;asg-name&gt;
aws autoscaling describe-scaling-activities --auto-scaling-group-name &lt;asg-name&gt; --max-items 10
AWS Application Auto Scaling
aws application-autoscaling describe-scalable-targets --service-namespace ecs
aws application-autoscaling describe-scaling-policies --service-namespace ecs
aws application-autoscaling describe-scaling-activities --service-namespace ecs --max-items 10
Amazon ECS Service Auto Scaling
aws ecs describe-services --cluster &lt;cluster-name&gt; --services &lt;service-name&gt; --query 'services[*].[serviceName,desiredCount,runningCount]'
aws application-autoscaling describe-scaling-policies --service-namespace ecs --resource-id service/&lt;cluster-name&gt;/&lt;service-name&gt;
Kubernetes Cluster Autoscaler/Karpenter
kubectl get nodes
kubectl describe configmap cluster-autoscaler-status -n kube-system
kubectl get deployment cluster-autoscaler -n kube-system
kubectl get pods -n karpenter
kubectl describe nodepool
AWS Lambda
aws lambda list-functions --query 'Functions[*].[FunctionName,ReservedConcurrencyLimit]'
aws lambda get-provisioned-concurrency-config --function-name &lt;function-name&gt;
aws lambda list-provisioned-concurrency-configs --function-name &lt;function-name&gt;</t>
  </si>
  <si>
    <r>
      <rPr>
        <b/>
        <sz val="11"/>
        <color rgb="FF000000"/>
        <rFont val="Montserrat"/>
      </rPr>
      <t>PERF02-BP06</t>
    </r>
    <r>
      <rPr>
        <sz val="11"/>
        <color rgb="FF000000"/>
        <rFont val="Montserrat"/>
      </rPr>
      <t xml:space="preserve"> Uso de aceleradores de proceso optimizados basados en hardware</t>
    </r>
  </si>
  <si>
    <t>Use aceleradores de hardware para llevar a cabo ciertas funciones de manera más eficiente que con las alternativas basadas en CPU.</t>
  </si>
  <si>
    <t>Amazon EC2 GPU Instances
Servicio: Amazon EC2
Recurso: GPU-enabled instance types (P, G, Inf, Trn families)
Configuración: Instances con GPUs configuradas para workloads específicos como ML training, inference, HPC o graphics
AWS Trainium
Servicio: Amazon EC2 Trn instances
Recurso: Trainium chips para ML training
Configuración: Instances optimizadas para deep learning training con Trainium accelerators
AWS Inferentia
Servicio: Amazon EC2 Inf instances
Recurso: Inferentia chips para ML inference
Configuración: Instances optimizadas para ML inference con cost-effective performance
Amazon ECS GPU Support
Servicio: Amazon ECS
Recurso: GPU-enabled task definitions
Configuración: Tasks configuradas para utilizar GPU resources en containers
Amazon SageMaker
Servicio: Amazon SageMaker
Recurso: ML instances con accelerators
Configuración: Training y inference jobs configurados con GPU, Trainium o Inferentia instances</t>
  </si>
  <si>
    <t>Amazon EC2 GPU Instances Verificar que workloads apropiados utilicen GPU instances en lugar de CPU-only instances para tasks como ML, HPC o graphics processing. Cumplimiento indica uso de P, G, Inf o Trn instances para workloads que se benefician de acceleration. Incumplimiento evidenciado por uso de CPU instances para tasks que requieren acceleration.
AWS Trainium Verificar que ML training workloads utilicen Trainium instances cuando sea apropiado para cost-effective training. Cumplimiento indica uso de Trn instances para deep learning training. Incumplimiento evidenciado por uso de GPU instances más costosas para training que podría ejecutarse en Trainium.
AWS Inferentia Verificar que ML inference workloads utilicen Inferentia instances para cost-effective inference performance. Cumplimiento indica uso de Inf instances para inference workloads. Incumplimiento evidenciado por uso de GPU instances más costosas para inference simple.
Amazon ECS GPU Support Verificar que containerized workloads que requieren GPU tengan task definitions configuradas apropiadamente. Cumplimiento indica tasks utilizando GPU resources cuando es necesario. Incumplimiento evidenciado por containers ejecutándose en CPU cuando requieren GPU acceleration.
Amazon SageMaker Verificar que ML workloads en SageMaker utilicen instance types con accelerators apropiados. Cumplimiento indica training y inference jobs optimizados con hardware accelerators. Incumplimiento evidenciado por uso de CPU instances para ML workloads que se beneficiarían de acceleration.</t>
  </si>
  <si>
    <t xml:space="preserve">Amazon EC2 GPU Instances
aws ec2 describe-instances --query 'Reservations[*].Instances[*].[InstanceId,InstanceType,State.Name]' --filters "Name=instance-type,Values=p*,g*,inf*,trn*"
aws ec2 describe-instance-types --instance-types p3.2xlarge --query 'InstanceTypes[*].[GpuInfo,ProcessorInfo]'
aws cloudwatch get-metric-statistics --namespace AWS/EC2 --metric-name GPUUtilization --dimensions Name=InstanceId,Value=&lt;instance-id&gt;
AWS Trainium
aws ec2 describe-instances --filters "Name=instance-type,Values=trn*" --query 'Reservations[*].Instances[*].[InstanceId,InstanceType,State.Name]'
aws ec2 describe-instance-types --instance-types trn1.2xlarge --query 'InstanceTypes[*].[ProcessorInfo,NetworkInfo]'
AWS Inferentia
aws ec2 describe-instances --filters "Name=instance-type,Values=inf*" --query 'Reservations[*].Instances[*].[InstanceId,InstanceType,State.Name]'
aws ec2 describe-instance-types --instance-types inf1.xlarge --query 'InstanceTypes[*].[ProcessorInfo,InferenceAcceleratorInfo]'
Amazon ECS GPU Support
aws ecs describe-task-definition --task-definition &lt;task-definition-arn&gt; --query 'taskDefinition.containerDefinitions[*].[name,resourceRequirements]'
aws ecs list-container-instances --cluster &lt;cluster-name&gt; --filter "attribute:ecs.instance-type =~ .*gpu.*"
Amazon SageMaker
aws sagemaker list-training-jobs --query 'TrainingJobSummaries[*].[TrainingJobName,ResourceConfig.InstanceType,TrainingJobStatus]'
aws sagemaker list-endpoints --query 'Endpoints[*].[EndpointName,EndpointStatus]'
aws sagemaker describe-endpoint-config --endpoint-config-name &lt;config-name&gt; --query 'ProductionVariants[*].[InstanceType,AcceleratorType]'
</t>
  </si>
  <si>
    <t>Gestión de datos
PERF 3. ¿Cómo almacena, administra y accede a los datos en su carga de trabajo?</t>
  </si>
  <si>
    <r>
      <rPr>
        <b/>
        <sz val="11"/>
        <color rgb="FF000000"/>
        <rFont val="Montserrat"/>
      </rPr>
      <t xml:space="preserve">PERF03-BP01 </t>
    </r>
    <r>
      <rPr>
        <sz val="11"/>
        <color rgb="FF000000"/>
        <rFont val="Montserrat"/>
      </rPr>
      <t>Utilice un almacén de datos especialmente diseñado que satisfaga mejor sus requisitos de acceso y almacenamiento de datos</t>
    </r>
  </si>
  <si>
    <t>Debe saber cuáles son las características de los datos (por ejemplo, si se pueden compartir, su tamaño, los patrones de acceso, la latencia, el rendimiento y su persistencia) para seleccionar los almacenes de datos personalizados acordes a su carga de trabajo (almacenamiento o base de datos).</t>
  </si>
  <si>
    <t>Amazon S3
Servicio: Amazon S3
Recurso: Buckets y storage classes
Configuración: Storage classes apropiadas (Standard, IA, Glacier) basadas en access patterns y retention requirements
Amazon RDS/Aurora
Servicio: Amazon RDS/Aurora
Recurso: Database instances y engine types
Configuración: Engine selection (MySQL, PostgreSQL, Oracle, SQL Server) basado en workload requirements y ACID compliance
Amazon DynamoDB
Servicio: Amazon DynamoDB
Recurso: Tables y indexes
Configuración: Key-value store configurado para high-performance NoSQL workloads con appropriate provisioning
Amazon ElastiCache/MemoryDB
Servicio: Amazon ElastiCache/MemoryDB
Recurso: Cache clusters
Configuración: In-memory data stores (Redis/Memcached) para low-latency access patterns
Amazon Redshift
Servicio: Amazon Redshift
Recurso: Data warehouse clusters
Configuración: Columnar storage optimizado para analytics y data warehousing workloads</t>
  </si>
  <si>
    <t>Amazon S3 Verificar que se utilicen storage classes apropiadas basadas en access frequency y retention requirements. Cumplimiento indica uso de Standard para frequent access, IA para infrequent access, y Glacier para archival. Incumplimiento evidenciado por uso de storage class inadecuada para access patterns.
Amazon RDS/Aurora Verificar que database engine esté seleccionado basado en workload requirements específicos y no por familiaridad. Cumplimiento indica engine selection basada en performance needs, ACID requirements y compatibility. Incumplimiento evidenciado por uso de engine genérico sin consideración de workload characteristics.
Amazon DynamoDB Verificar que se utilice para workloads que requieren high-performance NoSQL capabilities. Cumplimiento indica uso apropiado para key-value access patterns con low latency requirements. Incumplimiento evidenciado por uso para workloads que requieren complex queries o ACID transactions.
Amazon ElastiCache/MemoryDB Verificar que se implemente para workloads que se benefician de in-memory caching. Cumplimiento indica uso para reducing database load y improving response times. Incumplimiento evidenciado por ausencia de caching para workloads con repetitive data access.
Amazon Redshift Verificar que se utilice para analytics y data warehousing workloads en lugar de OLTP. Cumplimiento indica uso apropiado para columnar analytics workloads. Incumplimiento evidenciado por uso para transactional workloads o small datasets.</t>
  </si>
  <si>
    <t>Amazon S3
aws s3api list-buckets
aws s3api get-bucket-location --bucket &lt;bucket-name&gt;
aws s3api get-bucket-lifecycle-configuration --bucket &lt;bucket-name&gt;
aws s3api get-bucket-intelligent-tiering-configuration --bucket &lt;bucket-name&gt; --id &lt;config-id&gt;
Amazon RDS/Aurora
aws rds describe-db-instances --query 'DBInstances[*].[DBInstanceIdentifier,Engine,DBInstanceClass,StorageType]'
aws rds describe-db-clusters --query 'DBClusters[*].[DBClusterIdentifier,Engine,DatabaseName]'
aws rds describe-db-parameter-groups --query 'DBParameterGroups[*].[DBParameterGroupName,DBParameterGroupFamily]'
Amazon DynamoDB
aws dynamodb list-tables
aws dynamodb describe-table --table-name &lt;table-name&gt; --query 'Table.[TableName,BillingModeSummary,GlobalSecondaryIndexes]'
aws dynamodb describe-table --table-name &lt;table-name&gt; --query 'Table.ProvisionedThroughput'
Amazon ElastiCache/MemoryDB
aws elasticache describe-cache-clusters --query 'CacheClusters[*].[CacheClusterId,Engine,CacheNodeType,NumCacheNodes]'
aws memorydb describe-clusters --query 'Clusters[*].[Name,NodeType,Engine,Status]'
aws elasticache describe-replication-groups --query 'ReplicationGroups[*].[ReplicationGroupId,Status,CacheNodeType]'
Amazon Redshift
aws redshift describe-clusters --query 'Clusters[*].[ClusterIdentifier,NodeType,NumberOfNodes,ClusterStatus]'
aws redshift describe-cluster-parameters --parameter-group-name &lt;parameter-group-name&gt;
aws redshift describe-cluster-snapshots --cluster-identifier &lt;cluster-identifier&gt;</t>
  </si>
  <si>
    <r>
      <rPr>
        <b/>
        <sz val="11"/>
        <color rgb="FF000000"/>
        <rFont val="Montserrat"/>
      </rPr>
      <t>PERF03-BP02</t>
    </r>
    <r>
      <rPr>
        <sz val="11"/>
        <color rgb="FF000000"/>
        <rFont val="Montserrat"/>
      </rPr>
      <t xml:space="preserve"> Evaluar las opciones de configuración disponibles para el almacén de datos</t>
    </r>
  </si>
  <si>
    <t>Estudie y evalúe las diversas características y opciones de configuración disponibles para sus almacenes de datos a fin de optimizar el espacio de almacenamiento y el rendimiento de su carga de trabajo.</t>
  </si>
  <si>
    <t>Amazon RDS/Aurora
Servicio: Amazon RDS/Aurora
Recurso: Instance types, storage types y read replicas
Configuración: Instance sizing, storage optimization (gp3, io1, io2), read replica configuration y connection pooling con RDS Proxy
Amazon DynamoDB
Servicio: Amazon DynamoDB
Recurso: Provisioned vs On-Demand capacity, DAX caching
Configuración: Capacity modes, auto-scaling policies, Global Secondary Indexes y DynamoDB Accelerator (DAX)
Amazon S3
Servicio: Amazon S3
Recurso: Storage classes y lifecycle policies
Configuración: Intelligent Tiering, Transfer Acceleration, multipart uploads y lifecycle management policies
Amazon ElastiCache
Servicio: Amazon ElastiCache
Recurso: Engine types y cluster configuration
Configuración: Redis vs Memcached selection, cluster mode, node types y replication groups
Amazon EBS
Servicio: Amazon EBS
Recurso: Volume types y performance optimization
Configuración: gp3, io1, io2 volume types con IOPS y throughput optimization basado en workload patterns</t>
  </si>
  <si>
    <t>Amazon RDS/Aurora Verificar que instance types y storage estén optimizados para workload patterns y que read replicas estén configuradas apropiadamente. Cumplimiento indica configuración basada en access patterns con RDS Proxy para connection pooling. Incumplimiento evidenciado por configuración genérica sin optimización para read/write patterns.
Amazon DynamoDB Verificar que capacity mode esté seleccionado apropiadamente y que DAX esté implementado para workloads que requieren microsecond latency. Cumplimiento indica On-Demand para unpredictable traffic o Provisioned con auto-scaling. Incumplimiento evidenciado por capacity mode inadecuado o ausencia de caching para high-read workloads.
Amazon S3 Verificar que storage classes y lifecycle policies estén configuradas basadas en access patterns. Cumplimiento indica Intelligent Tiering para unknown patterns y Transfer Acceleration para global access. Incumplimiento evidenciado por uso de Standard storage para infrequent access o ausencia de lifecycle policies.
Amazon ElastiCache Verificar que engine type y cluster configuration estén optimizados para caching requirements. Cumplimiento indica Redis para persistence needs o Memcached para simple caching. Incumplimiento evidenciado por engine selection inadecuada o cluster configuration no optimizada.
Amazon EBS Verificar que volume types estén seleccionados basados en IOPS y throughput requirements. Cumplimiento indica gp3 para balanced performance, io1/io2 para high IOPS workloads. Incumplimiento evidenciado por volume type genérico sin consideración de performance requirements.</t>
  </si>
  <si>
    <t>Amazon RDS/Aurora
aws rds describe-db-instances --query 'DBInstances[*].[DBInstanceIdentifier,DBInstanceClass,StorageType,Iops,ReadReplicaDBInstanceIdentifiers]'
aws rds describe-db-proxies --query 'DBProxies[*].[DBProxyName,Status,EngineFamily]'
aws rds describe-db-parameter-groups --query 'DBParameterGroups[*].[DBParameterGroupName,DBParameterGroupFamily]'
Amazon DynamoDB
aws dynamodb describe-table --table-name &lt;table-name&gt; --query 'Table.[BillingModeSummary,ProvisionedThroughput,GlobalSecondaryIndexes]'
aws dax describe-clusters --query 'Clusters[*].[ClusterName,Status,NodeType,TotalNodes]'
aws application-autoscaling describe-scalable-targets --service-namespace dynamodb
Amazon S3
aws s3api get-bucket-lifecycle-configuration --bucket &lt;bucket-name&gt;
aws s3api get-bucket-intelligent-tiering-configuration --bucket &lt;bucket-name&gt; --id &lt;config-id&gt;
aws s3api get-bucket-accelerate-configuration --bucket &lt;bucket-name&gt;
aws s3api get-bucket-analytics-configuration --bucket &lt;bucket-name&gt; --id &lt;config-id&gt;
Amazon ElastiCache
aws elasticache describe-cache-clusters --query 'CacheClusters[*].[CacheClusterId,Engine,CacheNodeType,NumCacheNodes]'
aws elasticache describe-replication-groups --query 'ReplicationGroups[*].[ReplicationGroupId,Status,NodeGroups]'
aws elasticache describe-cache-parameter-groups --query 'CacheParameterGroups[*].[CacheParameterGroupName,CacheParameterGroupFamily]'
Amazon EBS
aws ec2 describe-volumes --query 'Volumes[*].[VolumeId,VolumeType,Size,Iops,Throughput,State]'
aws ec2 describe-volume-modifications --query 'VolumesModifications[*].[VolumeId,ModificationState,TargetVolumeType,TargetIops]'
aws cloudwatch get-metric-statistics --namespace AWS/EBS --metric-name VolumeReadOps --dimensions Name=VolumeId,Value=&lt;volume-id&gt;</t>
  </si>
  <si>
    <r>
      <rPr>
        <b/>
        <sz val="11"/>
        <color rgb="FF000000"/>
        <rFont val="Montserrat"/>
      </rPr>
      <t>PERF03-BP03</t>
    </r>
    <r>
      <rPr>
        <sz val="11"/>
        <color rgb="FF000000"/>
        <rFont val="Montserrat"/>
      </rPr>
      <t xml:space="preserve"> Recopilar y registrar métricas de rendimiento del almacén de datos</t>
    </r>
  </si>
  <si>
    <t>Supervise y registre las métricas de rendimiento relevantes del almacén de datos para saber cómo funcionan las soluciones de administración de datos. Estas métricas pueden ser de ayuda para optimizar el almacén de datos, garantizar que se cumplen los requisitos de la carga de trabajo y proporcionar una visión general clara del rendimiento de la carga de trabajo.</t>
  </si>
  <si>
    <t>Amazon CloudWatch
Servicio: Amazon CloudWatch
Recurso: Metrics, dashboards y alarms para data stores
Configuración: Métricas default y custom configuradas con retention policies y alarmas para performance monitoring
Amazon RDS Performance Insights
Servicio: Amazon RDS Performance Insights
Recurso: Database performance monitoring
Configuración: Performance Insights habilitado para detailed database performance analysis y query optimization
Amazon DevOps Guru for RDS
Servicio: Amazon DevOps Guru
Recurso: ML-powered performance anomaly detection
Configuración: DevOps Guru configurado para detectar performance anomalies en RDS instances
AWS X-Ray
Servicio: AWS X-Ray
Recurso: Application-level database tracing
Configuración: Tracing habilitado para capturar SQL queries y database interaction patterns
Amazon CloudWatch Logs
Servicio: Amazon CloudWatch Logs
Recurso: Database logs y slow query logs
Configuración: Log groups configurados para capturar database logs con retention policies apropiadas</t>
  </si>
  <si>
    <t>Amazon CloudWatch Verificar que métricas de data store estén siendo recopiladas y monitoreadas con dashboards y alarmas configuradas. Cumplimiento indica métricas de CPU, memory, IOPS, connections y throughput siendo monitoreadas. Incumplimiento evidenciado por dependencia solo de métricas básicas sin custom metrics específicas del data store.
Amazon RDS Performance Insights Verificar que Performance Insights esté habilitado para RDS instances proporcionando detailed query analysis. Cumplimiento indica Performance Insights activo con query analysis y wait event monitoring. Incumplimiento evidenciado por ausencia de Performance Insights o datos no utilizados para optimization.
Amazon DevOps Guru for RDS Verificar que DevOps Guru esté configurado para detectar performance anomalies automáticamente. Cumplimiento indica ML-powered anomaly detection activo con recommendations. Incumplimiento evidenciado por ausencia de ML-based monitoring o anomalies no detectadas proactivamente.
AWS X-Ray Verificar que tracing esté habilitado para capturar application-level database interactions. Cumplimiento indica traces mostrando SQL queries y database latency patterns. Incumplimiento evidenciado por ausencia de application-level database tracing.
Amazon CloudWatch Logs Verificar que database logs estén siendo capturados y analizados para performance insights. Cumplimiento indica slow query logs y error logs siendo monitoreados. Incumplimiento evidenciado por logs no configurados o no analizados para performance optimization.</t>
  </si>
  <si>
    <t>Amazon CloudWatch
aws cloudwatch list-metrics --namespace AWS/RDS
aws cloudwatch list-metrics --namespace AWS/DynamoDB
aws cloudwatch describe-alarms --alarm-names &lt;data-store-alarm-name&gt;
aws cloudwatch get-dashboard --dashboard-name &lt;data-store-dashboard-name&gt;
Amazon RDS Performance Insights
aws pi describe-dimension-keys --service-type RDS --identifier &lt;resource-id&gt; --metric db.load.avg
aws pi get-resource-metrics --service-type RDS --identifier &lt;resource-id&gt; --metric-queries &lt;metric-query&gt;
aws rds describe-db-instances --query 'DBInstances[*].[DBInstanceIdentifier,PerformanceInsightsEnabled]'
Amazon DevOps Guru for RDS
aws devops-guru list-insights --status-filter Ongoing
aws devops-guru describe-insight --id &lt;insight-id&gt;
aws devops-guru list-recommendations --insight-id &lt;insight-id&gt;
AWS X-Ray
aws xray get-service-graph --start-time &lt;start-time&gt; --end-time &lt;end-time&gt;
aws xray get-trace-summaries --time-range-type TimeRangeByStartTime --start-time &lt;start-time&gt; --end-time &lt;end-time&gt; --filter-expression "service(\"database\")"
aws xray batch-get-traces --trace-ids &lt;trace-id&gt;
Amazon CloudWatch Logs
aws logs describe-log-groups --log-group-name-prefix /aws/rds
aws logs describe-log-groups --log-group-name-prefix /aws/lambda
aws logs filter-log-events --log-group-name &lt;log-group-name&gt; --filter-pattern "ERROR"
aws logs describe-metric-filters --log-group-name &lt;log-group-name&gt;</t>
  </si>
  <si>
    <r>
      <rPr>
        <b/>
        <sz val="11"/>
        <color rgb="FF000000"/>
        <rFont val="Montserrat"/>
      </rPr>
      <t>PERF03-BP04</t>
    </r>
    <r>
      <rPr>
        <sz val="11"/>
        <color rgb="FF000000"/>
        <rFont val="Montserrat"/>
      </rPr>
      <t xml:space="preserve"> Implementación de estrategias para mejorar el rendimiento de las consultas en el almacén de datos</t>
    </r>
  </si>
  <si>
    <t>Implemente estrategias que permitan optimizar los datos y mejorar las consultas para aumentar la escalabilidad y conseguir un rendimiento eficiente para su carga de trabajo.</t>
  </si>
  <si>
    <t>Amazon RDS/Aurora
Servicio: Amazon RDS/Aurora
Recurso: Query optimization y indexing strategies
Configuración: Indexes apropiados, query plan analysis, parameter tuning y read replicas para offloading reads
Amazon Redshift
Servicio: Amazon Redshift
Recurso: Columnar storage optimization
Configuración: Distribution keys, sort keys, compression encoding y materialized views para analytics workloads
Amazon Athena
Servicio: Amazon Athena
Recurso: Query optimization y data formats
Configuración: Columnar formats (Parquet, ORC), partitioning strategies y query result caching
Amazon DynamoDB
Servicio: Amazon DynamoDB
Recurso: Access patterns y indexing
Configuración: Global Secondary Indexes (GSI), Local Secondary Indexes (LSI) y partition key design optimization
Amazon ElastiCache
Servicio: Amazon ElastiCache
Recurso: Distributed caching implementation
Configuración: Cache-aside patterns, write-through caching y TTL policies para query result caching</t>
  </si>
  <si>
    <t>Amazon RDS/Aurora Verificar que queries estén optimizadas con indexes apropiados y que query plans sean analizados regularmente. Cumplimiento indica uso de EXPLAIN plans, indexes optimizados y read replicas para scaling reads. Incumplimiento evidenciado por queries sin optimization, ausencia de indexes o query plans no analizados.
Amazon Redshift Verificar que data esté optimizada con distribution keys, sort keys y compression apropiados. Cumplimiento indica columnar optimization con materialized views para frequent queries. Incumplimiento evidenciado por data no optimizada, ausencia de sort keys o queries sin materialized views.
Amazon Athena Verificar que data esté en formatos columnar optimizados con partitioning strategies apropiadas. Cumplimiento indica uso de Parquet/ORC con partitioning y query result caching. Incumplimiento evidenciado por formatos no optimizados o ausencia de partitioning strategies.
Amazon DynamoDB Verificar que access patterns estén optimizados con GSI/LSI apropiados y partition key design eficiente. Cumplimiento indica indexes diseñados para query patterns específicos. Incumplimiento evidenciado por scan operations frecuentes o partition key design inadecuado.
Amazon ElastiCache Verificar que caching strategies estén implementadas para frequent queries y data access patterns. Cumplimiento indica cache-aside o write-through patterns implementados. Incumplimiento evidenciado por ausencia de caching para repetitive queries o cache hit ratios bajos.</t>
  </si>
  <si>
    <t>Amazon RDS/Aurora
aws rds describe-db-instances --query 'DBInstances[*].[DBInstanceIdentifier,ReadReplicaDBInstanceIdentifiers]'
aws pi get-resource-metrics --service-type RDS --identifier &lt;resource-id&gt; --metric-queries &lt;query-metrics&gt;
aws rds describe-db-parameter-groups --query 'DBParameterGroups[*].[DBParameterGroupName,DBParameterGroupFamily]'
Amazon Redshift
aws redshift describe-clusters --query 'Clusters[*].[ClusterIdentifier,NodeType,NumberOfNodes]'
aws redshift describe-table-restore-status --cluster-identifier &lt;cluster-identifier&gt;
aws redshift get-cluster-credentials --cluster-identifier &lt;cluster-identifier&gt; --db-user &lt;db-user&gt;
Amazon Athena
aws athena list-query-executions --work-group &lt;work-group-name&gt;
aws athena get-query-execution --query-execution-id &lt;query-execution-id&gt;
aws athena list-data-catalogs
aws athena get-work-group --work-group &lt;work-group-name&gt;
Amazon DynamoDB
aws dynamodb describe-table --table-name &lt;table-name&gt; --query 'Table.[GlobalSecondaryIndexes,LocalSecondaryIndexes]'
aws dynamodb query --table-name &lt;table-name&gt; --key-condition-expression &lt;condition&gt;
aws cloudwatch get-metric-statistics --namespace AWS/DynamoDB --metric-name ConsumedReadCapacityUnits
Amazon ElastiCache
aws elasticache describe-cache-clusters --query 'CacheClusters[*].[CacheClusterId,Engine,CacheNodeType]'
aws cloudwatch get-metric-statistics --namespace AWS/ElastiCache --metric-name CacheHitRate --dimensions Name=CacheClusterId,Value=&lt;cluster-id&gt;
aws elasticache describe-replication-groups --query 'ReplicationGroups[*].[ReplicationGroupId,Status]'</t>
  </si>
  <si>
    <r>
      <rPr>
        <b/>
        <sz val="11"/>
        <color rgb="FF000000"/>
        <rFont val="Montserrat"/>
      </rPr>
      <t>PERF03-BP05</t>
    </r>
    <r>
      <rPr>
        <sz val="11"/>
        <color rgb="FF000000"/>
        <rFont val="Montserrat"/>
      </rPr>
      <t xml:space="preserve"> Implementación de patrones de acceso a datos que utilizan el almacenamiento en caché</t>
    </r>
  </si>
  <si>
    <t>Implemente patrones de acceso que puedan beneficiarse del almacenamiento en caché de los datos para lograr una recuperación rápida de los datos a los que se accede con frecuencia.</t>
  </si>
  <si>
    <t>Amazon ElastiCache
Servicio: Amazon ElastiCache
Recurso: Redis y Memcached clusters
Configuración: Cache clusters configurados con appropriate node types, replication groups y cache-aside/write-through patterns
Amazon DynamoDB Accelerator (DAX)
Servicio: Amazon DynamoDB DAX
Recurso: In-memory cache para DynamoDB
Configuración: DAX clusters configurados para microsecond latency con appropriate node types y TTL policies
Amazon CloudFront
Servicio: Amazon CloudFront
Recurso: Content Delivery Network caching
Configuración: CDN configurado con appropriate cache behaviors, TTL settings y origin configurations
Application-Level Caching
Servicio: Client-side caching
Recurso: In-memory application caches
Configuración: Local caching implementations con TTL policies y cache invalidation strategies
Amazon API Gateway
Servicio: Amazon API Gateway
Recurso: API response caching
Configuración: API caching habilitado con appropriate TTL settings y cache key configurations</t>
  </si>
  <si>
    <t>Amazon ElastiCache Verificar que caching esté implementado para frequent database queries y data access patterns. Cumplimiento indica cache hit rates de 80% o superior con appropriate TTL policies. Incumplimiento evidenciado por ausencia de caching para repetitive queries o cache hit rates bajos.
Amazon DynamoDB Accelerator (DAX) Verificar que DAX esté configurado para DynamoDB workloads que requieren microsecond latency. Cumplimiento indica DAX clusters activos con high cache hit rates. Incumplimiento evidenciado por DynamoDB queries sin DAX caching o latency requirements no cumplidos.
Amazon CloudFront Verificar que CDN caching esté configurado para static y dynamic content con appropriate cache behaviors. Cumplimiento indica CloudFront distributions con optimized cache settings. Incumplimiento evidenciado por content servido directamente desde origin sin CDN caching.
Application-Level Caching Verificar que client-side caching esté implementado para reduce network requests y improve response times. Cumplimiento indica local caching con appropriate invalidation strategies. Incumplimiento evidenciado por repetitive API calls sin client-side caching.
Amazon API Gateway Verificar que API response caching esté habilitado para frequent API calls con stable responses. Cumplimiento indica API caching configurado con appropriate TTL settings. Incumplimiento evidenciado por API responses no cached o TTL settings inadecuados.</t>
  </si>
  <si>
    <t>Amazon ElastiCache
aws elasticache describe-cache-clusters --query 'CacheClusters[*].[CacheClusterId,Engine,CacheNodeType,CacheClusterStatus]'
aws elasticache describe-replication-groups --query 'ReplicationGroups[*].[ReplicationGroupId,Status,NodeGroups]'
aws cloudwatch get-metric-statistics --namespace AWS/ElastiCache --metric-name CacheHitRate --dimensions Name=CacheClusterId,Value=&lt;cluster-id&gt;
Amazon DynamoDB Accelerator (DAX)
aws dax describe-clusters --query 'Clusters[*].[ClusterName,Status,NodeType,TotalNodes]'
aws cloudwatch get-metric-statistics --namespace AWS/DAX --metric-name ItemRequestCount --dimensions Name=ClusterName,Value=&lt;cluster-name&gt;
aws dax describe-parameter-groups --query 'ParameterGroups[*].[ParameterGroupName,Description]'
Amazon CloudFront
aws cloudfront list-distributions --query 'DistributionList.Items[*].[Id,DomainName,Status]'
aws cloudfront get-distribution-config --id &lt;distribution-id&gt; --query 'DistributionConfig.DefaultCacheBehavior'
aws cloudwatch get-metric-statistics --namespace AWS/CloudFront --metric-name CacheHitRate --dimensions Name=DistributionId,Value=&lt;distribution-id&gt;
Amazon API Gateway
aws apigateway get-rest-apis --query 'items[*].[id,name]'
aws apigateway get-stages --rest-api-id &lt;api-id&gt; --query 'item[*].[stageName,cacheClusterEnabled,cacheClusterSize]'
aws cloudwatch get-metric-statistics --namespace AWS/ApiGateway --metric-name CacheHitCount --dimensions Name=ApiName,Value=&lt;api-name&gt;
Monitoring Cache Performance
aws cloudwatch get-metric-statistics --namespace AWS/ElastiCache --metric-name CacheMisses --dimensions Name=CacheClusterId,Value=&lt;cluster-id&gt;
aws cloudwatch get-metric-statistics --namespace AWS/DAX --metric-name CacheMemoryUtilization --dimensions Name=ClusterName,Value=&lt;cluster-name&gt;
aws logs filter-log-events --log-group-name &lt;application-log-group&gt; --filter-pattern "cache"</t>
  </si>
  <si>
    <t>Redes y entrega de contenido
PERF 4. ¿Cómo selecciona y configura los recursos de red en su carga de trabajo?</t>
  </si>
  <si>
    <r>
      <rPr>
        <b/>
        <sz val="11"/>
        <color rgb="FF000000"/>
        <rFont val="Montserrat"/>
      </rPr>
      <t>PERF04-BP01</t>
    </r>
    <r>
      <rPr>
        <sz val="11"/>
        <color rgb="FF000000"/>
        <rFont val="Montserrat"/>
      </rPr>
      <t xml:space="preserve"> Comprender cómo afecta la red al rendimiento</t>
    </r>
  </si>
  <si>
    <t>Analice y comprenda cómo las decisiones relacionadas con la red afectan a su carga de trabajo para ofrecer un rendimiento eficiente y una mejor experiencia de usuario.</t>
  </si>
  <si>
    <t>Amazon VPC
Servicio: Amazon VPC
Recurso: VPC Flow Logs y network topology
Configuración: VPC design optimizado con subnets, route tables y security groups configurados para minimize latency
AWS Direct Connect
Servicio: AWS Direct Connect
Recurso: Dedicated network connections
Configuración: Direct Connect connections dimensionadas apropiadamente basadas en actual usage requirements
Amazon CloudFront
Servicio: Amazon CloudFront
Recurso: Edge locations y cache behaviors
Configuración: CDN configurado con appropriate edge locations y cache policies para reduce latency
Elastic Load Balancing
Servicio: Elastic Load Balancing
Recurso: Application, Network y Gateway Load Balancers
Configuración: Load balancers configurados con appropriate algorithms y health checks para optimize traffic distribution
AWS Global Accelerator
Servicio: AWS Global Accelerator
Recurso: Global network optimization
Configuración: Accelerator configurado para improve performance para global users mediante AWS global network</t>
  </si>
  <si>
    <t>Amazon VPC Verificar que VPC design esté optimizado para workload requirements con Flow Logs habilitados para network analysis. Cumplimiento indica VPC topology optimizada con appropriate subnet design y routing. Incumplimiento evidenciado por network bottlenecks, suboptimal routing o ausencia de Flow Logs.
AWS Direct Connect Verificar que Direct Connect connections estén dimensionadas basadas en actual usage patterns y no over-provisioned. Cumplimiento indica connections utilizadas eficientemente con appropriate bandwidth. Incumplimiento evidenciado por under-utilized connections o bandwidth insuficiente para workload requirements.
Amazon CloudFront Verificar que CDN esté configurado para minimize latency con appropriate edge locations y cache behaviors. Cumplimiento indica high cache hit rates y reduced origin load. Incumplimiento evidenciado por low cache hit rates o content servido directamente desde origin.
Elastic Load Balancing Verificar que load balancers estén configurados apropiadamente para distribute traffic efficiently. Cumplimiento indica balanced traffic distribution con healthy targets. Incumplimiento evidenciado por uneven traffic distribution o unhealthy targets affecting performance.
AWS Global Accelerator Verificar que Global Accelerator esté configurado para improve performance para global users. Cumplimiento indica reduced latency para global traffic mediante AWS backbone. Incumplimiento evidenciado por suboptimal routing para global users o ausencia de acceleration.</t>
  </si>
  <si>
    <t xml:space="preserve">Amazon VPC
aws ec2 describe-vpcs --query 'Vpcs[*].[VpcId,CidrBlock,State]'
aws ec2 describe-flow-logs --query 'FlowLogs[*].[FlowLogId,ResourceId,TrafficType,FlowLogStatus]'
aws ec2 describe-route-tables --query 'RouteTables[*].[RouteTableId,VpcId,Routes]'
aws ec2 describe-network-acls --query 'NetworkAcls[*].[NetworkAclId,VpcId,Entries]'
AWS Direct Connect
aws directconnect describe-connections --query 'connections[*].[connectionId,connectionName,bandwidth,connectionState]'
aws directconnect describe-virtual-interfaces --query 'virtualInterfaces[*].[virtualInterfaceId,virtualInterfaceName,bandwidth,virtualInterfaceState]'
aws cloudwatch get-metric-statistics --namespace AWS/DX --metric-name ConnectionBpsEgress --dimensions Name=ConnectionId,Value=&lt;connection-id&gt;
Amazon CloudFront
aws cloudfront list-distributions --query 'DistributionList.Items[*].[Id,DomainName,Status]'
aws cloudfront get-distribution-config --id &lt;distribution-id&gt; --query 'DistributionConfig.[DefaultCacheBehavior,CacheBehaviors]'
aws cloudwatch get-metric-statistics --namespace AWS/CloudFront --metric-name CacheHitRate --dimensions Name=DistributionId,Value=&lt;distribution-id&gt;
Elastic Load Balancing
aws elbv2 describe-load-balancers --query 'LoadBalancers[*].[LoadBalancerName,Type,State.Code]'
aws elbv2 describe-target-groups --query 'TargetGroups[*].[TargetGroupName,Protocol,Port,HealthCheckPath]'
aws elbv2 describe-target-health --target-group-arn &lt;target-group-arn&gt; --query 'TargetHealthDescriptions[*].[Target.Id,TargetHealth.State]'
AWS Global Accelerator
aws globalaccelerator list-accelerators --query 'Accelerators[*].[AcceleratorArn,Name,Status]'
aws globalaccelerator list-listeners --accelerator-arn &lt;accelerator-arn&gt; --query 'Listeners[*].[ListenerArn,Protocol,PortRanges]'
aws cloudwatch get-metric-statistics --namespace AWS/GlobalAccelerator --metric-name NewFlowCount --dimensions Name=Accelerator,Value=&lt;accelerator-id&gt;
</t>
  </si>
  <si>
    <r>
      <rPr>
        <b/>
        <sz val="11"/>
        <color rgb="FF000000"/>
        <rFont val="Montserrat"/>
      </rPr>
      <t>PERF04-BP02</t>
    </r>
    <r>
      <rPr>
        <sz val="11"/>
        <color rgb="FF000000"/>
        <rFont val="Montserrat"/>
      </rPr>
      <t xml:space="preserve"> Evaluar las características de red disponibles</t>
    </r>
  </si>
  <si>
    <t>Evalúe las características de la red en la nube que pueden aumentar el rendimiento. Mida el impacto de estas características a través de pruebas, métricas y análisis. Por ejemplo, aproveche las características de red que están disponibles para reducir la latencia, la distancia de la red o las fluctuaciones.</t>
  </si>
  <si>
    <t>AWS Global Accelerator
Servicio: AWS Global Accelerator
Recurso: Accelerators y listeners
Configuración: Global network optimization configurado para improve performance mediante AWS backbone network
Amazon CloudFront
Servicio: Amazon CloudFront
Recurso: Distributions y edge locations
Configuración: CDN configurado con Lambda@Edge para content optimization y reduced latency
AWS Transit Gateway
Servicio: AWS Transit Gateway
Recurso: Transit Gateway attachments
Configuración: Network hub configurado para simplify connectivity entre VPCs y on-premises networks
Enhanced Networking
Servicio: Amazon EC2
Recurso: SR-IOV y Elastic Network Adapter (ENA)
Configuración: Enhanced networking habilitado en EC2 instances para high bandwidth y low latency
Amazon S3 Transfer Acceleration
Servicio: Amazon S3
Recurso: Transfer acceleration endpoint
Configuración: S3 Transfer Acceleration habilitado para faster uploads mediante CloudFront edge locations</t>
  </si>
  <si>
    <t>AWS Global Accelerator Verificar que Global Accelerator esté configurado para workloads que requieren global performance optimization. Cumplimiento indica accelerators configurados para improve latency y availability. Incumplimiento evidenciado por global traffic sin acceleration o performance subóptima para users distantes.
Amazon CloudFront Verificar que CloudFront esté configurado con appropriate cache behaviors y Lambda@Edge para content optimization. Cumplimiento indica distributions optimizadas con high cache hit rates. Incumplimiento evidenciado por content delivery sin CDN optimization o cache behaviors subóptimas.
AWS Transit Gateway Verificar que Transit Gateway esté utilizado para simplify network connectivity cuando sea apropiado. Cumplimiento indica network topology simplificada con centralized routing. Incumplimiento evidenciado por complex VPC peering arrangements cuando Transit Gateway sería más eficiente.
Enhanced Networking Verificar que Enhanced Networking esté habilitado en EC2 instances que requieren high network performance. Cumplimiento indica SR-IOV y ENA habilitados en appropriate instance types. Incumplimiento evidenciado por instances sin enhanced networking para high-performance workloads.
Amazon S3 Transfer Acceleration Verificar que S3 Transfer Acceleration esté habilitado para buckets con global access patterns. Cumplimiento indica acceleration habilitado para buckets con users distantes. Incumplimiento evidenciado por slow uploads desde locations distantes sin transfer acceleration.</t>
  </si>
  <si>
    <t xml:space="preserve">AWS Global Accelerator
aws globalaccelerator list-accelerators --query 'Accelerators[*].[AcceleratorArn,Name,Status,Enabled]'
aws globalaccelerator list-listeners --accelerator-arn &lt;accelerator-arn&gt; --query 'Listeners[*].[ListenerArn,Protocol,PortRanges]'
aws cloudwatch get-metric-statistics --namespace AWS/GlobalAccelerator --metric-name NewFlowCount --dimensions Name=Accelerator,Value=&lt;accelerator-id&gt;
Amazon CloudFront
aws cloudfront list-distributions --query 'DistributionList.Items[*].[Id,DomainName,Status,PriceClass]'
aws cloudfront get-distribution-config --id &lt;distribution-id&gt; --query 'DistributionConfig.[DefaultCacheBehavior,CacheBehaviors]'
aws cloudwatch get-metric-statistics --namespace AWS/CloudFront --metric-name OriginLatency --dimensions Name=DistributionId,Value=&lt;distribution-id&gt;
AWS Transit Gateway
aws ec2 describe-transit-gateways --query 'TransitGateways[*].[TransitGatewayId,State,Description]'
aws ec2 describe-transit-gateway-attachments --query 'TransitGatewayAttachments[*].[TransitGatewayAttachmentId,ResourceType,State]'
aws ec2 describe-transit-gateway-route-tables --query 'TransitGatewayRouteTables[*].[TransitGatewayRouteTableId,State]'
Enhanced Networking
aws ec2 describe-instances --query 'Reservations[*].Instances[*].[InstanceId,InstanceType,EnaSupport,SriovNetSupport]'
aws ec2 describe-instance-types --instance-types &lt;instance-type&gt; --query 'InstanceTypes[*].[NetworkInfo.EnaSupport,NetworkInfo.NetworkPerformance]'
aws cloudwatch get-metric-statistics --namespace AWS/EC2 --metric-name NetworkPacketsIn --dimensions Name=InstanceId,Value=&lt;instance-id&gt;
Amazon S3 Transfer Acceleration
aws s3api get-bucket-accelerate-configuration --bucket &lt;bucket-name&gt;
aws s3api list-buckets --query 'Buckets[*].[Name,CreationDate]'
aws cloudwatch get-metric-statistics --namespace AWS/S3 --metric-name NumberOfObjects --dimensions Name=BucketName,Value=&lt;bucket-name&gt;
</t>
  </si>
  <si>
    <r>
      <rPr>
        <b/>
        <sz val="11"/>
        <color rgb="FF000000"/>
        <rFont val="Montserrat"/>
      </rPr>
      <t>PERF04-BP03</t>
    </r>
    <r>
      <rPr>
        <sz val="11"/>
        <color rgb="FF000000"/>
        <rFont val="Montserrat"/>
      </rPr>
      <t xml:space="preserve"> Elija la conectividad dedicada o VPN adecuada para su carga de trabajo</t>
    </r>
  </si>
  <si>
    <t>Cuando se requiera conectividad híbrida para conectar los recursos en las instalaciones y de la nube, aprovisione el ancho de banda adecuado para satisfacer sus requisitos de rendimiento. Calcule los requisitos de ancho de banda y de latencia para la carga de trabajo híbrida. Estas cifras determinarán los requisitos de tamaño.</t>
  </si>
  <si>
    <t>AWS Direct Connect
Servicio: AWS Direct Connect
Recurso: Dedicated connections y hosted connections
Configuración: Direct Connect connections dimensionadas apropiadamente (50 Mbps - 100 Gbps) con LAG o ECMP para scaling
AWS Site-to-Site VPN
Servicio: AWS Site-to-Site VPN
Recurso: VPN connections con IPsec tunnels
Configuración: VPN connections con dual tunnels para high availability y accelerated VPN para improved performance
AWS Client VPN
Servicio: AWS Client VPN
Recurso: Client VPN endpoints
Configuración: Client VPN configurado para remote user access con appropriate authentication y authorization
AWS Direct Connect Gateway
Servicio: AWS Direct Connect Gateway
Recurso: Direct Connect Gateway attachments
Configuración: Gateway configurado para connect multiple VPCs across regions mediante single Direct Connect connection
AWS Transit Gateway
Servicio: AWS Transit Gateway
Recurso: Transit Gateway VPN attachments
Configuración: Transit Gateway configurado con VPN attachments para centralized connectivity management</t>
  </si>
  <si>
    <t>AWS Direct Connect Verificar que Direct Connect esté utilizado para workloads que requieren high bandwidth, low latency y consistent network performance. Cumplimiento indica connections dimensionadas basadas en actual requirements con appropriate redundancy. Incumplimiento evidenciado por over-provisioned connections o bandwidth insuficiente para workload needs.
AWS Site-to-Site VPN Verificar que Site-to-Site VPN esté configurado apropiadamente para secure connectivity con dual tunnels. Cumplimiento indica VPN connections con high availability y appropriate encryption. Incumplimiento evidenciado por single tunnel configurations o VPN usado para high-bandwidth workloads inadecuadamente.
AWS Client VPN Verificar que Client VPN esté configurado para remote user access con appropriate security controls. Cumplimiento indica endpoints configurados con proper authentication y network access controls. Incumplimiento evidenciado por insecure configurations o inappropriate access permissions.
AWS Direct Connect Gateway Verificar que Direct Connect Gateway esté utilizado para simplify multi-VPC connectivity cuando sea apropiado. Cumplimiento indica gateway configurado para efficient cross-region connectivity. Incumplimiento evidenciado por multiple Direct Connect connections cuando gateway sería más eficiente.
AWS Transit Gateway Verificar que Transit Gateway esté utilizado con VPN attachments para centralized connectivity management. Cumplimiento indica centralized routing con simplified network topology. Incumplimiento evidenciado por complex VPN configurations cuando Transit Gateway simplificaría management.</t>
  </si>
  <si>
    <t xml:space="preserve">AWS Direct Connect
aws directconnect describe-connections --query 'connections[*].[connectionId,connectionName,bandwidth,connectionState,location]'
aws directconnect describe-virtual-interfaces --query 'virtualInterfaces[*].[virtualInterfaceId,virtualInterfaceName,bandwidth,virtualInterfaceState]'
aws directconnect describe-lags --query 'lags[*].[lagId,lagName,connectionsBandwidth,numberOfConnections,lagState]'
AWS Site-to-Site VPN
aws ec2 describe-vpn-connections --query 'VpnConnections[*].[VpnConnectionId,State,Type,CustomerGatewayConfiguration]'
aws ec2 describe-vpn-gateways --query 'VpnGateways[*].[VpnGatewayId,State,Type,VpcAttachments]'
aws ec2 describe-customer-gateways --query 'CustomerGateways[*].[CustomerGatewayId,State,Type,IpAddress]'
AWS Client VPN
aws ec2 describe-client-vpn-endpoints --query 'ClientVpnEndpoints[*].[ClientVpnEndpointId,Status.Code,DnsName,VpcId]'
aws ec2 describe-client-vpn-connections --client-vpn-endpoint-id &lt;endpoint-id&gt; --query 'Connections[*].[ConnectionId,Status.Code,ClientIp]'
aws ec2 describe-client-vpn-authorization-rules --client-vpn-endpoint-id &lt;endpoint-id&gt;
AWS Direct Connect Gateway
aws directconnect describe-direct-connect-gateways --query 'directConnectGateways[*].[directConnectGatewayId,directConnectGatewayName,directConnectGatewayState]'
aws directconnect describe-direct-connect-gateway-attachments --query 'directConnectGatewayAttachments[*].[attachmentType,attachmentState,virtualInterfaceId]'
AWS Transit Gateway
aws ec2 describe-transit-gateway-vpn-attachments --query 'TransitGatewayVpnAttachments[*].[TransitGatewayAttachmentId,VpnConnectionId,State]'
aws ec2 describe-transit-gateway-route-tables --query 'TransitGatewayRouteTables[*].[TransitGatewayRouteTableId,State,DefaultAssociationRouteTable]'
aws cloudwatch get-metric-statistics --namespace AWS/TransitGateway --metric-name BytesIn --dimensions Name=TransitGateway,Value=&lt;tgw-id&gt;
</t>
  </si>
  <si>
    <r>
      <rPr>
        <b/>
        <sz val="11"/>
        <color rgb="FF000000"/>
        <rFont val="Montserrat"/>
      </rPr>
      <t>PERF04-BP04</t>
    </r>
    <r>
      <rPr>
        <sz val="11"/>
        <color rgb="FF000000"/>
        <rFont val="Montserrat"/>
      </rPr>
      <t xml:space="preserve"> Usar el equilibrio de carga para distribuir el tráfico entre varios recursos</t>
    </r>
  </si>
  <si>
    <t>Distribuya el tráfico entre varios recursos o servicios para que su carga de trabajo aproveche la elasticidad que ofrece la nube. También puede utilizar el equilibrio de carga para descargar la terminación del cifrado con el objetivo de mejorar el rendimiento, la fiabilidad y administrar y dirigir el tráfico de manera eficaz.</t>
  </si>
  <si>
    <t>Application Load Balancer (ALB)
Servicio: Elastic Load Balancing
Recurso: Application Load Balancer
Configuración: ALB configurado para HTTP/HTTPS traffic con advanced request routing, SSL/TLS offloading y HTTP/2 support
Network Load Balancer (NLB)
Servicio: Elastic Load Balancing
Recurso: Network Load Balancer
Configuración: NLB configurado para TCP traffic con extreme performance requirements, ultra-low latency y millions of requests per second
Gateway Load Balancer (GWLB)
Servicio: Elastic Load Balancing
Recurso: Gateway Load Balancer
Configuración: GWLB configurado para third-party virtual appliances con transparent network gateway functionality
Auto Scaling Integration
Servicio: AWS Auto Scaling
Recurso: Auto Scaling Groups con load balancer integration
Configuración: Auto Scaling configurado con load balancers para automatic target registration y health checks
Target Groups
Servicio: Elastic Load Balancing
Recurso: Target Groups y health checks
Configuración: Target groups configurados con appropriate health check settings, routing algorithms y cross-zone load balancing</t>
  </si>
  <si>
    <t>Application Load Balancer (ALB) Verificar que ALB esté configurado apropiadamente para HTTP/HTTPS workloads con advanced routing y SSL/TLS offloading. Cumplimiento indica ALB utilizando features como path-based routing, host-based routing y SSL termination. Incumplimiento evidenciado por workloads HTTP/HTTPS sin load balancing o configuración subóptima.
Network Load Balancer (NLB) Verificar que NLB esté utilizado para TCP workloads que requieren extreme performance y ultra-low latency. Cumplimiento indica NLB configurado para high-throughput workloads con appropriate target types. Incumplimiento evidenciado por TCP workloads sin load balancing o usando ALB inadecuadamente.
Gateway Load Balancer (GWLB) Verificar que GWLB esté configurado para third-party virtual appliances cuando sea requerido. Cumplimiento indica GWLB utilizado para transparent insertion de security appliances. Incumplimiento evidenciado por virtual appliances sin proper load balancing integration.
Auto Scaling Integration Verificar que Auto Scaling esté integrado con load balancers para automatic scaling basado en traffic patterns. Cumplimiento indica targets automáticamente registered/deregistered con health checks. Incumplimiento evidenciado por manual target management o scaling sin load balancer integration.
Target Groups Verificar que target groups estén configurados con appropriate health checks, routing algorithms y cross-zone load balancing. Cumplimiento indica healthy targets con balanced traffic distribution. Incumplimiento evidenciado por unhealthy targets, uneven distribution o health check configuration inadecuada.</t>
  </si>
  <si>
    <t xml:space="preserve">Application Load Balancer (ALB)
aws elbv2 describe-load-balancers --query 'LoadBalancers[?Type==`application`].[LoadBalancerName,State.Code,Scheme]'
aws elbv2 describe-listeners --load-balancer-arn &lt;alb-arn&gt; --query 'Listeners[*].[Protocol,Port,SslPolicy]'
aws elbv2 describe-rules --listener-arn &lt;listener-arn&gt; --query 'Rules[*].[Priority,Conditions,Actions]'
Network Load Balancer (NLB)
aws elbv2 describe-load-balancers --query 'LoadBalancers[?Type==`network`].[LoadBalancerName,State.Code,Scheme]'
aws elbv2 describe-target-groups --load-balancer-arn &lt;nlb-arn&gt; --query 'TargetGroups[*].[TargetGroupName,Protocol,Port,HealthCheckProtocol]'
aws cloudwatch get-metric-statistics --namespace AWS/NetworkELB --metric-name ActiveFlowCount --dimensions Name=LoadBalancer,Value=&lt;nlb-name&gt;
Gateway Load Balancer (GWLB)
aws elbv2 describe-load-balancers --query 'LoadBalancers[?Type==`gateway`].[LoadBalancerName,State.Code,Scheme]'
aws ec2 describe-vpc-endpoints --filters "Name=service-name,Values=com.amazonaws.vpce.*" --query 'VpcEndpoints[*].[VpcEndpointId,ServiceName,State]'
Auto Scaling Integration
aws autoscaling describe-auto-scaling-groups --query 'AutoScalingGroups[*].[AutoScalingGroupName,TargetGroupARNs,HealthCheckType]'
aws elbv2 describe-target-health --target-group-arn &lt;target-group-arn&gt; --query 'TargetHealthDescriptions[*].[Target.Id,TargetHealth.State,TargetHealth.Reason]'
Target Groups
aws elbv2 describe-target-groups --query 'TargetGroups[*].[TargetGroupName,Protocol,Port,HealthCheckPath,HealthCheckIntervalSeconds]'
aws elbv2 describe-target-group-attributes --target-group-arn &lt;target-group-arn&gt; --query 'Attributes[?Key==`load_balancing.cross_zone.enabled`]'
aws cloudwatch get-metric-statistics --namespace AWS/ApplicationELB --metric-name TargetResponseTime --dimensions Name=LoadBalancer,Value=&lt;alb-name&gt;
</t>
  </si>
  <si>
    <r>
      <rPr>
        <b/>
        <sz val="11"/>
        <color rgb="FF000000"/>
        <rFont val="Montserrat"/>
      </rPr>
      <t>PERF04-BP05</t>
    </r>
    <r>
      <rPr>
        <sz val="11"/>
        <color rgb="FF000000"/>
        <rFont val="Montserrat"/>
      </rPr>
      <t xml:space="preserve"> Elegir protocolos de red para mejorar el rendimiento</t>
    </r>
  </si>
  <si>
    <t>Tome decisiones sobre los protocolos de comunicación entre sistemas y redes en función del impacto en el rendimiento de la carga de trabajo.
Existe una relación entre la latencia y el ancho de banda para lograr el rendimiento. Si la transferencia de archivos utiliza el protocolo de control de transmisión (TCP), las latencias más altas probablemente reducirán el rendimiento general. Existen enfoques para solucionar esto con el ajuste de TCP y protocolos de transferencia optimizados, pero una solución es utilizar el protocolo de datagramas de usuario (UDP).</t>
  </si>
  <si>
    <t>TCP vs UDP Protocol Selection
Servicio: Network Layer Configuration
Recurso: Application protocol configuration
Configuración: TCP para reliable data delivery (web apps, email, file transfer) vs UDP para fast transmission (logs, monitoring, VoIP)
SSL/TLS Offloading
Servicio: Elastic Load Balancing
Recurso: Load balancer SSL/TLS termination
Configuración: SSL/TLS offloading configurado en ALB/NLB para reduce compute overhead y improve performance
Elastic Network Adapter (ENA) Express
Servicio: Amazon EC2
Recurso: ENA Express con SRD protocol
Configuración: ENA Express habilitado para HPC workloads que requieren high throughput y low latency communication
gRPC Protocol Support
Servicio: Application Load Balancer
Recurso: gRPC traffic routing
Configuración: ALB configurado para route y load balance gRPC traffic entre workload components
AWS Global Accelerator
Servicio: AWS Global Accelerator
Recurso: Protocol optimization
Configuración: Global Accelerator configurado para improve file transfer throughput mediante protocol optimization</t>
  </si>
  <si>
    <t>TCP vs UDP Protocol Selection Verificar que protocol selection esté basada en workload requirements específicos. Cumplimiento indica TCP para applications requiring reliability y UDP para high-speed, low-latency applications. Incumplimiento evidenciado por uso de TCP para all workloads sin considerar performance requirements.
SSL/TLS Offloading Verificar que SSL/TLS offloading esté configurado en load balancers para reduce backend compute overhead. Cumplimiento indica SSL termination en ALB/NLB con appropriate cipher suites. Incumplimiento evidenciado por SSL/TLS processing en backend instances sin offloading.
Elastic Network Adapter (ENA) Express Verificar que ENA Express esté habilitado para HPC workloads que requieren maximum network performance. Cumplimiento indica SRD protocol utilizado para high-throughput communication. Incumplimiento evidenciado por HPC workloads sin ENA Express optimization.
gRPC Protocol Support Verificar que gRPC traffic esté optimizado mediante ALB routing y load balancing. Cumplimiento indica ALB configurado para handle gRPC traffic efficiently. Incumplimiento evidenciado por gRPC traffic sin proper load balancing optimization.
AWS Global Accelerator Verificar que Global Accelerator esté utilizado para improve file transfer performance mediante protocol optimization. Cumplimiento indica accelerator configurado para optimize transfer protocols. Incumplimiento evidenciado por file transfers sin protocol acceleration.</t>
  </si>
  <si>
    <t xml:space="preserve">TCP vs UDP Protocol Selection
aws elbv2 describe-target-groups --query 'TargetGroups[*].[TargetGroupName,Protocol,Port,ProtocolVersion]'
aws elbv2 describe-listeners --query 'Listeners[*].[Protocol,Port,LoadBalancerArn]'
aws ec2 describe-security-groups --query 'SecurityGroups[*].IpPermissions[*].[IpProtocol,FromPort,ToPort]'
SSL/TLS Offloading
aws elbv2 describe-listeners --query 'Listeners[?Protocol==`HTTPS`].[ListenerArn,SslPolicy,Certificates]'
aws elbv2 describe-ssl-policies --query 'SslPolicies[*].[Name,SslProtocols,Ciphers]'
aws acm list-certificates --query 'CertificateSummaryList[*].[CertificateArn,DomainName,Status]'
Elastic Network Adapter (ENA) Express
aws ec2 describe-instances --query 'Reservations[*].Instances[*].[InstanceId,InstanceType,EnaSupport]'
aws ec2 describe-instance-types --instance-types &lt;instance-type&gt; --query 'InstanceTypes[*].[NetworkInfo.EnaSupport,NetworkInfo.NetworkPerformance]'
aws ec2 describe-instance-attribute --instance-id &lt;instance-id&gt; --attribute enaSupport
gRPC Protocol Support
aws elbv2 describe-target-groups --query 'TargetGroups[?ProtocolVersion==`GRPC`].[TargetGroupName,Protocol,ProtocolVersion]'
aws elbv2 describe-listeners --query 'Listeners[*].[Protocol,Port,DefaultActions]'
aws elbv2 describe-rules --listener-arn &lt;listener-arn&gt; --query 'Rules[*].[Priority,Conditions,Actions]'
AWS Global Accelerator
aws globalaccelerator list-accelerators --query 'Accelerators[*].[AcceleratorArn,Name,Status,IpAddressType]'
aws globalaccelerator list-listeners --accelerator-arn &lt;accelerator-arn&gt; --query 'Listeners[*].[ListenerArn,Protocol,PortRanges]'
aws cloudwatch get-metric-statistics --namespace AWS/GlobalAccelerator --metric-name NewFlowCount --dimensions Name=Accelerator,Value=&lt;accelerator-id&gt;
</t>
  </si>
  <si>
    <r>
      <rPr>
        <b/>
        <sz val="11"/>
        <color rgb="FF000000"/>
        <rFont val="Montserrat"/>
      </rPr>
      <t>PERF04-BP06</t>
    </r>
    <r>
      <rPr>
        <sz val="11"/>
        <color rgb="FF000000"/>
        <rFont val="Montserrat"/>
      </rPr>
      <t xml:space="preserve"> Elija la ubicación de la carga de trabajo en función de los requisitos de red</t>
    </r>
  </si>
  <si>
    <t>Evalúe las opciones de colocación de recursos para reducir la latencia de la red y mejorar el rendimiento, lo que proporcionará una experiencia de usuario óptima al reducir los tiempos de carga de las páginas y de transferencia de datos.</t>
  </si>
  <si>
    <t>AWS Regions Selection
Servicio: AWS Global Infrastructure
Recurso: Regional deployment strategy
Configuración: Regions seleccionadas basadas en user location, data location y latency requirements en lugar de developer proximity
Amazon CloudFront
Servicio: Amazon CloudFront
Recurso: Edge locations y CDN distribution
Configuración: CloudFront distributions configuradas para cache content at edge locations cerca de end users
AWS Local Zones
Servicio: AWS Local Zones
Recurso: Ultra-low latency compute placement
Configuración: Local Zones utilizadas para latency-sensitive applications que requieren single-digit millisecond latency
AWS Global Accelerator
Servicio: AWS Global Accelerator
Recurso: Global network optimization
Configuración: Global Accelerator configurado para provide optimal path to workloads mediante AWS backbone network
EC2 Placement Groups
Servicio: Amazon EC2
Recurso: Instance placement optimization
Configuración: Placement groups configurados para cluster, partition o spread placement basado en network requirements</t>
  </si>
  <si>
    <t>AWS Regions Selection Verificar que Regions estén seleccionadas basadas en end user location y data residency requirements. Cumplimiento indica multi-region deployment cuando sea apropiado para reduce latency. Incumplimiento evidenciado por single region deployment para global users o region selection basada en developer location.
Amazon CloudFront Verificar que CloudFront esté configurado para deliver content desde edge locations cerca de users. Cumplimiento indica CDN distributions con appropriate cache behaviors y geographic restrictions. Incumplimiento evidenciado por content servido directamente desde origin sin edge caching.
AWS Local Zones Verificar que Local Zones estén utilizadas para ultra-low latency applications cuando sea requerido. Cumplimiento indica Local Zones deployment para latency-sensitive workloads. Incumplimiento evidenciado por high-latency applications que podrían beneficiarse de Local Zones.
AWS Global Accelerator Verificar que Global Accelerator esté configurado para improve performance para global users. Cumplimiento indica accelerator providing optimal routing mediante AWS global network. Incumplimiento evidenciado por global traffic sin acceleration optimization.
EC2 Placement Groups Verificar que placement groups estén configurados apropiadamente para network performance requirements. Cumplimiento indica cluster placement para HPC workloads o spread placement para fault tolerance. Incumplimiento evidenciado por instances sin placement optimization para network-intensive workloads.</t>
  </si>
  <si>
    <t xml:space="preserve">AWS Regions Selection
aws ec2 describe-regions --query 'Regions[*].[RegionName,Endpoint]'
aws ec2 describe-availability-zones --query 'AvailabilityZones[*].[ZoneName,State,RegionName]'
aws cloudformation list-stacks --query 'StackSummaries[*].[StackName,StackStatus,CreationTime]' --region &lt;region&gt;
Amazon CloudFront
aws cloudfront list-distributions --query 'DistributionList.Items[*].[Id,DomainName,Status,PriceClass]'
aws cloudfront get-distribution-config --id &lt;distribution-id&gt; --query 'DistributionConfig.[Origins,DefaultCacheBehavior.TargetOriginId]'
aws cloudwatch get-metric-statistics --namespace AWS/CloudFront --metric-name OriginLatency --dimensions Name=DistributionId,Value=&lt;distribution-id&gt;
AWS Local Zones
aws ec2 describe-availability-zones --filters "Name=zone-type,Values=local-zone" --query 'AvailabilityZones[*].[ZoneName,State,ZoneType]'
aws ec2 describe-instances --filters "Name=placement.availability-zone,Values=*-lax-*" --query 'Reservations[*].Instances[*].[InstanceId,Placement.AvailabilityZone]'
AWS Global Accelerator
aws globalaccelerator list-accelerators --query 'Accelerators[*].[AcceleratorArn,Name,Status,IpSets]'
aws globalaccelerator list-endpoint-groups --listener-arn &lt;listener-arn&gt; --query 'EndpointGroups[*].[EndpointGroupArn,EndpointGroupRegion]'
aws cloudwatch get-metric-statistics --namespace AWS/GlobalAccelerator --metric-name NewFlowCount --dimensions Name=Accelerator,Value=&lt;accelerator-id&gt;
EC2 Placement Groups
aws ec2 describe-placement-groups --query 'PlacementGroups[*].[GroupName,Strategy,State]'
aws ec2 describe-instances --query 'Reservations[*].Instances[*].[InstanceId,Placement.GroupName,Placement.AvailabilityZone]'
aws ec2 describe-instance-types --instance-types &lt;instance-type&gt; --query 'InstanceTypes[*].[NetworkInfo.NetworkPerformance,PlacementGroupInfo.SupportedStrategies]'
</t>
  </si>
  <si>
    <r>
      <rPr>
        <b/>
        <sz val="11"/>
        <color rgb="FF000000"/>
        <rFont val="Montserrat"/>
      </rPr>
      <t>PERF04-BP07</t>
    </r>
    <r>
      <rPr>
        <sz val="11"/>
        <color rgb="FF000000"/>
        <rFont val="Montserrat"/>
      </rPr>
      <t xml:space="preserve"> Optimice la configuración de la red en función de las métricas</t>
    </r>
  </si>
  <si>
    <t>Utilice los datos recogidos y analizados para tomar decisiones informadas sobre la optimización de la configuración de su red.</t>
  </si>
  <si>
    <t>VPC Flow Logs
Servicio: Amazon VPC
Recurso: VPC Flow Logs y network traffic analysis
Configuración: Flow Logs habilitados para capture detailed traffic information y identify top talkers y traffic patterns
AWS Network Manager
Servicio: AWS Network Manager
Recurso: Global network monitoring
Configuración: Network Manager configurado para monitor real-time y historical performance del AWS Global Network
Amazon CloudWatch
Servicio: Amazon CloudWatch
Recurso: Network metrics y monitoring
Configuración: CloudWatch metrics configurados para network interfaces, load balancers y network performance monitoring
VPC Reachability Analyzer
Servicio: VPC Reachability Analyzer
Recurso: Network path analysis
Configuración: Reachability Analyzer utilizado para analyze y debug network reachability entre resources
Network Access Analyzer
Servicio: Network Access Analyzer
Recurso: Network access verification
Configuración: Network Access Analyzer configurado para understand network access to resources y identify misconfigurations</t>
  </si>
  <si>
    <t>VPC Flow Logs Verificar que VPC Flow Logs estén habilitados para capture comprehensive network traffic data. Cumplimiento indica Flow Logs configurados para identify traffic patterns, top talkers y network bottlenecks. Incumplimiento evidenciado por ausencia de Flow Logs o data no utilizada para network optimization.
AWS Network Manager Verificar que Network Manager esté configurado para monitor global network performance y identify optimization opportunities. Cumplimiento indica monitoring activo con performance insights y recommendations. Incumplimiento evidenciado por network performance sin visibility o monitoring tools.
Amazon CloudWatch Verificar que CloudWatch metrics estén configurados para comprehensive network monitoring. Cumplimiento indica metrics para latency, throughput, packet loss y network utilization. Incumplimiento evidenciado por network issues sin proper metrics o alerting.
VPC Reachability Analyzer Verificar que Reachability Analyzer esté utilizado para verify network paths y troubleshoot connectivity issues. Cumplimiento indica regular analysis de network reachability y path optimization. Incumplimiento evidenciado por connectivity issues sin proper path analysis.
Network Access Analyzer Verificar que Network Access Analyzer esté configurado para identify network misconfigurations y security gaps. Cumplimiento indica regular analysis de network access patterns. Incumplimiento evidenciado por network access sin proper verification o misconfiguration detection.</t>
  </si>
  <si>
    <t>VPC Flow Logs
aws ec2 describe-flow-logs --query 'FlowLogs[*].[FlowLogId,ResourceId,TrafficType,FlowLogStatus,LogDestination]'
aws logs describe-log-groups --log-group-name-prefix /aws/vpc/flowlogs
aws s3api list-objects-v2 --bucket &lt;flow-logs-bucket&gt; --prefix vpc-flow-logs/
AWS Network Manager
aws networkmanager describe-global-networks --query 'GlobalNetworks[*].[GlobalNetworkId,State,Description]'
aws networkmanager get-network-insights --global-network-id &lt;global-network-id&gt;
aws cloudwatch get-metric-statistics --namespace AWS/NetworkManager --metric-name NetworkLatency
Amazon CloudWatch
aws cloudwatch list-metrics --namespace AWS/EC2 --metric-name NetworkIn
aws cloudwatch list-metrics --namespace AWS/ELB --metric-name Latency
aws cloudwatch describe-alarms --alarm-names &lt;network-alarm-name&gt;
aws cloudwatch get-metric-statistics --namespace AWS/VPC --metric-name PacketDropCount
VPC Reachability Analyzer
aws ec2 describe-network-insights-analyses --query 'NetworkInsightsAnalyses[*].[NetworkInsightsAnalysisId,Status,NetworkPathFound]'
aws ec2 describe-network-insights-paths --query 'NetworkInsightsPaths[*].[NetworkInsightsPathId,Source,Destination]'
aws ec2 start-network-insights-analysis --network-insights-path-id &lt;path-id&gt;
Network Access Analyzer
aws ec2 describe-network-insights-access-scopes --query 'NetworkInsightsAccessScopes[*].[NetworkInsightsAccessScopeId,CreatedDate]'
aws ec2 describe-network-insights-access-scope-analyses --query 'NetworkInsightsAccessScopeAnalyses[*].[NetworkInsightsAccessScopeAnalysisId,Status]'
aws ec2 start-network-insights-access-scope-analysis --network-insights-access-scope-id &lt;scope-id&gt;</t>
  </si>
  <si>
    <t>Proceso y cultura
PERF 5. ¿Cómo contribuyen las prácticas y la cultura de su organización a la eficiencia del rendimiento en su carga de trabajo?</t>
  </si>
  <si>
    <r>
      <rPr>
        <b/>
        <sz val="11"/>
        <color rgb="FF000000"/>
        <rFont val="Montserrat"/>
      </rPr>
      <t>PERF05-BP01</t>
    </r>
    <r>
      <rPr>
        <sz val="11"/>
        <color rgb="FF000000"/>
        <rFont val="Montserrat"/>
      </rPr>
      <t xml:space="preserve"> Establecer indicadores clave de rendimiento (KPI) para medir el estado y el rendimiento de la carga de trabajo</t>
    </r>
  </si>
  <si>
    <t>Identifique los KPI que miden de forma cuantitativa y cualitativa el rendimiento de la carga de trabajo. Los KPI ayudan a medir el estado y el rendimiento de una carga de trabajo en relación con un objetivo empresarial.</t>
  </si>
  <si>
    <t>Amazon CloudWatch
Servicio: Amazon CloudWatch
Recurso: Custom metrics, dashboards y alarms
Configuración: CloudWatch configurado para collect business-relevant KPIs con appropriate thresholds y alerting
Amazon QuickSight
Servicio: Amazon QuickSight
Recurso: Performance dashboards y visualizations
Configuración: QuickSight dashboards configurados para visualize KPIs y communicate performance metrics to stakeholders
AWS Config
Servicio: AWS Config
Recurso: Configuration compliance metrics
Configuración: Config rules configuradas para measure compliance KPIs y configuration drift metrics
AWS X-Ray
Servicio: AWS X-Ray
Recurso: Application performance tracing
Configuración: X-Ray configurado para capture application-level KPIs como response times, error rates y service dependencies
Business Intelligence Integration
Servicio: Data analytics platforms
Recurso: KPI reporting y business metrics
Configuración: Integration con business systems para correlate technical performance con business outcomes</t>
  </si>
  <si>
    <t>Amazon CloudWatch Verificar que CloudWatch esté configurado con custom metrics que align con business objectives y workload performance goals. Cumplimiento indica KPIs definidos con appropriate thresholds, severity levels y documented risk impact. Incumplimiento evidenciado por monitoring solo system-level metrics sin business context.
Amazon QuickSight Verificar que QuickSight dashboards estén configurados para visualize y communicate KPIs effectively to stakeholders. Cumplimiento indica dashboards que show business-relevant metrics con clear visualization. Incumplimiento evidenciado por ausencia de visual KPI communication o dashboards no aligned con stakeholder needs.
AWS Config Verificar que Config esté utilizado para measure configuration compliance KPIs y governance metrics. Cumplimiento indica compliance rules configuradas para track configuration drift y policy adherence. Incumplimiento evidenciado por configuration changes sin KPI tracking o compliance measurement.
AWS X-Ray Verificar que X-Ray esté configurado para capture application performance KPIs como latency, error rates y throughput. Cumplimiento indica tracing configurado para measure end-to-end application performance. Incumplimiento evidenciado por application performance sin detailed KPI measurement.
Business Intelligence Integration Verificar que technical KPIs estén integrated con business metrics para provide holistic performance view. Cumplimiento indica correlation entre technical performance y business outcomes. Incumplimiento evidenciado por technical metrics isolated from business impact measurement.</t>
  </si>
  <si>
    <t>Amazon CloudWatch
aws cloudwatch list-metrics --namespace Custom --query 'Metrics[*].[MetricName,Namespace,Dimensions]'
aws cloudwatch describe-alarms --query 'MetricAlarms[*].[AlarmName,MetricName,Threshold,ComparisonOperator]'
aws cloudwatch get-dashboard --dashboard-name &lt;kpi-dashboard-name&gt;
aws cloudwatch put-metric-data --namespace "Business/KPIs" --metric-data MetricName=&lt;kpi-name&gt;,Value=&lt;value&gt;
Amazon QuickSight
aws quicksight list-dashboards --aws-account-id &lt;account-id&gt; --query 'DashboardSummaryList[*].[DashboardId,Name,PublishedVersionNumber]'
aws quicksight describe-dashboard --aws-account-id &lt;account-id&gt; --dashboard-id &lt;dashboard-id&gt;
aws quicksight list-data-sets --aws-account-id &lt;account-id&gt; --query 'DataSetSummaries[*].[DataSetId,Name]'
AWS Config
aws configservice describe-config-rules --query 'ConfigRules[*].[ConfigRuleName,ConfigRuleState,Source.Owner]'
aws configservice get-compliance-summary-by-config-rule
aws configservice describe-compliance-by-config-rule --config-rule-names &lt;rule-name&gt;
aws configservice get-aggregate-compliance-details-by-config-rule --configuration-aggregator-name &lt;aggregator-name&gt;
AWS X-Ray
aws xray get-service-graph --start-time &lt;start-time&gt; --end-time &lt;end-time&gt;
aws xray get-trace-summaries --time-range-type TimeRangeByStartTime --start-time &lt;start-time&gt; --end-time &lt;end-time&gt;
aws xray get-time-series-service-statistics --start-time &lt;start-time&gt; --end-time &lt;end-time&gt; --group-name &lt;group-name&gt;
Business Intelligence Integration
aws cloudwatch get-metric-statistics --namespace "Business/Revenue" --metric-name TransactionVolume --start-time &lt;start-time&gt; --end-time &lt;end-time&gt;
aws logs filter-log-events --log-group-name &lt;business-metrics-log-group&gt; --filter-pattern "KPI"
aws s3api list-objects-v2 --bucket &lt;kpi-data-bucket&gt; --prefix business-metrics/</t>
  </si>
  <si>
    <r>
      <rPr>
        <b/>
        <sz val="11"/>
        <color rgb="FF000000"/>
        <rFont val="Montserrat"/>
      </rPr>
      <t>PERF05-BP02</t>
    </r>
    <r>
      <rPr>
        <sz val="11"/>
        <color rgb="FF000000"/>
        <rFont val="Montserrat"/>
      </rPr>
      <t xml:space="preserve"> Utilice soluciones de supervisión para comprender las áreas en las que el rendimiento es más crítico</t>
    </r>
  </si>
  <si>
    <t>Comprenda y detecte las áreas en las que un aumento de rendimiento de la carga de trabajo tendrá un impacto positivo en la eficiencia o en la experiencia del cliente. Por ejemplo, un sitio web que tenga una gran interacción del cliente se beneficiaría de utilizar servicios en la periferia para acercar la entrega de contenido a los clientes.</t>
  </si>
  <si>
    <t>Amazon CloudWatch RUM
Servicio: Amazon CloudWatch RUM
Recurso: Real User Monitoring y client-side performance metrics
Configuración: CloudWatch RUM configurado para capture end-user experience metrics, page load times y client-side errors
AWS X-Ray
Servicio: AWS X-Ray
Recurso: Distributed tracing y service map analysis
Configuración: X-Ray configurado para trace requests across services, identify bottlenecks y analyze service dependencies
Amazon RDS Performance Insights
Servicio: Amazon RDS Performance Insights
Recurso: Database performance monitoring
Configuración: Performance Insights habilitado para identify database bottlenecks, slow queries y resource utilization patterns
Amazon DevOps Guru
Servicio: Amazon DevOps Guru
Recurso: ML-powered performance anomaly detection
Configuración: DevOps Guru configurado para automatically detect performance anomalies y provide actionable insights
CloudWatch Synthetic Canaries
Servicio: Amazon CloudWatch Synthetics
Recurso: Synthetic monitoring y proactive testing
Configuración: Synthetic canaries configurados para continuously test critical user journeys y API endpoints</t>
  </si>
  <si>
    <t>Amazon CloudWatch RUM Verificar que CloudWatch RUM esté configurado para capture comprehensive end-user experience metrics. Cumplimiento indica RUM collecting real user data, page performance metrics y client-side error tracking. Incumplimiento evidenciado por ausencia de real user monitoring o reliance solo en server-side metrics.
AWS X-Ray Verificar que X-Ray esté configurado para provide end-to-end distributed tracing across all critical services. Cumplimiento indica comprehensive tracing con service maps, latency analysis y error tracking. Incumplimiento evidenciado por limited tracing coverage o inability to identify service bottlenecks.
Amazon RDS Performance Insights Verificar que Performance Insights esté habilitado para all critical databases con appropriate retention periods. Cumplimiento indica database performance monitoring con query analysis y resource utilization tracking. Incumplimiento evidenciado por database performance issues sin detailed monitoring.
Amazon DevOps Guru Verificar que DevOps Guru esté configurado para automatically detect performance anomalies y provide insights. Cumplimiento indica ML-powered anomaly detection con actionable recommendations. Incumplimiento evidenciado por performance issues discovered reactively sin proactive detection.
CloudWatch Synthetic Canaries Verificar que Synthetic canaries estén configurados para continuously monitor critical user journeys. Cumplimiento indica proactive monitoring de key workflows con alerting on failures. Incumplimiento evidenciado por performance issues discovered by users antes que monitoring systems.</t>
  </si>
  <si>
    <t xml:space="preserve">Amazon CloudWatch RUM
aws rum list-app-monitors --query 'AppMonitorSummaries[*].[Name,Domain,State]'
aws rum get-app-monitor --name &lt;app-monitor-name&gt; --query 'AppMonitor.[AppMonitorConfiguration,State]'
aws cloudwatch get-metric-statistics --namespace AWS/RUM --metric-name PageLoadTime --dimensions Name=application_name,Value=&lt;app-name&gt;
AWS X-Ray
aws xray get-service-graph --start-time &lt;start-time&gt; --end-time &lt;end-time&gt;
aws xray get-trace-summaries --time-range-type TimeRangeByStartTime --start-time &lt;start-time&gt; --end-time &lt;end-time&gt;
aws xray get-sampling-rules --query 'SamplingRuleRecords[*].[SamplingRule.RuleName,SamplingRule.ServiceName]'
aws xray get-time-series-service-statistics --start-time &lt;start-time&gt; --end-time &lt;end-time&gt;
Amazon RDS Performance Insights
aws rds describe-db-instances --query 'DBInstances[*].[DBInstanceIdentifier,PerformanceInsightsEnabled,PerformanceInsightsRetentionPeriod]'
aws pi get-resource-metrics --service-type RDS --identifier &lt;resource-id&gt; --metric-queries &lt;query-metrics&gt;
aws pi describe-dimension-keys --service-type RDS --identifier &lt;resource-id&gt; --group-by db.SQL_Innodb.rows_read.avg
Amazon DevOps Guru
aws devops-guru describe-service-integration --query 'ServiceIntegration'
aws devops-guru list-insights --status-filter Ongoing --query 'ProactiveInsights[*].[Id,Name,Severity]'
aws devops-guru list-anomalies-for-insight --insight-id &lt;insight-id&gt; --query 'ProactiveAnomalies[*].[Id,AnomalyTimeRange]'
CloudWatch Synthetic Canaries
aws synthetics describe-canaries --query 'Canaries[*].[Name,Status.State,RunConfig.TimeoutInSeconds]'
aws synthetics get-canary-runs --name &lt;canary-name&gt; --query 'CanaryRuns[*].[Name,Status.State,Timeline]'
aws cloudwatch get-metric-statistics --namespace CloudWatchSynthetics --metric-name SuccessPercent --dimensions Name=CanaryName,Value=&lt;canary-name&gt;
</t>
  </si>
  <si>
    <r>
      <rPr>
        <b/>
        <sz val="11"/>
        <color rgb="FF000000"/>
        <rFont val="Montserrat"/>
      </rPr>
      <t>PERF05-BP03</t>
    </r>
    <r>
      <rPr>
        <sz val="11"/>
        <color rgb="FF000000"/>
        <rFont val="Montserrat"/>
      </rPr>
      <t xml:space="preserve"> Definir un proceso para mejorar el rendimiento de la carga de trabajo</t>
    </r>
  </si>
  <si>
    <t>Defina un proceso para evaluar nuevos servicios, patrones de diseño, tipos de recursos y configuraciones a medida que estén disponibles. Por ejemplo, ejecute las pruebas de rendimiento existentes en las nuevas ofertas de instancias a fin de determinar su capacidad para mejorar su carga de trabajo.</t>
  </si>
  <si>
    <t>Performance Improvement Process Documentation
Servicio: Documentation y process management
Recurso: Performance improvement workflows y procedures
Configuración: Documented processes para evaluate new services, design patterns, resource types y configurations
AWS Observability Tools Integration
Servicio: Multiple AWS monitoring services
Recurso: Integrated monitoring y analysis pipeline
Configuración: CloudWatch, X-Ray, Performance Insights y other tools configured para comprehensive performance data collection
Sandbox/Pre-production Environments
Servicio: AWS testing environments
Recurso: Isolated testing infrastructure
Configuración: Dedicated environments para validate performance improvements antes de production deployment
Performance Testing Automation
Servicio: CI/CD pipeline integration
Recurso: Automated performance testing workflows
Configuración: Automated testing integrated en deployment pipelines para continuous performance validation
Change Management Integration
Servicio: Change management systems
Recurso: Performance-driven change approval processes
Configuración: Change management processes que require performance metrics justification para architectural changes</t>
  </si>
  <si>
    <t>Performance Improvement Process Documentation Verificar que existe un documented process para evaluate y implement performance improvements. Cumplimiento indica clear procedures para identify constraints, analyze metrics, validate changes y implement improvements. Incumplimiento evidenciado por ad-hoc performance improvements sin structured process.
AWS Observability Tools Integration Verificar que AWS observability tools estén integrated para provide comprehensive performance data collection. Cumplimiento indica coordinated use de CloudWatch, X-Ray y other tools para holistic performance analysis. Incumplimiento evidenciado por fragmented monitoring sin integrated analysis capability.
Sandbox/Pre-production Environments Verificar que dedicated environments existen para validate performance improvements antes de production. Cumplimiento indica isolated testing environments con production-like configurations. Incumplimiento evidenciado por performance changes deployed directly to production sin validation.
Performance Testing Automation Verificar que performance testing esté automated y integrated en CI/CD pipelines. Cumplimiento indica automated performance validation con cada deployment. Incumplimiento evidenciado por manual performance testing o ausencia de continuous performance validation.
Change Management Integration Verificar que change management processes require performance metrics justification. Cumplimiento indica architectural changes backed by performance data y analysis. Incumplimiento evidenciado por changes implemented sin metric justification o performance impact assessment.</t>
  </si>
  <si>
    <t xml:space="preserve">Performance Improvement Process Documentation
aws s3api list-objects-v2 --bucket &lt;documentation-bucket&gt; --prefix performance-processes/
aws codecommit list-repositories --query 'repositories[?contains(repositoryName, `performance-process`)]'
aws ssm get-parameters-by-path --path "/performance/processes" --query 'Parameters[*].[Name,Value]'
AWS Observability Tools Integration
aws cloudwatch list-dashboards --query 'DashboardEntries[?contains(DashboardName, `performance`)]'
aws xray get-service-graph --start-time &lt;start-time&gt; --end-time &lt;end-time&gt;
aws pi describe-dimension-keys --service-type RDS --identifier &lt;resource-id&gt; --group-by db.SQL.Innodb.rows_read.avg
aws logs describe-log-groups --log-group-name-prefix performance
Sandbox/Pre-production Environments
aws ec2 describe-instances --filters "Name=tag:Environment,Values=sandbox,pre-prod" --query 'Reservations[*].Instances[*].[InstanceId,Tags]'
aws elbv2 describe-load-balancers --query 'LoadBalancers[?contains(LoadBalancerName, `test`) || contains(LoadBalancerName, `sandbox`)]'
aws rds describe-db-instances --query 'DBInstances[?contains(DBInstanceIdentifier, `test`) || contains(DBInstanceIdentifier, `sandbox`)]'
Performance Testing Automation
aws codepipeline list-pipelines --query 'pipelines[?contains(name, `performance`)]'
aws codebuild list-projects --query 'projects[?contains(@, `performance-test`)]'
aws lambda list-functions --query 'Functions[?contains(FunctionName, `performance-test`)]'
aws stepfunctions list-state-machines --query 'stateMachines[?contains(name, `performance`)]'
Change Management Integration
aws servicecatalog search-products --filters "FullTextSearch=performance" --query 'ProductViewSummaries[*].[ProductId,Name]'
aws config describe-config-rules --query 'ConfigRules[?contains(ConfigRuleName, `performance`)]'
aws cloudformation list-stacks --stack-status-filter CREATE_COMPLETE UPDATE_COMPLETE --query 'StackSummaries[?contains(StackName, `performance`)]'
</t>
  </si>
  <si>
    <r>
      <rPr>
        <b/>
        <sz val="11"/>
        <color rgb="FF000000"/>
        <rFont val="Montserrat"/>
      </rPr>
      <t>PERF05-BP04</t>
    </r>
    <r>
      <rPr>
        <sz val="11"/>
        <color rgb="FF000000"/>
        <rFont val="Montserrat"/>
      </rPr>
      <t xml:space="preserve"> Prueba de carga de trabajo</t>
    </r>
  </si>
  <si>
    <t>Haga una prueba de carga en su carga de trabajo para comprobar que puede gestionar la carga de producción e identificar cualquier cuello de botella en el rendimiento.</t>
  </si>
  <si>
    <t>AWS Distributed Load Testing
Servicio: AWS Distributed Load Testing Solution
Recurso: Load testing infrastructure y test scenarios
Configuración: Distributed load testing configurado para simulate production-scale traffic patterns y user scenarios
Amazon CloudWatch Synthetics
Servicio: Amazon CloudWatch Synthetics
Recurso: Synthetic canaries y continuous testing
Configuración: Synthetic canaries configurados para continuous load testing y performance monitoring
Load Testing Tools Integration
Servicio: Third-party load testing tools
Recurso: JMeter, Artillery, Gatling, etc.
Configuración: Load testing tools configured para run on AWS infrastructure con appropriate scaling
Production-like Test Environment
Servicio: AWS infrastructure services
Recurso: Test environment infrastructure
Configuración: Test environment que mirrors production configuration con appropriate data y scaling
Performance Monitoring During Tests
Servicio: Amazon CloudWatch
Recurso: Real-time metrics collection durante load tests
Configuración: CloudWatch configurado para collect comprehensive metrics durante load testing scenarios</t>
  </si>
  <si>
    <t>AWS Distributed Load Testing Verificar que distributed load testing esté configurado para simulate realistic production traffic patterns. Cumplimiento indica comprehensive load testing scenarios que cover expected y peak loads. Incumplimiento evidenciado por ausencia de distributed load testing o testing solo individual components.
Amazon CloudWatch Synthetics Verificar que Synthetics canaries estén configurados para continuous performance testing y monitoring. Cumplimiento indica automated synthetic testing que validates performance continuously. Incumplimiento evidenciado por manual testing only o ausencia de continuous performance validation.
Load Testing Tools Integration Verificar que appropriate load testing tools estén integrated y configured para comprehensive testing. Cumplimiento indica tools configured para test entire workload end-to-end. Incumplimiento evidenciado por testing tools que only test individual parts of workload.
Production-like Test Environment Verificar que test environment mirrors production configuration y scale. Cumplimiento indica test environment que accurately represents production workload characteristics. Incumplimiento evidenciado por testing en non-production environments que don't reflect actual usage patterns.
Performance Monitoring During Tests Verificar que comprehensive monitoring esté configured durante load tests para capture performance metrics. Cumplimiento indica detailed metrics collection que identifies bottlenecks y scaling issues. Incumplimiento evidenciado por load testing sin adequate performance monitoring.</t>
  </si>
  <si>
    <t>AWS Distributed Load Testing
aws cloudformation describe-stacks --stack-name distributed-load-testing --query 'Stacks[0].StackStatus'
aws s3api list-objects-v2 --bucket &lt;load-testing-bucket&gt; --prefix test-scenarios/
aws lambda list-functions --query 'Functions[?contains(FunctionName, `load-test`)]'
aws ecs list-tasks --cluster &lt;load-testing-cluster&gt; --query 'taskArns'
Amazon CloudWatch Synthetics
aws synthetics describe-canaries --query 'Canaries[*].[Name,Status.State,RunConfig.TimeoutInSeconds]'
aws synthetics get-canary-runs --name &lt;canary-name&gt; --query 'CanaryRuns[*].[Name,Status.State,Timeline]'
aws cloudwatch get-metric-statistics --namespace CloudWatchSynthetics --metric-name SuccessPercent --dimensions Name=CanaryName,Value=&lt;canary-name&gt;
Load Testing Tools Integration
aws ec2 describe-instances --filters "Name=tag:Purpose,Values=load-testing" --query 'Reservations[*].Instances[*].[InstanceId,State.Name]'
aws ecs describe-services --cluster &lt;testing-cluster&gt; --services &lt;load-testing-service&gt;
aws batch describe-job-queues --query 'jobQueues[?contains(jobQueueName, `load-test`)]'
Production-like Test Environment
aws ec2 describe-instances --filters "Name=tag:Environment,Values=load-test" --query 'Reservations[*].Instances[*].[InstanceId,InstanceType,State.Name]'
aws rds describe-db-instances --query 'DBInstances[?contains(DBInstanceIdentifier, `test`)].[DBInstanceIdentifier,DBInstanceClass]'
aws elbv2 describe-load-balancers --query 'LoadBalancers[?contains(LoadBalancerName, `test`)]'
Performance Monitoring During Tests
aws cloudwatch list-metrics --namespace AWS/ApplicationELB --query 'Metrics[?MetricName==`TargetResponseTime`]'
aws cloudwatch describe-alarms --alarm-names &lt;load-test-alarm-name&gt;
aws logs describe-log-groups --log-group-name-prefix load-test
aws cloudwatch get-dashboard --dashboard-name load-testing-metrics</t>
  </si>
  <si>
    <r>
      <rPr>
        <b/>
        <sz val="11"/>
        <color rgb="FF000000"/>
        <rFont val="Montserrat"/>
      </rPr>
      <t>PERF05-BP05</t>
    </r>
    <r>
      <rPr>
        <sz val="11"/>
        <color rgb="FF000000"/>
        <rFont val="Montserrat"/>
      </rPr>
      <t xml:space="preserve"> Utilice la automatización para solucionar de forma proactiva los problemas relacionados con el rendimiento</t>
    </r>
  </si>
  <si>
    <t>Utilice los indicadores clave de rendimiento (KPI), junto con los sistemas de supervisión y alerta, para abordar de forma proactiva los problemas relacionados con el rendimiento.</t>
  </si>
  <si>
    <t>Amazon CloudWatch Alarms
Servicio: Amazon CloudWatch
Recurso: Performance-based alarms y automated actions
Configuración: CloudWatch alarms configurados para trigger automated remediation actions basados en performance KPIs
AWS Systems Manager Automation
Servicio: AWS Systems Manager
Recurso: Automation documents y runbooks
Configuración: Systems Manager Automation configurado para execute remediation workflows automatically
AWS Auto Scaling
Servicio: AWS Auto Scaling
Recurso: Scaling policies y target tracking
Configuración: Auto Scaling configurado para automatically adjust resources basado en performance metrics
AWS Lambda Functions
Servicio: AWS Lambda
Recurso: Event-driven remediation functions
Configuración: Lambda functions configuradas para execute custom remediation logic triggered by performance events
Amazon DevOps Guru
Servicio: Amazon DevOps Guru
Recurso: ML-powered anomaly detection y recommendations
Configuración: DevOps Guru configurado para automatically detect performance anomalies y provide remediation insights</t>
  </si>
  <si>
    <t>Amazon CloudWatch Alarms Verificar que CloudWatch alarms estén configurados para automatically trigger remediation actions cuando performance thresholds son breached. Cumplimiento indica alarms con automated actions que address performance issues proactively. Incumplimiento evidenciado por alarms que only notify sin automated remediation.
AWS Systems Manager Automation Verificar que Systems Manager Automation documents estén configurados para execute common performance remediation tasks. Cumplimiento indica automated runbooks para restart services, clear caches, scale resources. Incumplimiento evidenciado por manual remediation processes sin automation.
AWS Auto Scaling Verificar que Auto Scaling esté configurado para automatically respond to performance degradation mediante resource scaling. Cumplimiento indica predictive y reactive scaling basado en performance metrics. Incumplimiento evidenciado por manual scaling decisions durante performance issues.
AWS Lambda Functions Verificar que Lambda functions estén configuradas para execute custom remediation logic automatically. Cumplimiento indica event-driven functions que respond to performance alerts con appropriate actions. Incumplimiento evidenciado por performance issues requiring manual intervention.
Amazon DevOps Guru Verificar que DevOps Guru esté configurado para automatically detect performance anomalies y provide actionable remediation recommendations. Cumplimiento indica ML-powered detection con automated insights. Incumplimiento evidenciado por performance issues discovered reactively sin proactive detection.</t>
  </si>
  <si>
    <t>Amazon CloudWatch Alarms
aws cloudwatch describe-alarms --query 'MetricAlarms[?ActionsEnabled==`true`].[AlarmName,AlarmActions,MetricName]'
aws cloudwatch describe-alarms --alarm-names &lt;performance-alarm-name&gt; --query 'MetricAlarms[*].[AlarmActions,OKActions]'
aws sns list-subscriptions --query 'Subscriptions[?contains(TopicArn, `performance`)]'
AWS Systems Manager Automation
aws ssm list-documents --filters "Key=DocumentType,Values=Automation" --query 'DocumentIdentifiers[?contains(Name, `remediat`)]'
aws ssm describe-automation-executions --filters "Key=DocumentName,Values=&lt;remediation-document&gt;"
aws ssm get-automation-execution --automation-execution-id &lt;execution-id&gt;
AWS Auto Scaling
aws autoscaling describe-auto-scaling-groups --query 'AutoScalingGroups[*].[AutoScalingGroupName,TargetGroupARNs,HealthCheckType]'
aws autoscaling describe-policies --query 'ScalingPolicies[*].[PolicyName,PolicyType,TargetValue]'
aws application-autoscaling describe-scaling-policies --service-namespace ecs
AWS Lambda Functions
aws lambda list-functions --query 'Functions[?contains(FunctionName, `remediat`) || contains(FunctionName, `performance`)]'
aws lambda list-event-source-mappings --query 'EventSourceMappings[*].[EventSourceArn,FunctionArn]'
aws events list-rules --query 'Rules[?contains(Name, `performance`) || contains(Name, `remediat`)]'
Amazon DevOps Guru
aws devops-guru describe-service-integration --query 'ServiceIntegration'
aws devops-guru list-insights --status-filter Ongoing --query 'ProactiveInsights[*].[Id,Name,Severity]'
aws devops-guru list-recommendations --insight-id &lt;insight-id&gt; --query 'Recommendations[*].[Description,Name]'</t>
  </si>
  <si>
    <r>
      <rPr>
        <b/>
        <sz val="11"/>
        <color rgb="FF000000"/>
        <rFont val="Montserrat"/>
      </rPr>
      <t>PERF05-BP06</t>
    </r>
    <r>
      <rPr>
        <sz val="11"/>
        <color rgb="FF000000"/>
        <rFont val="Montserrat"/>
      </rPr>
      <t xml:space="preserve"> Mantenga su carga de trabajo y servicios actualizados</t>
    </r>
  </si>
  <si>
    <t>Manténgase al tanto de los nuevos servicios y características de la nube para adoptar características eficientes, resolver problemas y mejorar la eficiencia general del rendimiento de la carga de trabajo.</t>
  </si>
  <si>
    <t>AWS Systems Manager Inventory
Servicio: AWS Systems Manager
Recurso: Software inventory y compliance tracking
Configuración: Systems Manager Inventory configurado para collect OS, application y instance metadata para track software versions
AWS Systems Manager Patch Manager
Servicio: AWS Systems Manager
Recurso: Automated patch management
Configuración: Patch Manager configurado para automatically apply security y performance patches según defined schedules
AWS EC2 Image Builder
Servicio: AWS EC2 Image Builder
Recurso: Automated AMI creation y updates
Configuración: Image Builder pipelines configurados para create up-to-date AMIs con latest software versions
CI/CD Pipeline Integration
Servicio: AWS CodePipeline, CodeBuild, CodeDeploy
Recurso: Automated deployment pipelines
Configuración: CI/CD pipelines configurados para include dependency updates y automated testing
Update Notification Systems
Servicio: AWS SNS, RSS feeds, email subscriptions
Recurso: Update notification mechanisms
Configuración: Notification systems configurados para track AWS service updates, security bulletins y feature releases</t>
  </si>
  <si>
    <t>AWS Systems Manager Inventory Verificar que Systems Manager Inventory esté configurado para comprehensively track software versions across workload components. Cumplimiento indica complete inventory de OS, applications y configurations con regular collection. Incumplimiento evidenciado por unknown software versions o outdated inventory data.
AWS Systems Manager Patch Manager Verificar que Patch Manager esté configurado para automatically apply patches según defined maintenance windows. Cumplimiento indica automated patching con appropriate testing y rollback procedures. Incumplimiento evidenciado por manual patching processes o delayed security updates.
AWS EC2 Image Builder Verificar que Image Builder pipelines estén configurados para regularly create updated AMIs con latest software versions. Cumplimiento indica automated image creation con integrated testing y validation. Incumplimiento evidenciado por manual AMI creation o outdated base images.
CI/CD Pipeline Integration Verificar que CI/CD pipelines include automated dependency updates y security scanning. Cumplimiento indica pipelines que automatically detect y update outdated dependencies. Incumplimiento evidenciado por manual dependency management o outdated libraries en production.
Update Notification Systems Verificar que notification systems estén configured para track relevant AWS service updates y security bulletins. Cumplimiento indica proactive notification de updates relevant to workload components. Incumplimiento evidenciado por reactive discovery de available updates o missed security patches.</t>
  </si>
  <si>
    <t>AWS Systems Manager Inventory
aws ssm describe-instance-information --query 'InstanceInformationList[*].[InstanceId,PlatformType,PlatformVersion,LastPingDateTime]'
aws ssm list-inventory-entries --instance-id &lt;instance-id&gt; --type-name "AWS:Application"
aws ssm get-inventory --filters "Key=AWS:InstanceInformation.InstanceStatus,Values=Active"
AWS Systems Manager Patch Manager
aws ssm describe-patch-baselines --query 'BaselineIdentities[*].[BaselineId,BaselineName,DefaultBaseline]'
aws ssm describe-instance-patch-states --instance-ids &lt;instance-id&gt;
aws ssm describe-maintenance-windows --query 'WindowIdentities[*].[WindowId,Name,Enabled]'
aws ssm get-patch-baseline --baseline-id &lt;baseline-id&gt;
AWS EC2 Image Builder
aws imagebuilder list-image-pipelines --query 'imagePipelineList[*].[name,status,lastRunStatus]'
aws imagebuilder list-images --query 'imageVersionList[*].[name,version,dateCreated]'
aws imagebuilder get-image-pipeline --image-pipeline-arn &lt;pipeline-arn&gt;
CI/CD Pipeline Integration
aws codepipeline list-pipelines --query 'pipelines[*].[name,version,created]'
aws codebuild list-projects --query 'projects[*]'
aws codedeploy list-applications --query 'applications[*]'
aws codeartifact list-repositories --domain &lt;domain-name&gt;
Update Notification Systems
aws sns list-topics --query 'Topics[?contains(TopicArn, `update`) || contains(TopicArn, `patch`)]'
aws sns list-subscriptions --query 'Subscriptions[?contains(TopicArn, `update`)]'
aws events list-rules --query 'Rules[?contains(Name, `update`) || contains(Name, `patch`)]'</t>
  </si>
  <si>
    <r>
      <rPr>
        <b/>
        <sz val="11"/>
        <color rgb="FF000000"/>
        <rFont val="Montserrat"/>
      </rPr>
      <t>PERF05-BP07</t>
    </r>
    <r>
      <rPr>
        <sz val="11"/>
        <color rgb="FF000000"/>
        <rFont val="Montserrat"/>
      </rPr>
      <t xml:space="preserve"> Revisión de métricas a intervalos regulares</t>
    </r>
  </si>
  <si>
    <t>Revise qué métricas se recopilan durante el mantenimiento rutinario o en respuesta a eventos o incidentes. Utilice estas revisiones para determinar qué métricas son esenciales para abordar los problemas y cuáles otras, en caso de que se les haga un seguimiento, podrían ayudar a identificar, abordar o prevenir problemas.</t>
  </si>
  <si>
    <t>Amazon CloudWatch Dashboards
Servicio: Amazon CloudWatch
Recurso: Performance metrics dashboards y visualization
Configuración: CloudWatch dashboards configurados para display critical performance metrics con appropriate time ranges y baselines
Metrics Review Process
Servicio: Process management y documentation
Recurso: Regular review cadence y procedures
Configuración: Documented process para regular metrics review con defined stakeholders, frequency y action items
Performance Baseline Management
Servicio: Metrics analysis y trending
Recurso: Baseline values y trend analysis
Configuración: Established baselines para critical metrics con trend analysis y deviation detection
Root Cause Analysis Documentation
Servicio: Issue tracking y knowledge management
Recurso: RCA documentation y lessons learned
Configuración: Systematic documentation de performance issues, root causes y remediation strategies
Actionable Alerting System
Servicio: Amazon CloudWatch Alarms
Recurso: Actionable alarms y notification systems
Configuración: Alarms configurados para trigger actionable responses rather than just notifications</t>
  </si>
  <si>
    <t>Amazon CloudWatch Dashboards Verificar que CloudWatch dashboards estén configurados para provide comprehensive view de critical performance metrics. Cumplimiento indica dashboards que show trends, baselines y deviations con appropriate visualization. Incumplimiento evidenciado por metrics sin proper visualization o dashboards que don't support decision making.
Metrics Review Process Verificar que existe un documented process para regular metrics review con defined cadence y stakeholders. Cumplimiento indica structured review process con documented findings y action items. Incumplimiento evidenciado por ad-hoc metrics review sin systematic approach.
Performance Baseline Management Verificar que performance baselines estén established y regularly updated basado en workload evolution. Cumplimiento indica current baselines que reflect expected performance levels. Incumplimiento evidenciado por outdated baselines o metrics sin established expected values.
Root Cause Analysis Documentation Verificar que performance issues estén systematically analyzed y documented para future reference. Cumplimiento indica comprehensive RCA documentation con lessons learned y preventive measures. Incumplimiento evidenciado por repeated issues sin documented analysis o learning.
Actionable Alerting System Verificar que alarms estén configured para trigger actionable responses rather than just notifications. Cumplimiento indica alarms que lead to specific remediation actions. Incumplimiento evidenciado por alarms que remain en alarm state sin resolution o non-actionable notifications.</t>
  </si>
  <si>
    <t>Amazon CloudWatch Dashboards
aws cloudwatch list-dashboards --query 'DashboardEntries[*].[DashboardName,LastModified]'
aws cloudwatch get-dashboard --dashboard-name &lt;performance-dashboard-name&gt;
aws cloudwatch list-metrics --namespace AWS/ApplicationELB --query 'Metrics[*].[MetricName,Namespace]'
Metrics Review Process
aws s3api list-objects-v2 --bucket &lt;documentation-bucket&gt; --prefix metrics-reviews/
aws ssm get-parameters-by-path --path "/performance/review-process" --query 'Parameters[*].[Name,Value]'
aws events list-rules --query 'Rules[?contains(Name, `metrics-review`)]'
Performance Baseline Management
aws cloudwatch get-metric-statistics --namespace AWS/EC2 --metric-name CPUUtilization --start-time &lt;baseline-start&gt; --end-time &lt;baseline-end&gt;
aws ssm get-parameter --name "/performance/baselines/cpu-utilization" --query 'Parameter.Value'
aws cloudwatch describe-anomaly-detectors --query 'AnomalyDetectors[*].[MetricMathAnomalyDetector,SingleMetricAnomalyDetector]'
Root Cause Analysis Documentation
aws s3api list-objects-v2 --bucket &lt;rca-documentation-bucket&gt; --prefix root-cause-analysis/
aws dynamodb scan --table-name performance-incidents --query 'Items[*].[incident_id,root_cause,resolution]'
aws logs filter-log-events --log-group-name performance-issues --filter-pattern "RCA"
Actionable Alerting System
aws cloudwatch describe-alarms --query 'MetricAlarms[?ActionsEnabled==`true`].[AlarmName,AlarmActions,StateReason]'
aws cloudwatch describe-alarm-history --alarm-name &lt;performance-alarm-name&gt; --query 'AlarmHistoryItems[*].[Timestamp,HistoryItemType,HistorySummary]'
aws sns list-subscriptions --query 'Subscriptions[?contains(TopicArn, `performance`)]'</t>
  </si>
  <si>
    <t>TOTALES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</si>
</sst>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0.0"/>
  </numFmts>
  <fonts count="13" x14ac:knownFonts="1">
    <font>
      <sz val="10"/>
      <color rgb="FF000000"/>
      <name val="Arial"/>
      <scheme val="minor"/>
    </font>
    <font>
      <b/>
      <sz val="13"/>
      <color theme="1"/>
      <name val="Montserrat"/>
    </font>
    <font>
      <b/>
      <sz val="14"/>
      <color rgb="FF000000"/>
      <name val="Montserrat"/>
    </font>
    <font>
      <b/>
      <sz val="13"/>
      <color rgb="FF000000"/>
      <name val="Montserrat"/>
    </font>
    <font>
      <sz val="10"/>
      <name val="Arial"/>
    </font>
    <font>
      <b/>
      <sz val="11"/>
      <color rgb="FFFFFFFF"/>
      <name val="Montserrat"/>
    </font>
    <font>
      <sz val="11"/>
      <color rgb="FF000000"/>
      <name val="Montserrat"/>
    </font>
    <font>
      <b/>
      <sz val="11"/>
      <color rgb="FF000000"/>
      <name val="Montserrat"/>
    </font>
    <font>
      <sz val="10"/>
      <color theme="1"/>
      <name val="Montserrat"/>
    </font>
    <font>
      <b/>
      <i/>
      <sz val="11"/>
      <color rgb="FF000000"/>
      <name val="Montserrat"/>
    </font>
    <font>
      <sz val="11"/>
      <color theme="1"/>
      <name val="Montserrat"/>
    </font>
    <font>
      <sz val="10"/>
      <color rgb="FF000000"/>
      <name val="Montserrat"/>
    </font>
    <font>
      <b/>
      <sz val="16"/>
      <color rgb="FFFFFFFF"/>
      <name val="Montserrat"/>
    </font>
  </fonts>
  <fills count="5">
    <fill>
      <patternFill patternType="none"/>
    </fill>
    <fill>
      <patternFill patternType="gray125"/>
    </fill>
    <fill>
      <patternFill patternType="solid">
        <fgColor rgb="FFFD9024"/>
        <bgColor rgb="FFFD9024"/>
      </patternFill>
    </fill>
    <fill>
      <patternFill patternType="solid">
        <fgColor rgb="FF253B5C"/>
        <bgColor rgb="FF253B5C"/>
      </patternFill>
    </fill>
    <fill>
      <patternFill patternType="solid">
        <fgColor rgb="FFFFFFFF"/>
        <bgColor rgb="FFFFFFFF"/>
      </patternFill>
    </fill>
  </fills>
  <borders count="13">
    <border>
      <left/>
      <right/>
      <top/>
      <bottom/>
      <diagonal/>
    </border>
    <border>
      <left style="thin">
        <color rgb="FFFFFFFF"/>
      </left>
      <right/>
      <top style="thin">
        <color rgb="FFFFFFFF"/>
      </top>
      <bottom/>
      <diagonal/>
    </border>
    <border>
      <left style="thin">
        <color rgb="FFFFFFFF"/>
      </left>
      <right style="thin">
        <color rgb="FFFFFFFF"/>
      </right>
      <top style="thin">
        <color rgb="FFFFFFFF"/>
      </top>
      <bottom/>
      <diagonal/>
    </border>
    <border>
      <left/>
      <right style="thin">
        <color rgb="FFFFFFFF"/>
      </right>
      <top style="thin">
        <color rgb="FFFFFFFF"/>
      </top>
      <bottom/>
      <diagonal/>
    </border>
    <border>
      <left/>
      <right/>
      <top style="thin">
        <color rgb="FFFFFFFF"/>
      </top>
      <bottom style="thin">
        <color rgb="FFFFFFFF"/>
      </bottom>
      <diagonal/>
    </border>
    <border>
      <left/>
      <right/>
      <top style="thin">
        <color rgb="FFFFFFFF"/>
      </top>
      <bottom/>
      <diagonal/>
    </border>
    <border>
      <left style="thin">
        <color rgb="FFFFFFFF"/>
      </left>
      <right/>
      <top/>
      <bottom style="thin">
        <color rgb="FFFFFFFF"/>
      </bottom>
      <diagonal/>
    </border>
    <border>
      <left style="thin">
        <color rgb="FFFFFFFF"/>
      </left>
      <right style="thin">
        <color rgb="FFFFFFFF"/>
      </right>
      <top/>
      <bottom style="thin">
        <color rgb="FFFFFFFF"/>
      </bottom>
      <diagonal/>
    </border>
    <border>
      <left/>
      <right style="thin">
        <color rgb="FFFFFFFF"/>
      </right>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bottom/>
      <diagonal/>
    </border>
    <border>
      <left style="thin">
        <color rgb="FFEFEFEF"/>
      </left>
      <right style="thin">
        <color rgb="FFEFEFEF"/>
      </right>
      <top style="thin">
        <color rgb="FFEFEFEF"/>
      </top>
      <bottom style="thin">
        <color rgb="FFEFEFEF"/>
      </bottom>
      <diagonal/>
    </border>
    <border>
      <left style="thin">
        <color rgb="FFFFFFFF"/>
      </left>
      <right/>
      <top/>
      <bottom/>
      <diagonal/>
    </border>
  </borders>
  <cellStyleXfs count="1">
    <xf numFmtId="0" fontId="0" fillId="0" borderId="0"/>
  </cellStyleXfs>
  <cellXfs count="34">
    <xf numFmtId="0" fontId="0" fillId="0" borderId="0" xfId="0"/>
    <xf numFmtId="0" fontId="1"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4" fillId="0" borderId="4" xfId="0" applyFont="1" applyBorder="1"/>
    <xf numFmtId="0" fontId="3" fillId="2" borderId="5"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4" fillId="0" borderId="7" xfId="0" applyFont="1" applyBorder="1"/>
    <xf numFmtId="0" fontId="4" fillId="0" borderId="8" xfId="0" applyFont="1" applyBorder="1"/>
    <xf numFmtId="0" fontId="3" fillId="2" borderId="9" xfId="0" applyFont="1" applyFill="1" applyBorder="1" applyAlignment="1">
      <alignment horizontal="center" vertical="center" wrapText="1"/>
    </xf>
    <xf numFmtId="0" fontId="0" fillId="0" borderId="0" xfId="0"/>
    <xf numFmtId="0" fontId="3" fillId="2" borderId="5" xfId="0" applyFont="1" applyFill="1" applyBorder="1" applyAlignment="1">
      <alignment horizontal="center" vertical="center" wrapText="1"/>
    </xf>
    <xf numFmtId="0" fontId="5" fillId="3" borderId="0" xfId="0" applyFont="1" applyFill="1" applyAlignment="1">
      <alignment horizontal="center" vertical="center" wrapText="1"/>
    </xf>
    <xf numFmtId="0" fontId="5" fillId="3" borderId="10" xfId="0" applyFont="1" applyFill="1" applyBorder="1" applyAlignment="1">
      <alignment horizontal="center" vertical="center" wrapText="1"/>
    </xf>
    <xf numFmtId="0" fontId="5" fillId="3" borderId="2" xfId="0" applyFont="1" applyFill="1" applyBorder="1" applyAlignment="1">
      <alignment horizontal="center" vertical="center" wrapText="1"/>
    </xf>
    <xf numFmtId="164" fontId="5" fillId="3" borderId="2" xfId="0" applyNumberFormat="1" applyFont="1" applyFill="1" applyBorder="1" applyAlignment="1">
      <alignment horizontal="center" vertical="center" wrapText="1"/>
    </xf>
    <xf numFmtId="10" fontId="5" fillId="3" borderId="2" xfId="0" applyNumberFormat="1" applyFont="1" applyFill="1" applyBorder="1" applyAlignment="1">
      <alignment horizontal="center" vertical="center" wrapText="1"/>
    </xf>
    <xf numFmtId="0" fontId="6" fillId="4" borderId="0" xfId="0" applyFont="1" applyFill="1" applyAlignment="1">
      <alignment vertical="center" wrapText="1"/>
    </xf>
    <xf numFmtId="0" fontId="8" fillId="0" borderId="0" xfId="0" applyFont="1" applyAlignment="1">
      <alignment vertical="center" wrapText="1"/>
    </xf>
    <xf numFmtId="0" fontId="6" fillId="4" borderId="11" xfId="0" applyFont="1" applyFill="1" applyBorder="1" applyAlignment="1">
      <alignment horizontal="left" vertical="center" wrapText="1"/>
    </xf>
    <xf numFmtId="0" fontId="9" fillId="4" borderId="11" xfId="0" applyFont="1" applyFill="1" applyBorder="1" applyAlignment="1">
      <alignment horizontal="center" vertical="center" wrapText="1"/>
    </xf>
    <xf numFmtId="164" fontId="9" fillId="4" borderId="11" xfId="0" applyNumberFormat="1" applyFont="1" applyFill="1" applyBorder="1" applyAlignment="1">
      <alignment horizontal="center" vertical="center" wrapText="1"/>
    </xf>
    <xf numFmtId="0" fontId="8" fillId="0" borderId="0" xfId="0" applyFont="1" applyAlignment="1">
      <alignment horizontal="center" vertical="center" wrapText="1"/>
    </xf>
    <xf numFmtId="0" fontId="10" fillId="0" borderId="0" xfId="0" applyFont="1" applyAlignment="1">
      <alignment horizontal="center" vertical="center" wrapText="1"/>
    </xf>
    <xf numFmtId="3" fontId="9" fillId="4" borderId="0" xfId="0" applyNumberFormat="1" applyFont="1" applyFill="1" applyAlignment="1">
      <alignment horizontal="center" vertical="center" wrapText="1"/>
    </xf>
    <xf numFmtId="164" fontId="9" fillId="4" borderId="0" xfId="0" applyNumberFormat="1" applyFont="1" applyFill="1" applyAlignment="1">
      <alignment horizontal="center" vertical="center" wrapText="1"/>
    </xf>
    <xf numFmtId="165" fontId="9" fillId="4" borderId="0" xfId="0" applyNumberFormat="1" applyFont="1" applyFill="1" applyAlignment="1">
      <alignment horizontal="center" vertical="center" wrapText="1"/>
    </xf>
    <xf numFmtId="0" fontId="6" fillId="4" borderId="11" xfId="0" applyFont="1" applyFill="1" applyBorder="1" applyAlignment="1">
      <alignment horizontal="center" vertical="center"/>
    </xf>
    <xf numFmtId="0" fontId="11" fillId="0" borderId="0" xfId="0" applyFont="1" applyAlignment="1">
      <alignment vertical="center" wrapText="1"/>
    </xf>
    <xf numFmtId="0" fontId="12" fillId="3" borderId="12" xfId="0" applyFont="1" applyFill="1" applyBorder="1" applyAlignment="1">
      <alignment horizontal="center" vertical="center" wrapText="1"/>
    </xf>
    <xf numFmtId="164" fontId="5" fillId="3" borderId="10"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docs.aws.amazon.com/en_us/wellarchitected/latest/framework/perf_compute_hardware_configure_and_right_size_compute_resources.html" TargetMode="External"/><Relationship Id="rId18" Type="http://schemas.openxmlformats.org/officeDocument/2006/relationships/hyperlink" Target="https://docs.aws.amazon.com/en_us/wellarchitected/latest/framework/perf_data_evaluate_configuration_options_data_store.html" TargetMode="External"/><Relationship Id="rId26" Type="http://schemas.openxmlformats.org/officeDocument/2006/relationships/hyperlink" Target="https://docs.aws.amazon.com/en_us/wellarchitected/latest/framework/perf_networking_load_balancing_distribute_traffic.html" TargetMode="External"/><Relationship Id="rId39" Type="http://schemas.openxmlformats.org/officeDocument/2006/relationships/comments" Target="../comments1.xml"/><Relationship Id="rId21" Type="http://schemas.openxmlformats.org/officeDocument/2006/relationships/hyperlink" Target="https://docs.aws.amazon.com/en_us/wellarchitected/latest/framework/perf_data_access_patterns_caching.html" TargetMode="External"/><Relationship Id="rId34" Type="http://schemas.openxmlformats.org/officeDocument/2006/relationships/hyperlink" Target="https://docs.aws.amazon.com/en_us/wellarchitected/latest/framework/perf_process_culture_load_test.html" TargetMode="External"/><Relationship Id="rId7" Type="http://schemas.openxmlformats.org/officeDocument/2006/relationships/hyperlink" Target="https://docs.aws.amazon.com/en_us/wellarchitected/latest/framework/perf_architecture_use_benchmarking.html" TargetMode="External"/><Relationship Id="rId12" Type="http://schemas.openxmlformats.org/officeDocument/2006/relationships/hyperlink" Target="https://docs.aws.amazon.com/en_us/wellarchitected/latest/framework/perf_compute_hardware_collect_compute_related_metrics.html" TargetMode="External"/><Relationship Id="rId17" Type="http://schemas.openxmlformats.org/officeDocument/2006/relationships/hyperlink" Target="https://docs.aws.amazon.com/en_us/wellarchitected/latest/framework/perf_data_use_purpose_built_data_store.html" TargetMode="External"/><Relationship Id="rId25" Type="http://schemas.openxmlformats.org/officeDocument/2006/relationships/hyperlink" Target="https://docs.aws.amazon.com/en_us/wellarchitected/latest/framework/perf_networking_choose_appropriate_dedicated_connectivity_or_vpn.html" TargetMode="External"/><Relationship Id="rId33" Type="http://schemas.openxmlformats.org/officeDocument/2006/relationships/hyperlink" Target="https://docs.aws.amazon.com/en_us/wellarchitected/latest/framework/perf_process_culture_workload_performance.html" TargetMode="External"/><Relationship Id="rId38" Type="http://schemas.openxmlformats.org/officeDocument/2006/relationships/vmlDrawing" Target="../drawings/vmlDrawing1.vml"/><Relationship Id="rId2" Type="http://schemas.openxmlformats.org/officeDocument/2006/relationships/hyperlink" Target="https://docs.aws.amazon.com/en_us/wellarchitected/latest/framework/perf_architecture_understand_cloud_services_and_features.html" TargetMode="External"/><Relationship Id="rId16" Type="http://schemas.openxmlformats.org/officeDocument/2006/relationships/hyperlink" Target="https://docs.aws.amazon.com/en_us/wellarchitected/latest/framework/perf-03.html" TargetMode="External"/><Relationship Id="rId20" Type="http://schemas.openxmlformats.org/officeDocument/2006/relationships/hyperlink" Target="https://docs.aws.amazon.com/en_us/wellarchitected/latest/framework/perf_data_implement_strategies_to_improve_query_performance.html" TargetMode="External"/><Relationship Id="rId29" Type="http://schemas.openxmlformats.org/officeDocument/2006/relationships/hyperlink" Target="https://docs.aws.amazon.com/en_us/wellarchitected/latest/framework/perf_networking_optimize_network_configuration_based_on_metrics.html" TargetMode="External"/><Relationship Id="rId1" Type="http://schemas.openxmlformats.org/officeDocument/2006/relationships/hyperlink" Target="https://docs.aws.amazon.com/en_us/wellarchitected/latest/framework/perf-01.html" TargetMode="External"/><Relationship Id="rId6" Type="http://schemas.openxmlformats.org/officeDocument/2006/relationships/hyperlink" Target="https://docs.aws.amazon.com/en_us/wellarchitected/latest/framework/perf_architecture_use_policies_and_reference_architectures.html" TargetMode="External"/><Relationship Id="rId11" Type="http://schemas.openxmlformats.org/officeDocument/2006/relationships/hyperlink" Target="https://docs.aws.amazon.com/en_us/wellarchitected/latest/framework/perf_compute_hardware_understand_compute_configuration_features.html" TargetMode="External"/><Relationship Id="rId24" Type="http://schemas.openxmlformats.org/officeDocument/2006/relationships/hyperlink" Target="https://docs.aws.amazon.com/en_us/wellarchitected/latest/framework/perf_networking_evaluate_networking_features.html" TargetMode="External"/><Relationship Id="rId32" Type="http://schemas.openxmlformats.org/officeDocument/2006/relationships/hyperlink" Target="https://docs.aws.amazon.com/en_us/wellarchitected/latest/framework/perf_process_culture_use_monitoring_solutions.html" TargetMode="External"/><Relationship Id="rId37" Type="http://schemas.openxmlformats.org/officeDocument/2006/relationships/hyperlink" Target="https://docs.aws.amazon.com/en_us/wellarchitected/latest/framework/perf_process_culture_review_metrics.html" TargetMode="External"/><Relationship Id="rId5" Type="http://schemas.openxmlformats.org/officeDocument/2006/relationships/hyperlink" Target="https://docs.aws.amazon.com/en_us/wellarchitected/latest/framework/perf_architecture_evaluate_trade_offs.html" TargetMode="External"/><Relationship Id="rId15" Type="http://schemas.openxmlformats.org/officeDocument/2006/relationships/hyperlink" Target="https://docs.aws.amazon.com/en_us/wellarchitected/latest/framework/perf_compute_hardware_compute_accelerators.html" TargetMode="External"/><Relationship Id="rId23" Type="http://schemas.openxmlformats.org/officeDocument/2006/relationships/hyperlink" Target="https://docs.aws.amazon.com/en_us/wellarchitected/latest/framework/perf_networking_understand_how_networking_impacts_performance.html" TargetMode="External"/><Relationship Id="rId28" Type="http://schemas.openxmlformats.org/officeDocument/2006/relationships/hyperlink" Target="https://docs.aws.amazon.com/en_us/wellarchitected/latest/framework/perf_networking_choose_workload_location_network_requirements.html" TargetMode="External"/><Relationship Id="rId36" Type="http://schemas.openxmlformats.org/officeDocument/2006/relationships/hyperlink" Target="https://docs.aws.amazon.com/en_us/wellarchitected/latest/framework/perf_process_culture_keep_workload_and_services_up_to_date.html" TargetMode="External"/><Relationship Id="rId10" Type="http://schemas.openxmlformats.org/officeDocument/2006/relationships/hyperlink" Target="https://docs.aws.amazon.com/en_us/wellarchitected/latest/framework/perf_compute_hardware_select_best_compute_options.html" TargetMode="External"/><Relationship Id="rId19" Type="http://schemas.openxmlformats.org/officeDocument/2006/relationships/hyperlink" Target="https://docs.aws.amazon.com/en_us/wellarchitected/latest/framework/perf_data_collect_record_data_store_performance_metrics.html" TargetMode="External"/><Relationship Id="rId31" Type="http://schemas.openxmlformats.org/officeDocument/2006/relationships/hyperlink" Target="https://docs.aws.amazon.com/en_us/wellarchitected/latest/framework/perf_process_culture_establish_key_performance_indicators.html" TargetMode="External"/><Relationship Id="rId4" Type="http://schemas.openxmlformats.org/officeDocument/2006/relationships/hyperlink" Target="https://docs.aws.amazon.com/en_us/wellarchitected/latest/framework/perf_architecture_factor_cost_into_architectural_decisions.html" TargetMode="External"/><Relationship Id="rId9" Type="http://schemas.openxmlformats.org/officeDocument/2006/relationships/hyperlink" Target="https://docs.aws.amazon.com/en_us/wellarchitected/latest/framework/perf-02.html" TargetMode="External"/><Relationship Id="rId14" Type="http://schemas.openxmlformats.org/officeDocument/2006/relationships/hyperlink" Target="https://docs.aws.amazon.com/en_us/wellarchitected/latest/framework/perf_compute_hardware_scale_compute_resources_dynamically.html" TargetMode="External"/><Relationship Id="rId22" Type="http://schemas.openxmlformats.org/officeDocument/2006/relationships/hyperlink" Target="https://docs.aws.amazon.com/en_us/wellarchitected/latest/framework/perf-04.html" TargetMode="External"/><Relationship Id="rId27" Type="http://schemas.openxmlformats.org/officeDocument/2006/relationships/hyperlink" Target="https://docs.aws.amazon.com/en_us/wellarchitected/latest/framework/perf_networking_choose_network_protocols_improve_performance.html" TargetMode="External"/><Relationship Id="rId30" Type="http://schemas.openxmlformats.org/officeDocument/2006/relationships/hyperlink" Target="https://docs.aws.amazon.com/en_us/wellarchitected/latest/framework/perf-05.html" TargetMode="External"/><Relationship Id="rId35" Type="http://schemas.openxmlformats.org/officeDocument/2006/relationships/hyperlink" Target="https://docs.aws.amazon.com/en_us/wellarchitected/latest/framework/perf_process_culture_automation_remediate_issues.html" TargetMode="External"/><Relationship Id="rId8" Type="http://schemas.openxmlformats.org/officeDocument/2006/relationships/hyperlink" Target="https://docs.aws.amazon.com/en_us/wellarchitected/latest/framework/perf_architecture_use_data_driven_approach.html" TargetMode="External"/><Relationship Id="rId3" Type="http://schemas.openxmlformats.org/officeDocument/2006/relationships/hyperlink" Target="https://docs.aws.amazon.com/en_us/wellarchitected/latest/framework/perf_architecture_guidance_architecture_patterns_best_practices.html"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990DF-5C4D-4AB8-8BEB-BBE6817EFFE8}">
  <sheetPr>
    <tabColor rgb="FFFF00FF"/>
    <outlinePr summaryBelow="0" summaryRight="0"/>
    <pageSetUpPr fitToPage="1"/>
  </sheetPr>
  <dimension ref="A1:U40"/>
  <sheetViews>
    <sheetView tabSelected="1" topLeftCell="A7" workbookViewId="0">
      <selection activeCell="B4" sqref="B4"/>
    </sheetView>
  </sheetViews>
  <sheetFormatPr baseColWidth="10" defaultColWidth="12.5703125" defaultRowHeight="12.75" outlineLevelRow="1" x14ac:dyDescent="0.2"/>
  <cols>
    <col min="1" max="1" width="41.85546875" customWidth="1"/>
    <col min="2" max="5" width="76.28515625" customWidth="1"/>
    <col min="6" max="6" width="46" hidden="1" customWidth="1"/>
    <col min="7" max="7" width="7.7109375" hidden="1" customWidth="1"/>
    <col min="8" max="18" width="15.5703125" hidden="1" customWidth="1"/>
    <col min="19" max="19" width="16.42578125" hidden="1" customWidth="1"/>
    <col min="20" max="20" width="14.85546875" hidden="1" customWidth="1"/>
    <col min="21" max="21" width="46" hidden="1" customWidth="1"/>
  </cols>
  <sheetData>
    <row r="1" spans="1:21" ht="20.25" x14ac:dyDescent="0.2">
      <c r="A1" s="1" t="s">
        <v>0</v>
      </c>
      <c r="B1" s="2" t="s">
        <v>1</v>
      </c>
      <c r="C1" s="3" t="s">
        <v>2</v>
      </c>
      <c r="D1" s="3" t="s">
        <v>3</v>
      </c>
      <c r="E1" s="3" t="s">
        <v>4</v>
      </c>
      <c r="F1" s="3" t="s">
        <v>5</v>
      </c>
      <c r="G1" s="4" t="s">
        <v>6</v>
      </c>
      <c r="H1" s="5" t="s">
        <v>7</v>
      </c>
      <c r="I1" s="6"/>
      <c r="J1" s="7" t="s">
        <v>8</v>
      </c>
      <c r="K1" s="7" t="s">
        <v>9</v>
      </c>
      <c r="L1" s="8"/>
      <c r="M1" s="7" t="s">
        <v>10</v>
      </c>
      <c r="N1" s="8"/>
      <c r="O1" s="7" t="s">
        <v>11</v>
      </c>
      <c r="P1" s="8"/>
      <c r="Q1" s="7" t="s">
        <v>12</v>
      </c>
      <c r="R1" s="8"/>
      <c r="S1" s="4" t="s">
        <v>13</v>
      </c>
      <c r="T1" s="4" t="s">
        <v>14</v>
      </c>
      <c r="U1" s="4" t="s">
        <v>15</v>
      </c>
    </row>
    <row r="2" spans="1:21" ht="20.25" x14ac:dyDescent="0.2">
      <c r="A2" s="9"/>
      <c r="B2" s="10"/>
      <c r="C2" s="11"/>
      <c r="D2" s="11"/>
      <c r="E2" s="11"/>
      <c r="F2" s="11"/>
      <c r="G2" s="10"/>
      <c r="H2" s="12" t="s">
        <v>16</v>
      </c>
      <c r="I2" s="12" t="s">
        <v>17</v>
      </c>
      <c r="J2" s="13"/>
      <c r="K2" s="13"/>
      <c r="L2" s="14"/>
      <c r="M2" s="13"/>
      <c r="N2" s="14"/>
      <c r="O2" s="13"/>
      <c r="P2" s="14"/>
      <c r="Q2" s="13"/>
      <c r="R2" s="14"/>
      <c r="S2" s="10"/>
      <c r="T2" s="10"/>
      <c r="U2" s="10"/>
    </row>
    <row r="3" spans="1:21" ht="90" x14ac:dyDescent="0.2">
      <c r="A3" s="15" t="s">
        <v>18</v>
      </c>
      <c r="B3" s="16" t="str">
        <f>CONCATENATE("Selección de arquitectura: ",COUNTIF(B4:B10,"&lt;&gt;0"))</f>
        <v>Selección de arquitectura: 7</v>
      </c>
      <c r="C3" s="16"/>
      <c r="D3" s="16"/>
      <c r="E3" s="16"/>
      <c r="F3" s="17"/>
      <c r="G3" s="17">
        <f>SUM(G4:G10)</f>
        <v>0</v>
      </c>
      <c r="H3" s="18">
        <f>MIN(H4:H10)</f>
        <v>0</v>
      </c>
      <c r="I3" s="18">
        <f>MAX(I4:I10)</f>
        <v>0</v>
      </c>
      <c r="J3" s="17" t="s">
        <v>19</v>
      </c>
      <c r="K3" s="17" t="s">
        <v>19</v>
      </c>
      <c r="L3" s="17" t="s">
        <v>19</v>
      </c>
      <c r="M3" s="17" t="s">
        <v>19</v>
      </c>
      <c r="N3" s="17" t="s">
        <v>19</v>
      </c>
      <c r="O3" s="17" t="s">
        <v>19</v>
      </c>
      <c r="P3" s="17" t="s">
        <v>19</v>
      </c>
      <c r="Q3" s="17" t="s">
        <v>19</v>
      </c>
      <c r="R3" s="17" t="s">
        <v>19</v>
      </c>
      <c r="S3" s="17" t="s">
        <v>19</v>
      </c>
      <c r="T3" s="19" t="e">
        <f>(COUNTIF(T4:T10,"Sí")*1 + COUNTIF(T4:T10, "Parcialmente")*0.5) / ((COUNTA(T4:T10) - (COUNTIF(T4:T10, "N/A") + COUNTIF(T4:T10, "N/E"))))</f>
        <v>#DIV/0!</v>
      </c>
      <c r="U3" s="17" t="str">
        <f ca="1">IFERROR(__xludf.DUMMYFUNCTION("CONCATENATE(""Cantidad de notas: "", COUNTIF(FLATTEN(SPLIT(TEXTJOIN(CHAR(10), TRUE, U4:U5), CHAR(10))), ""*-?*""))"),"Cantidad de notas: 0")</f>
        <v>Cantidad de notas: 0</v>
      </c>
    </row>
    <row r="4" spans="1:21" ht="409.5" outlineLevel="1" x14ac:dyDescent="0.2">
      <c r="A4" s="20" t="s">
        <v>20</v>
      </c>
      <c r="B4" s="21" t="s">
        <v>21</v>
      </c>
      <c r="C4" s="21" t="s">
        <v>22</v>
      </c>
      <c r="D4" s="21" t="s">
        <v>23</v>
      </c>
      <c r="E4" s="21" t="s">
        <v>24</v>
      </c>
      <c r="F4" s="22"/>
      <c r="G4" s="23">
        <v>0</v>
      </c>
      <c r="H4" s="24"/>
      <c r="I4" s="24"/>
      <c r="J4" s="25"/>
      <c r="K4" s="26"/>
      <c r="L4" s="27" t="e">
        <f t="shared" ref="L4:L10" ca="1" si="0">_xludf.IFS(K4 = "Alta", 3, K4 = "Media", 2, K4 = "Baja", 1)</f>
        <v>#NAME?</v>
      </c>
      <c r="M4" s="26"/>
      <c r="N4" s="27" t="e">
        <f t="shared" ref="N4:N10" ca="1" si="1">_xludf.IFS(M4 = "Alta", 3, M4 = "Media", 2, M4 = "Baja", 1)</f>
        <v>#NAME?</v>
      </c>
      <c r="O4" s="26"/>
      <c r="P4" s="27" t="e">
        <f t="shared" ref="P4:P10" ca="1" si="2">_xludf.IFS(O4 = "Alta", 3, O4 = "Media", 2, O4 = "Baja", 1)</f>
        <v>#NAME?</v>
      </c>
      <c r="Q4" s="28" t="e">
        <f t="shared" ref="Q4:Q10" ca="1" si="3">_xludf.IFS(R4 &lt; 2, "Baja", AND(R4 &gt;= 2, R4 &lt;= 2.49), "Media", AND(R4 &gt;= 2.5), "Alta")</f>
        <v>#NAME?</v>
      </c>
      <c r="R4" s="29" t="e">
        <f t="shared" ref="R4:R10" ca="1" si="4">(G4 *0.25)+(L4*0.3)+(N4*0.3)+(P4*0.15)</f>
        <v>#NAME?</v>
      </c>
      <c r="S4" s="30"/>
      <c r="T4" s="30"/>
      <c r="U4" s="22" t="s">
        <v>25</v>
      </c>
    </row>
    <row r="5" spans="1:21" ht="409.5" outlineLevel="1" x14ac:dyDescent="0.2">
      <c r="A5" s="20" t="s">
        <v>26</v>
      </c>
      <c r="B5" s="21" t="s">
        <v>27</v>
      </c>
      <c r="C5" s="21" t="s">
        <v>28</v>
      </c>
      <c r="D5" s="21" t="s">
        <v>29</v>
      </c>
      <c r="E5" s="21" t="s">
        <v>30</v>
      </c>
      <c r="F5" s="22"/>
      <c r="G5" s="23">
        <v>0</v>
      </c>
      <c r="H5" s="24"/>
      <c r="I5" s="24"/>
      <c r="J5" s="25"/>
      <c r="K5" s="26"/>
      <c r="L5" s="27" t="e">
        <f t="shared" ca="1" si="0"/>
        <v>#NAME?</v>
      </c>
      <c r="M5" s="26"/>
      <c r="N5" s="27" t="e">
        <f t="shared" ca="1" si="1"/>
        <v>#NAME?</v>
      </c>
      <c r="O5" s="26"/>
      <c r="P5" s="27" t="e">
        <f t="shared" ca="1" si="2"/>
        <v>#NAME?</v>
      </c>
      <c r="Q5" s="28" t="e">
        <f t="shared" ca="1" si="3"/>
        <v>#NAME?</v>
      </c>
      <c r="R5" s="29" t="e">
        <f t="shared" ca="1" si="4"/>
        <v>#NAME?</v>
      </c>
      <c r="S5" s="30"/>
      <c r="T5" s="30"/>
      <c r="U5" s="22" t="s">
        <v>25</v>
      </c>
    </row>
    <row r="6" spans="1:21" ht="409.5" outlineLevel="1" x14ac:dyDescent="0.2">
      <c r="A6" s="20" t="s">
        <v>31</v>
      </c>
      <c r="B6" s="21" t="s">
        <v>32</v>
      </c>
      <c r="C6" s="21" t="s">
        <v>33</v>
      </c>
      <c r="D6" s="21" t="s">
        <v>34</v>
      </c>
      <c r="E6" s="21" t="s">
        <v>35</v>
      </c>
      <c r="F6" s="22"/>
      <c r="G6" s="23">
        <v>0</v>
      </c>
      <c r="H6" s="24"/>
      <c r="I6" s="24"/>
      <c r="J6" s="25"/>
      <c r="K6" s="26"/>
      <c r="L6" s="27" t="e">
        <f t="shared" ca="1" si="0"/>
        <v>#NAME?</v>
      </c>
      <c r="M6" s="26"/>
      <c r="N6" s="27" t="e">
        <f t="shared" ca="1" si="1"/>
        <v>#NAME?</v>
      </c>
      <c r="O6" s="26"/>
      <c r="P6" s="27" t="e">
        <f t="shared" ca="1" si="2"/>
        <v>#NAME?</v>
      </c>
      <c r="Q6" s="28" t="e">
        <f t="shared" ca="1" si="3"/>
        <v>#NAME?</v>
      </c>
      <c r="R6" s="29" t="e">
        <f t="shared" ca="1" si="4"/>
        <v>#NAME?</v>
      </c>
      <c r="S6" s="30"/>
      <c r="T6" s="30"/>
      <c r="U6" s="22" t="s">
        <v>25</v>
      </c>
    </row>
    <row r="7" spans="1:21" ht="409.5" outlineLevel="1" x14ac:dyDescent="0.2">
      <c r="A7" s="20" t="s">
        <v>36</v>
      </c>
      <c r="B7" s="31" t="s">
        <v>37</v>
      </c>
      <c r="C7" s="31" t="s">
        <v>38</v>
      </c>
      <c r="D7" s="31" t="s">
        <v>39</v>
      </c>
      <c r="E7" s="31" t="s">
        <v>40</v>
      </c>
      <c r="F7" s="22"/>
      <c r="G7" s="23">
        <v>0</v>
      </c>
      <c r="H7" s="24"/>
      <c r="I7" s="24"/>
      <c r="J7" s="25"/>
      <c r="K7" s="26"/>
      <c r="L7" s="27" t="e">
        <f t="shared" ca="1" si="0"/>
        <v>#NAME?</v>
      </c>
      <c r="M7" s="26"/>
      <c r="N7" s="27" t="e">
        <f t="shared" ca="1" si="1"/>
        <v>#NAME?</v>
      </c>
      <c r="O7" s="26"/>
      <c r="P7" s="27" t="e">
        <f t="shared" ca="1" si="2"/>
        <v>#NAME?</v>
      </c>
      <c r="Q7" s="28" t="e">
        <f t="shared" ca="1" si="3"/>
        <v>#NAME?</v>
      </c>
      <c r="R7" s="29" t="e">
        <f t="shared" ca="1" si="4"/>
        <v>#NAME?</v>
      </c>
      <c r="S7" s="30"/>
      <c r="T7" s="30"/>
      <c r="U7" s="22" t="s">
        <v>25</v>
      </c>
    </row>
    <row r="8" spans="1:21" ht="409.5" outlineLevel="1" x14ac:dyDescent="0.2">
      <c r="A8" s="20" t="s">
        <v>41</v>
      </c>
      <c r="B8" s="31" t="s">
        <v>42</v>
      </c>
      <c r="C8" s="31" t="s">
        <v>43</v>
      </c>
      <c r="D8" s="31" t="s">
        <v>44</v>
      </c>
      <c r="E8" s="31" t="s">
        <v>45</v>
      </c>
      <c r="F8" s="22"/>
      <c r="G8" s="23">
        <v>0</v>
      </c>
      <c r="H8" s="24"/>
      <c r="I8" s="24"/>
      <c r="J8" s="25"/>
      <c r="K8" s="26"/>
      <c r="L8" s="27" t="e">
        <f t="shared" ca="1" si="0"/>
        <v>#NAME?</v>
      </c>
      <c r="M8" s="26"/>
      <c r="N8" s="27" t="e">
        <f t="shared" ca="1" si="1"/>
        <v>#NAME?</v>
      </c>
      <c r="O8" s="26"/>
      <c r="P8" s="27" t="e">
        <f t="shared" ca="1" si="2"/>
        <v>#NAME?</v>
      </c>
      <c r="Q8" s="28" t="e">
        <f t="shared" ca="1" si="3"/>
        <v>#NAME?</v>
      </c>
      <c r="R8" s="29" t="e">
        <f t="shared" ca="1" si="4"/>
        <v>#NAME?</v>
      </c>
      <c r="S8" s="30"/>
      <c r="T8" s="30"/>
      <c r="U8" s="22" t="s">
        <v>25</v>
      </c>
    </row>
    <row r="9" spans="1:21" ht="409.5" outlineLevel="1" x14ac:dyDescent="0.2">
      <c r="A9" s="20" t="s">
        <v>46</v>
      </c>
      <c r="B9" s="31" t="s">
        <v>47</v>
      </c>
      <c r="C9" s="31" t="s">
        <v>48</v>
      </c>
      <c r="D9" s="31" t="s">
        <v>49</v>
      </c>
      <c r="E9" s="31" t="s">
        <v>50</v>
      </c>
      <c r="F9" s="22"/>
      <c r="G9" s="23">
        <v>0</v>
      </c>
      <c r="H9" s="24"/>
      <c r="I9" s="24"/>
      <c r="J9" s="25"/>
      <c r="K9" s="26"/>
      <c r="L9" s="27" t="e">
        <f t="shared" ca="1" si="0"/>
        <v>#NAME?</v>
      </c>
      <c r="M9" s="26"/>
      <c r="N9" s="27" t="e">
        <f t="shared" ca="1" si="1"/>
        <v>#NAME?</v>
      </c>
      <c r="O9" s="26"/>
      <c r="P9" s="27" t="e">
        <f t="shared" ca="1" si="2"/>
        <v>#NAME?</v>
      </c>
      <c r="Q9" s="28" t="e">
        <f t="shared" ca="1" si="3"/>
        <v>#NAME?</v>
      </c>
      <c r="R9" s="29" t="e">
        <f t="shared" ca="1" si="4"/>
        <v>#NAME?</v>
      </c>
      <c r="S9" s="30"/>
      <c r="T9" s="30"/>
      <c r="U9" s="22" t="s">
        <v>25</v>
      </c>
    </row>
    <row r="10" spans="1:21" ht="409.5" outlineLevel="1" x14ac:dyDescent="0.2">
      <c r="A10" s="20" t="s">
        <v>51</v>
      </c>
      <c r="B10" s="31" t="s">
        <v>52</v>
      </c>
      <c r="C10" s="31" t="s">
        <v>53</v>
      </c>
      <c r="D10" s="31" t="s">
        <v>54</v>
      </c>
      <c r="E10" s="31" t="s">
        <v>55</v>
      </c>
      <c r="F10" s="22"/>
      <c r="G10" s="23">
        <v>0</v>
      </c>
      <c r="H10" s="24"/>
      <c r="I10" s="24"/>
      <c r="J10" s="25"/>
      <c r="K10" s="26"/>
      <c r="L10" s="27" t="e">
        <f t="shared" ca="1" si="0"/>
        <v>#NAME?</v>
      </c>
      <c r="M10" s="26"/>
      <c r="N10" s="27" t="e">
        <f t="shared" ca="1" si="1"/>
        <v>#NAME?</v>
      </c>
      <c r="O10" s="26"/>
      <c r="P10" s="27" t="e">
        <f t="shared" ca="1" si="2"/>
        <v>#NAME?</v>
      </c>
      <c r="Q10" s="28" t="e">
        <f t="shared" ca="1" si="3"/>
        <v>#NAME?</v>
      </c>
      <c r="R10" s="29" t="e">
        <f t="shared" ca="1" si="4"/>
        <v>#NAME?</v>
      </c>
      <c r="S10" s="30"/>
      <c r="T10" s="30"/>
      <c r="U10" s="22" t="s">
        <v>25</v>
      </c>
    </row>
    <row r="11" spans="1:21" ht="90" x14ac:dyDescent="0.2">
      <c r="A11" s="15" t="s">
        <v>56</v>
      </c>
      <c r="B11" s="16" t="str">
        <f>CONCATENATE("Computación y hardware: ",COUNTIF(B12:B17,"&lt;&gt;0"))</f>
        <v>Computación y hardware: 6</v>
      </c>
      <c r="C11" s="16"/>
      <c r="D11" s="16"/>
      <c r="E11" s="16"/>
      <c r="F11" s="17"/>
      <c r="G11" s="17">
        <f>SUM(G12:G17)</f>
        <v>0</v>
      </c>
      <c r="H11" s="18">
        <f>MIN(H12:H17)</f>
        <v>0</v>
      </c>
      <c r="I11" s="18">
        <f>MAX(I12:I17)</f>
        <v>0</v>
      </c>
      <c r="J11" s="17" t="s">
        <v>19</v>
      </c>
      <c r="K11" s="17" t="s">
        <v>19</v>
      </c>
      <c r="L11" s="17" t="s">
        <v>19</v>
      </c>
      <c r="M11" s="17" t="s">
        <v>19</v>
      </c>
      <c r="N11" s="17" t="s">
        <v>19</v>
      </c>
      <c r="O11" s="17" t="s">
        <v>19</v>
      </c>
      <c r="P11" s="17" t="s">
        <v>19</v>
      </c>
      <c r="Q11" s="17" t="s">
        <v>19</v>
      </c>
      <c r="R11" s="17" t="s">
        <v>19</v>
      </c>
      <c r="S11" s="17" t="s">
        <v>19</v>
      </c>
      <c r="T11" s="19" t="e">
        <f>(COUNTIF(T12:T17,"Sí")*1 + COUNTIF(T12:T17, "Parcialmente")*0.5) / ((COUNTA(T12:T17) - (COUNTIF(T12:T17, "N/A") + COUNTIF(T12:T17, "N/E"))))</f>
        <v>#DIV/0!</v>
      </c>
      <c r="U11" s="17" t="str">
        <f ca="1">IFERROR(__xludf.DUMMYFUNCTION("CONCATENATE(""Cantidad de notas: "", COUNTIF(FLATTEN(SPLIT(TEXTJOIN(CHAR(10), TRUE, U12:U17), CHAR(10))), ""*-?*""))"),"Cantidad de notas: 0")</f>
        <v>Cantidad de notas: 0</v>
      </c>
    </row>
    <row r="12" spans="1:21" ht="409.5" outlineLevel="1" x14ac:dyDescent="0.2">
      <c r="A12" s="20" t="s">
        <v>57</v>
      </c>
      <c r="B12" s="21" t="s">
        <v>58</v>
      </c>
      <c r="C12" s="21" t="s">
        <v>59</v>
      </c>
      <c r="D12" s="21" t="s">
        <v>60</v>
      </c>
      <c r="E12" s="21" t="s">
        <v>61</v>
      </c>
      <c r="F12" s="22"/>
      <c r="G12" s="23">
        <v>0</v>
      </c>
      <c r="H12" s="24"/>
      <c r="I12" s="24"/>
      <c r="J12" s="25"/>
      <c r="K12" s="26"/>
      <c r="L12" s="27" t="e">
        <f t="shared" ref="L12:L17" ca="1" si="5">_xludf.IFS(K12 = "Alta", 3, K12 = "Media", 2, K12 = "Baja", 1)</f>
        <v>#NAME?</v>
      </c>
      <c r="M12" s="26"/>
      <c r="N12" s="27" t="e">
        <f t="shared" ref="N12:N17" ca="1" si="6">_xludf.IFS(M12 = "Alta", 3, M12 = "Media", 2, M12 = "Baja", 1)</f>
        <v>#NAME?</v>
      </c>
      <c r="O12" s="26"/>
      <c r="P12" s="27" t="e">
        <f t="shared" ref="P12:P17" ca="1" si="7">_xludf.IFS(O12 = "Alta", 3, O12 = "Media", 2, O12 = "Baja", 1)</f>
        <v>#NAME?</v>
      </c>
      <c r="Q12" s="28" t="e">
        <f t="shared" ref="Q12:Q17" ca="1" si="8">_xludf.IFS(R12 &lt; 2, "Baja", AND(R12 &gt;= 2, R12 &lt;= 2.49), "Media", AND(R12 &gt;= 2.5), "Alta")</f>
        <v>#NAME?</v>
      </c>
      <c r="R12" s="29" t="e">
        <f t="shared" ref="R12:R17" ca="1" si="9">(G12 *0.25)+(L12*0.3)+(N12*0.3)+(P12*0.15)</f>
        <v>#NAME?</v>
      </c>
      <c r="S12" s="30"/>
      <c r="T12" s="30"/>
      <c r="U12" s="22" t="s">
        <v>25</v>
      </c>
    </row>
    <row r="13" spans="1:21" ht="409.5" outlineLevel="1" x14ac:dyDescent="0.2">
      <c r="A13" s="20" t="s">
        <v>62</v>
      </c>
      <c r="B13" s="21" t="s">
        <v>63</v>
      </c>
      <c r="C13" s="21" t="s">
        <v>64</v>
      </c>
      <c r="D13" s="21" t="s">
        <v>65</v>
      </c>
      <c r="E13" s="21" t="s">
        <v>66</v>
      </c>
      <c r="F13" s="22"/>
      <c r="G13" s="23">
        <v>0</v>
      </c>
      <c r="H13" s="24"/>
      <c r="I13" s="24"/>
      <c r="J13" s="25"/>
      <c r="K13" s="26"/>
      <c r="L13" s="27" t="e">
        <f t="shared" ca="1" si="5"/>
        <v>#NAME?</v>
      </c>
      <c r="M13" s="26"/>
      <c r="N13" s="27" t="e">
        <f t="shared" ca="1" si="6"/>
        <v>#NAME?</v>
      </c>
      <c r="O13" s="26"/>
      <c r="P13" s="27" t="e">
        <f t="shared" ca="1" si="7"/>
        <v>#NAME?</v>
      </c>
      <c r="Q13" s="28" t="e">
        <f t="shared" ca="1" si="8"/>
        <v>#NAME?</v>
      </c>
      <c r="R13" s="29" t="e">
        <f t="shared" ca="1" si="9"/>
        <v>#NAME?</v>
      </c>
      <c r="S13" s="30"/>
      <c r="T13" s="30"/>
      <c r="U13" s="22" t="s">
        <v>25</v>
      </c>
    </row>
    <row r="14" spans="1:21" ht="409.5" outlineLevel="1" x14ac:dyDescent="0.2">
      <c r="A14" s="20" t="s">
        <v>67</v>
      </c>
      <c r="B14" s="21" t="s">
        <v>68</v>
      </c>
      <c r="C14" s="21" t="s">
        <v>69</v>
      </c>
      <c r="D14" s="21" t="s">
        <v>70</v>
      </c>
      <c r="E14" s="21" t="s">
        <v>71</v>
      </c>
      <c r="F14" s="22"/>
      <c r="G14" s="23">
        <v>0</v>
      </c>
      <c r="H14" s="24"/>
      <c r="I14" s="24"/>
      <c r="J14" s="25"/>
      <c r="K14" s="26"/>
      <c r="L14" s="27" t="e">
        <f t="shared" ca="1" si="5"/>
        <v>#NAME?</v>
      </c>
      <c r="M14" s="26"/>
      <c r="N14" s="27" t="e">
        <f t="shared" ca="1" si="6"/>
        <v>#NAME?</v>
      </c>
      <c r="O14" s="26"/>
      <c r="P14" s="27" t="e">
        <f t="shared" ca="1" si="7"/>
        <v>#NAME?</v>
      </c>
      <c r="Q14" s="28" t="e">
        <f t="shared" ca="1" si="8"/>
        <v>#NAME?</v>
      </c>
      <c r="R14" s="29" t="e">
        <f t="shared" ca="1" si="9"/>
        <v>#NAME?</v>
      </c>
      <c r="S14" s="30"/>
      <c r="T14" s="30"/>
      <c r="U14" s="22" t="s">
        <v>25</v>
      </c>
    </row>
    <row r="15" spans="1:21" ht="409.5" outlineLevel="1" x14ac:dyDescent="0.2">
      <c r="A15" s="20" t="s">
        <v>72</v>
      </c>
      <c r="B15" s="21" t="s">
        <v>73</v>
      </c>
      <c r="C15" s="21" t="s">
        <v>74</v>
      </c>
      <c r="D15" s="21" t="s">
        <v>75</v>
      </c>
      <c r="E15" s="21" t="s">
        <v>76</v>
      </c>
      <c r="F15" s="22"/>
      <c r="G15" s="23">
        <v>0</v>
      </c>
      <c r="H15" s="24"/>
      <c r="I15" s="24"/>
      <c r="J15" s="25"/>
      <c r="K15" s="26"/>
      <c r="L15" s="27" t="e">
        <f t="shared" ca="1" si="5"/>
        <v>#NAME?</v>
      </c>
      <c r="M15" s="26"/>
      <c r="N15" s="27" t="e">
        <f t="shared" ca="1" si="6"/>
        <v>#NAME?</v>
      </c>
      <c r="O15" s="26"/>
      <c r="P15" s="27" t="e">
        <f t="shared" ca="1" si="7"/>
        <v>#NAME?</v>
      </c>
      <c r="Q15" s="28" t="e">
        <f t="shared" ca="1" si="8"/>
        <v>#NAME?</v>
      </c>
      <c r="R15" s="29" t="e">
        <f t="shared" ca="1" si="9"/>
        <v>#NAME?</v>
      </c>
      <c r="S15" s="30"/>
      <c r="T15" s="30"/>
      <c r="U15" s="22" t="s">
        <v>25</v>
      </c>
    </row>
    <row r="16" spans="1:21" ht="409.5" outlineLevel="1" x14ac:dyDescent="0.2">
      <c r="A16" s="20" t="s">
        <v>77</v>
      </c>
      <c r="B16" s="21" t="s">
        <v>78</v>
      </c>
      <c r="C16" s="21" t="s">
        <v>79</v>
      </c>
      <c r="D16" s="21" t="s">
        <v>80</v>
      </c>
      <c r="E16" s="21" t="s">
        <v>81</v>
      </c>
      <c r="F16" s="22"/>
      <c r="G16" s="23">
        <v>0</v>
      </c>
      <c r="H16" s="24"/>
      <c r="I16" s="24"/>
      <c r="J16" s="25"/>
      <c r="K16" s="26"/>
      <c r="L16" s="27" t="e">
        <f t="shared" ca="1" si="5"/>
        <v>#NAME?</v>
      </c>
      <c r="M16" s="26"/>
      <c r="N16" s="27" t="e">
        <f t="shared" ca="1" si="6"/>
        <v>#NAME?</v>
      </c>
      <c r="O16" s="26"/>
      <c r="P16" s="27" t="e">
        <f t="shared" ca="1" si="7"/>
        <v>#NAME?</v>
      </c>
      <c r="Q16" s="28" t="e">
        <f t="shared" ca="1" si="8"/>
        <v>#NAME?</v>
      </c>
      <c r="R16" s="29" t="e">
        <f t="shared" ca="1" si="9"/>
        <v>#NAME?</v>
      </c>
      <c r="S16" s="30"/>
      <c r="T16" s="30"/>
      <c r="U16" s="22" t="s">
        <v>25</v>
      </c>
    </row>
    <row r="17" spans="1:21" ht="409.5" outlineLevel="1" x14ac:dyDescent="0.2">
      <c r="A17" s="20" t="s">
        <v>82</v>
      </c>
      <c r="B17" s="21" t="s">
        <v>83</v>
      </c>
      <c r="C17" s="21" t="s">
        <v>84</v>
      </c>
      <c r="D17" s="21" t="s">
        <v>85</v>
      </c>
      <c r="E17" s="21" t="s">
        <v>86</v>
      </c>
      <c r="F17" s="22"/>
      <c r="G17" s="23">
        <v>0</v>
      </c>
      <c r="H17" s="24"/>
      <c r="I17" s="24"/>
      <c r="J17" s="25"/>
      <c r="K17" s="26"/>
      <c r="L17" s="27" t="e">
        <f t="shared" ca="1" si="5"/>
        <v>#NAME?</v>
      </c>
      <c r="M17" s="26"/>
      <c r="N17" s="27" t="e">
        <f t="shared" ca="1" si="6"/>
        <v>#NAME?</v>
      </c>
      <c r="O17" s="26"/>
      <c r="P17" s="27" t="e">
        <f t="shared" ca="1" si="7"/>
        <v>#NAME?</v>
      </c>
      <c r="Q17" s="28" t="e">
        <f t="shared" ca="1" si="8"/>
        <v>#NAME?</v>
      </c>
      <c r="R17" s="29" t="e">
        <f t="shared" ca="1" si="9"/>
        <v>#NAME?</v>
      </c>
      <c r="S17" s="30"/>
      <c r="T17" s="30"/>
      <c r="U17" s="22" t="s">
        <v>25</v>
      </c>
    </row>
    <row r="18" spans="1:21" ht="72" x14ac:dyDescent="0.2">
      <c r="A18" s="15" t="s">
        <v>87</v>
      </c>
      <c r="B18" s="16" t="str">
        <f>CONCATENATE("Gestión de datos: ",COUNTIF(B19:B23,"&lt;&gt;0"))</f>
        <v>Gestión de datos: 5</v>
      </c>
      <c r="C18" s="16"/>
      <c r="D18" s="16"/>
      <c r="E18" s="16"/>
      <c r="F18" s="17"/>
      <c r="G18" s="17">
        <f>SUM(G19:G23)</f>
        <v>0</v>
      </c>
      <c r="H18" s="18">
        <f>MIN(H19:H23)</f>
        <v>0</v>
      </c>
      <c r="I18" s="18">
        <f>MAX(I19:I23)</f>
        <v>0</v>
      </c>
      <c r="J18" s="17" t="s">
        <v>19</v>
      </c>
      <c r="K18" s="17" t="s">
        <v>19</v>
      </c>
      <c r="L18" s="17" t="s">
        <v>19</v>
      </c>
      <c r="M18" s="17" t="s">
        <v>19</v>
      </c>
      <c r="N18" s="17" t="s">
        <v>19</v>
      </c>
      <c r="O18" s="17" t="s">
        <v>19</v>
      </c>
      <c r="P18" s="17" t="s">
        <v>19</v>
      </c>
      <c r="Q18" s="17" t="s">
        <v>19</v>
      </c>
      <c r="R18" s="17" t="s">
        <v>19</v>
      </c>
      <c r="S18" s="17" t="s">
        <v>19</v>
      </c>
      <c r="T18" s="19" t="e">
        <f>(COUNTIF(T19:T23,"Sí")*1 + COUNTIF(T19:T23, "Parcialmente")*0.5) / ((COUNTA(T19:T23) - (COUNTIF(T19:T23, "N/A") + COUNTIF(T19:T23, "N/E"))))</f>
        <v>#DIV/0!</v>
      </c>
      <c r="U18" s="17" t="str">
        <f ca="1">IFERROR(__xludf.DUMMYFUNCTION("CONCATENATE(""Cantidad de notas: "", COUNTIF(FLATTEN(SPLIT(TEXTJOIN(CHAR(10), TRUE, U19:U23), CHAR(10))), ""*-?*""))"),"Cantidad de notas: 0")</f>
        <v>Cantidad de notas: 0</v>
      </c>
    </row>
    <row r="19" spans="1:21" ht="409.5" outlineLevel="1" x14ac:dyDescent="0.2">
      <c r="A19" s="20" t="s">
        <v>88</v>
      </c>
      <c r="B19" s="31" t="s">
        <v>89</v>
      </c>
      <c r="C19" s="31" t="s">
        <v>90</v>
      </c>
      <c r="D19" s="31" t="s">
        <v>91</v>
      </c>
      <c r="E19" s="31" t="s">
        <v>92</v>
      </c>
      <c r="F19" s="22"/>
      <c r="G19" s="23">
        <v>0</v>
      </c>
      <c r="H19" s="24"/>
      <c r="I19" s="24"/>
      <c r="J19" s="25"/>
      <c r="K19" s="26"/>
      <c r="L19" s="27" t="e">
        <f t="shared" ref="L19:L23" ca="1" si="10">_xludf.IFS(K19 = "Alta", 3, K19 = "Media", 2, K19 = "Baja", 1)</f>
        <v>#NAME?</v>
      </c>
      <c r="M19" s="26"/>
      <c r="N19" s="27" t="e">
        <f t="shared" ref="N19:N23" ca="1" si="11">_xludf.IFS(M19 = "Alta", 3, M19 = "Media", 2, M19 = "Baja", 1)</f>
        <v>#NAME?</v>
      </c>
      <c r="O19" s="26"/>
      <c r="P19" s="27" t="e">
        <f t="shared" ref="P19:P23" ca="1" si="12">_xludf.IFS(O19 = "Alta", 3, O19 = "Media", 2, O19 = "Baja", 1)</f>
        <v>#NAME?</v>
      </c>
      <c r="Q19" s="28" t="e">
        <f t="shared" ref="Q19:Q23" ca="1" si="13">_xludf.IFS(R19 &lt; 2, "Baja", AND(R19 &gt;= 2, R19 &lt;= 2.49), "Media", AND(R19 &gt;= 2.5), "Alta")</f>
        <v>#NAME?</v>
      </c>
      <c r="R19" s="29" t="e">
        <f t="shared" ref="R19:R23" ca="1" si="14">(G19 *0.25)+(L19*0.3)+(N19*0.3)+(P19*0.15)</f>
        <v>#NAME?</v>
      </c>
      <c r="S19" s="30"/>
      <c r="T19" s="30"/>
      <c r="U19" s="22" t="s">
        <v>25</v>
      </c>
    </row>
    <row r="20" spans="1:21" ht="409.5" outlineLevel="1" x14ac:dyDescent="0.2">
      <c r="A20" s="20" t="s">
        <v>93</v>
      </c>
      <c r="B20" s="31" t="s">
        <v>94</v>
      </c>
      <c r="C20" s="31" t="s">
        <v>95</v>
      </c>
      <c r="D20" s="31" t="s">
        <v>96</v>
      </c>
      <c r="E20" s="31" t="s">
        <v>97</v>
      </c>
      <c r="F20" s="22"/>
      <c r="G20" s="23">
        <v>0</v>
      </c>
      <c r="H20" s="24"/>
      <c r="I20" s="24"/>
      <c r="J20" s="25"/>
      <c r="K20" s="26"/>
      <c r="L20" s="27" t="e">
        <f t="shared" ca="1" si="10"/>
        <v>#NAME?</v>
      </c>
      <c r="M20" s="26"/>
      <c r="N20" s="27" t="e">
        <f t="shared" ca="1" si="11"/>
        <v>#NAME?</v>
      </c>
      <c r="O20" s="26"/>
      <c r="P20" s="27" t="e">
        <f t="shared" ca="1" si="12"/>
        <v>#NAME?</v>
      </c>
      <c r="Q20" s="28" t="e">
        <f t="shared" ca="1" si="13"/>
        <v>#NAME?</v>
      </c>
      <c r="R20" s="29" t="e">
        <f t="shared" ca="1" si="14"/>
        <v>#NAME?</v>
      </c>
      <c r="S20" s="30"/>
      <c r="T20" s="30"/>
      <c r="U20" s="22" t="s">
        <v>25</v>
      </c>
    </row>
    <row r="21" spans="1:21" ht="409.5" outlineLevel="1" x14ac:dyDescent="0.2">
      <c r="A21" s="20" t="s">
        <v>98</v>
      </c>
      <c r="B21" s="31" t="s">
        <v>99</v>
      </c>
      <c r="C21" s="31" t="s">
        <v>100</v>
      </c>
      <c r="D21" s="31" t="s">
        <v>101</v>
      </c>
      <c r="E21" s="31" t="s">
        <v>102</v>
      </c>
      <c r="F21" s="22"/>
      <c r="G21" s="23">
        <v>0</v>
      </c>
      <c r="H21" s="24"/>
      <c r="I21" s="24"/>
      <c r="J21" s="25"/>
      <c r="K21" s="26"/>
      <c r="L21" s="27" t="e">
        <f t="shared" ca="1" si="10"/>
        <v>#NAME?</v>
      </c>
      <c r="M21" s="26"/>
      <c r="N21" s="27" t="e">
        <f t="shared" ca="1" si="11"/>
        <v>#NAME?</v>
      </c>
      <c r="O21" s="26"/>
      <c r="P21" s="27" t="e">
        <f t="shared" ca="1" si="12"/>
        <v>#NAME?</v>
      </c>
      <c r="Q21" s="28" t="e">
        <f t="shared" ca="1" si="13"/>
        <v>#NAME?</v>
      </c>
      <c r="R21" s="29" t="e">
        <f t="shared" ca="1" si="14"/>
        <v>#NAME?</v>
      </c>
      <c r="S21" s="30"/>
      <c r="T21" s="30"/>
      <c r="U21" s="22" t="s">
        <v>25</v>
      </c>
    </row>
    <row r="22" spans="1:21" ht="409.5" outlineLevel="1" x14ac:dyDescent="0.2">
      <c r="A22" s="20" t="s">
        <v>103</v>
      </c>
      <c r="B22" s="31" t="s">
        <v>104</v>
      </c>
      <c r="C22" s="31" t="s">
        <v>105</v>
      </c>
      <c r="D22" s="31" t="s">
        <v>106</v>
      </c>
      <c r="E22" s="31" t="s">
        <v>107</v>
      </c>
      <c r="F22" s="22"/>
      <c r="G22" s="23">
        <v>0</v>
      </c>
      <c r="H22" s="24"/>
      <c r="I22" s="24"/>
      <c r="J22" s="25"/>
      <c r="K22" s="26"/>
      <c r="L22" s="27" t="e">
        <f t="shared" ca="1" si="10"/>
        <v>#NAME?</v>
      </c>
      <c r="M22" s="26"/>
      <c r="N22" s="27" t="e">
        <f t="shared" ca="1" si="11"/>
        <v>#NAME?</v>
      </c>
      <c r="O22" s="26"/>
      <c r="P22" s="27" t="e">
        <f t="shared" ca="1" si="12"/>
        <v>#NAME?</v>
      </c>
      <c r="Q22" s="28" t="e">
        <f t="shared" ca="1" si="13"/>
        <v>#NAME?</v>
      </c>
      <c r="R22" s="29" t="e">
        <f t="shared" ca="1" si="14"/>
        <v>#NAME?</v>
      </c>
      <c r="S22" s="30"/>
      <c r="T22" s="30"/>
      <c r="U22" s="22" t="s">
        <v>25</v>
      </c>
    </row>
    <row r="23" spans="1:21" ht="409.5" outlineLevel="1" x14ac:dyDescent="0.2">
      <c r="A23" s="20" t="s">
        <v>108</v>
      </c>
      <c r="B23" s="31" t="s">
        <v>109</v>
      </c>
      <c r="C23" s="31" t="s">
        <v>110</v>
      </c>
      <c r="D23" s="31" t="s">
        <v>111</v>
      </c>
      <c r="E23" s="31" t="s">
        <v>112</v>
      </c>
      <c r="F23" s="22"/>
      <c r="G23" s="23">
        <v>0</v>
      </c>
      <c r="H23" s="24"/>
      <c r="I23" s="24"/>
      <c r="J23" s="25"/>
      <c r="K23" s="26"/>
      <c r="L23" s="27" t="e">
        <f t="shared" ca="1" si="10"/>
        <v>#NAME?</v>
      </c>
      <c r="M23" s="26"/>
      <c r="N23" s="27" t="e">
        <f t="shared" ca="1" si="11"/>
        <v>#NAME?</v>
      </c>
      <c r="O23" s="26"/>
      <c r="P23" s="27" t="e">
        <f t="shared" ca="1" si="12"/>
        <v>#NAME?</v>
      </c>
      <c r="Q23" s="28" t="e">
        <f t="shared" ca="1" si="13"/>
        <v>#NAME?</v>
      </c>
      <c r="R23" s="29" t="e">
        <f t="shared" ca="1" si="14"/>
        <v>#NAME?</v>
      </c>
      <c r="S23" s="30"/>
      <c r="T23" s="30"/>
      <c r="U23" s="22" t="s">
        <v>25</v>
      </c>
    </row>
    <row r="24" spans="1:21" ht="72" x14ac:dyDescent="0.2">
      <c r="A24" s="15" t="s">
        <v>113</v>
      </c>
      <c r="B24" s="16" t="str">
        <f>CONCATENATE("Redes y entrega de contenido: ",COUNTIF(B25:B31,"&lt;&gt;0"))</f>
        <v>Redes y entrega de contenido: 7</v>
      </c>
      <c r="C24" s="16"/>
      <c r="D24" s="16"/>
      <c r="E24" s="16"/>
      <c r="F24" s="17"/>
      <c r="G24" s="17">
        <f>SUM(G25:G31)</f>
        <v>0</v>
      </c>
      <c r="H24" s="18">
        <f>MIN(H25:H31)</f>
        <v>0</v>
      </c>
      <c r="I24" s="18">
        <f>MAX(I25:I31)</f>
        <v>0</v>
      </c>
      <c r="J24" s="17" t="s">
        <v>19</v>
      </c>
      <c r="K24" s="17" t="s">
        <v>19</v>
      </c>
      <c r="L24" s="17" t="s">
        <v>19</v>
      </c>
      <c r="M24" s="17" t="s">
        <v>19</v>
      </c>
      <c r="N24" s="17" t="s">
        <v>19</v>
      </c>
      <c r="O24" s="17" t="s">
        <v>19</v>
      </c>
      <c r="P24" s="17" t="s">
        <v>19</v>
      </c>
      <c r="Q24" s="17" t="s">
        <v>19</v>
      </c>
      <c r="R24" s="17" t="s">
        <v>19</v>
      </c>
      <c r="S24" s="17" t="s">
        <v>19</v>
      </c>
      <c r="T24" s="19" t="e">
        <f>(COUNTIF(T25:T31,"Sí")*1 + COUNTIF(T25:T31, "Parcialmente")*0.5) / ((COUNTA(T25:T31) - (COUNTIF(T25:T31, "N/A") + COUNTIF(T25:T31, "N/E"))))</f>
        <v>#DIV/0!</v>
      </c>
      <c r="U24" s="17" t="str">
        <f ca="1">IFERROR(__xludf.DUMMYFUNCTION("CONCATENATE(""Cantidad de notas: "", COUNTIF(FLATTEN(SPLIT(TEXTJOIN(CHAR(10), TRUE, U25:U26), CHAR(10))), ""*-?*""))"),"Cantidad de notas: 0")</f>
        <v>Cantidad de notas: 0</v>
      </c>
    </row>
    <row r="25" spans="1:21" ht="409.5" outlineLevel="1" x14ac:dyDescent="0.2">
      <c r="A25" s="20" t="s">
        <v>114</v>
      </c>
      <c r="B25" s="31" t="s">
        <v>115</v>
      </c>
      <c r="C25" s="31" t="s">
        <v>116</v>
      </c>
      <c r="D25" s="31" t="s">
        <v>117</v>
      </c>
      <c r="E25" s="31" t="s">
        <v>118</v>
      </c>
      <c r="F25" s="22"/>
      <c r="G25" s="23">
        <v>0</v>
      </c>
      <c r="H25" s="24"/>
      <c r="I25" s="24"/>
      <c r="J25" s="25"/>
      <c r="K25" s="26"/>
      <c r="L25" s="27" t="e">
        <f t="shared" ref="L25:L31" ca="1" si="15">_xludf.IFS(K25 = "Alta", 3, K25 = "Media", 2, K25 = "Baja", 1)</f>
        <v>#NAME?</v>
      </c>
      <c r="M25" s="26"/>
      <c r="N25" s="27" t="e">
        <f t="shared" ref="N25:N31" ca="1" si="16">_xludf.IFS(M25 = "Alta", 3, M25 = "Media", 2, M25 = "Baja", 1)</f>
        <v>#NAME?</v>
      </c>
      <c r="O25" s="26"/>
      <c r="P25" s="27" t="e">
        <f t="shared" ref="P25:P31" ca="1" si="17">_xludf.IFS(O25 = "Alta", 3, O25 = "Media", 2, O25 = "Baja", 1)</f>
        <v>#NAME?</v>
      </c>
      <c r="Q25" s="28" t="e">
        <f t="shared" ref="Q25:Q31" ca="1" si="18">_xludf.IFS(R25 &lt; 2, "Baja", AND(R25 &gt;= 2, R25 &lt;= 2.49), "Media", AND(R25 &gt;= 2.5), "Alta")</f>
        <v>#NAME?</v>
      </c>
      <c r="R25" s="29" t="e">
        <f t="shared" ref="R25:R31" ca="1" si="19">(G25 *0.25)+(L25*0.3)+(N25*0.3)+(P25*0.15)</f>
        <v>#NAME?</v>
      </c>
      <c r="S25" s="30"/>
      <c r="T25" s="30"/>
      <c r="U25" s="22" t="s">
        <v>25</v>
      </c>
    </row>
    <row r="26" spans="1:21" ht="409.5" outlineLevel="1" x14ac:dyDescent="0.2">
      <c r="A26" s="20" t="s">
        <v>119</v>
      </c>
      <c r="B26" s="31" t="s">
        <v>120</v>
      </c>
      <c r="C26" s="31" t="s">
        <v>121</v>
      </c>
      <c r="D26" s="31" t="s">
        <v>122</v>
      </c>
      <c r="E26" s="31" t="s">
        <v>123</v>
      </c>
      <c r="F26" s="22"/>
      <c r="G26" s="23">
        <v>0</v>
      </c>
      <c r="H26" s="24"/>
      <c r="I26" s="24"/>
      <c r="J26" s="25"/>
      <c r="K26" s="26"/>
      <c r="L26" s="27" t="e">
        <f t="shared" ca="1" si="15"/>
        <v>#NAME?</v>
      </c>
      <c r="M26" s="26"/>
      <c r="N26" s="27" t="e">
        <f t="shared" ca="1" si="16"/>
        <v>#NAME?</v>
      </c>
      <c r="O26" s="26"/>
      <c r="P26" s="27" t="e">
        <f t="shared" ca="1" si="17"/>
        <v>#NAME?</v>
      </c>
      <c r="Q26" s="28" t="e">
        <f t="shared" ca="1" si="18"/>
        <v>#NAME?</v>
      </c>
      <c r="R26" s="29" t="e">
        <f t="shared" ca="1" si="19"/>
        <v>#NAME?</v>
      </c>
      <c r="S26" s="30"/>
      <c r="T26" s="30"/>
      <c r="U26" s="22" t="s">
        <v>25</v>
      </c>
    </row>
    <row r="27" spans="1:21" ht="409.5" outlineLevel="1" x14ac:dyDescent="0.2">
      <c r="A27" s="20" t="s">
        <v>124</v>
      </c>
      <c r="B27" s="31" t="s">
        <v>125</v>
      </c>
      <c r="C27" s="31" t="s">
        <v>126</v>
      </c>
      <c r="D27" s="31" t="s">
        <v>127</v>
      </c>
      <c r="E27" s="31" t="s">
        <v>128</v>
      </c>
      <c r="F27" s="22"/>
      <c r="G27" s="23">
        <v>0</v>
      </c>
      <c r="H27" s="24"/>
      <c r="I27" s="24"/>
      <c r="J27" s="25"/>
      <c r="K27" s="26"/>
      <c r="L27" s="27" t="e">
        <f t="shared" ca="1" si="15"/>
        <v>#NAME?</v>
      </c>
      <c r="M27" s="26"/>
      <c r="N27" s="27" t="e">
        <f t="shared" ca="1" si="16"/>
        <v>#NAME?</v>
      </c>
      <c r="O27" s="26"/>
      <c r="P27" s="27" t="e">
        <f t="shared" ca="1" si="17"/>
        <v>#NAME?</v>
      </c>
      <c r="Q27" s="28" t="e">
        <f t="shared" ca="1" si="18"/>
        <v>#NAME?</v>
      </c>
      <c r="R27" s="29" t="e">
        <f t="shared" ca="1" si="19"/>
        <v>#NAME?</v>
      </c>
      <c r="S27" s="30"/>
      <c r="T27" s="30"/>
      <c r="U27" s="22" t="s">
        <v>25</v>
      </c>
    </row>
    <row r="28" spans="1:21" ht="409.5" outlineLevel="1" x14ac:dyDescent="0.2">
      <c r="A28" s="20" t="s">
        <v>129</v>
      </c>
      <c r="B28" s="31" t="s">
        <v>130</v>
      </c>
      <c r="C28" s="31" t="s">
        <v>131</v>
      </c>
      <c r="D28" s="31" t="s">
        <v>132</v>
      </c>
      <c r="E28" s="31" t="s">
        <v>133</v>
      </c>
      <c r="F28" s="22"/>
      <c r="G28" s="23">
        <v>0</v>
      </c>
      <c r="H28" s="24"/>
      <c r="I28" s="24"/>
      <c r="J28" s="25"/>
      <c r="K28" s="26"/>
      <c r="L28" s="27" t="e">
        <f t="shared" ca="1" si="15"/>
        <v>#NAME?</v>
      </c>
      <c r="M28" s="26"/>
      <c r="N28" s="27" t="e">
        <f t="shared" ca="1" si="16"/>
        <v>#NAME?</v>
      </c>
      <c r="O28" s="26"/>
      <c r="P28" s="27" t="e">
        <f t="shared" ca="1" si="17"/>
        <v>#NAME?</v>
      </c>
      <c r="Q28" s="28" t="e">
        <f t="shared" ca="1" si="18"/>
        <v>#NAME?</v>
      </c>
      <c r="R28" s="29" t="e">
        <f t="shared" ca="1" si="19"/>
        <v>#NAME?</v>
      </c>
      <c r="S28" s="30"/>
      <c r="T28" s="30"/>
      <c r="U28" s="22" t="s">
        <v>25</v>
      </c>
    </row>
    <row r="29" spans="1:21" ht="409.5" outlineLevel="1" x14ac:dyDescent="0.2">
      <c r="A29" s="20" t="s">
        <v>134</v>
      </c>
      <c r="B29" s="31" t="s">
        <v>135</v>
      </c>
      <c r="C29" s="31" t="s">
        <v>136</v>
      </c>
      <c r="D29" s="31" t="s">
        <v>137</v>
      </c>
      <c r="E29" s="31" t="s">
        <v>138</v>
      </c>
      <c r="F29" s="22"/>
      <c r="G29" s="23">
        <v>0</v>
      </c>
      <c r="H29" s="24"/>
      <c r="I29" s="24"/>
      <c r="J29" s="25"/>
      <c r="K29" s="26"/>
      <c r="L29" s="27" t="e">
        <f t="shared" ca="1" si="15"/>
        <v>#NAME?</v>
      </c>
      <c r="M29" s="26"/>
      <c r="N29" s="27" t="e">
        <f t="shared" ca="1" si="16"/>
        <v>#NAME?</v>
      </c>
      <c r="O29" s="26"/>
      <c r="P29" s="27" t="e">
        <f t="shared" ca="1" si="17"/>
        <v>#NAME?</v>
      </c>
      <c r="Q29" s="28" t="e">
        <f t="shared" ca="1" si="18"/>
        <v>#NAME?</v>
      </c>
      <c r="R29" s="29" t="e">
        <f t="shared" ca="1" si="19"/>
        <v>#NAME?</v>
      </c>
      <c r="S29" s="30"/>
      <c r="T29" s="30"/>
      <c r="U29" s="22" t="s">
        <v>25</v>
      </c>
    </row>
    <row r="30" spans="1:21" ht="409.5" outlineLevel="1" x14ac:dyDescent="0.2">
      <c r="A30" s="20" t="s">
        <v>139</v>
      </c>
      <c r="B30" s="31" t="s">
        <v>140</v>
      </c>
      <c r="C30" s="31" t="s">
        <v>141</v>
      </c>
      <c r="D30" s="31" t="s">
        <v>142</v>
      </c>
      <c r="E30" s="31" t="s">
        <v>143</v>
      </c>
      <c r="F30" s="22"/>
      <c r="G30" s="23">
        <v>0</v>
      </c>
      <c r="H30" s="24"/>
      <c r="I30" s="24"/>
      <c r="J30" s="25"/>
      <c r="K30" s="26"/>
      <c r="L30" s="27" t="e">
        <f t="shared" ca="1" si="15"/>
        <v>#NAME?</v>
      </c>
      <c r="M30" s="26"/>
      <c r="N30" s="27" t="e">
        <f t="shared" ca="1" si="16"/>
        <v>#NAME?</v>
      </c>
      <c r="O30" s="26"/>
      <c r="P30" s="27" t="e">
        <f t="shared" ca="1" si="17"/>
        <v>#NAME?</v>
      </c>
      <c r="Q30" s="28" t="e">
        <f t="shared" ca="1" si="18"/>
        <v>#NAME?</v>
      </c>
      <c r="R30" s="29" t="e">
        <f t="shared" ca="1" si="19"/>
        <v>#NAME?</v>
      </c>
      <c r="S30" s="30"/>
      <c r="T30" s="30"/>
      <c r="U30" s="22" t="s">
        <v>25</v>
      </c>
    </row>
    <row r="31" spans="1:21" ht="409.5" outlineLevel="1" x14ac:dyDescent="0.2">
      <c r="A31" s="20" t="s">
        <v>144</v>
      </c>
      <c r="B31" s="31" t="s">
        <v>145</v>
      </c>
      <c r="C31" s="31" t="s">
        <v>146</v>
      </c>
      <c r="D31" s="31" t="s">
        <v>147</v>
      </c>
      <c r="E31" s="31" t="s">
        <v>148</v>
      </c>
      <c r="F31" s="22"/>
      <c r="G31" s="23">
        <v>0</v>
      </c>
      <c r="H31" s="24"/>
      <c r="I31" s="24"/>
      <c r="J31" s="25"/>
      <c r="K31" s="26"/>
      <c r="L31" s="27" t="e">
        <f t="shared" ca="1" si="15"/>
        <v>#NAME?</v>
      </c>
      <c r="M31" s="26"/>
      <c r="N31" s="27" t="e">
        <f t="shared" ca="1" si="16"/>
        <v>#NAME?</v>
      </c>
      <c r="O31" s="26"/>
      <c r="P31" s="27" t="e">
        <f t="shared" ca="1" si="17"/>
        <v>#NAME?</v>
      </c>
      <c r="Q31" s="28" t="e">
        <f t="shared" ca="1" si="18"/>
        <v>#NAME?</v>
      </c>
      <c r="R31" s="29" t="e">
        <f t="shared" ca="1" si="19"/>
        <v>#NAME?</v>
      </c>
      <c r="S31" s="30"/>
      <c r="T31" s="30"/>
      <c r="U31" s="22" t="s">
        <v>25</v>
      </c>
    </row>
    <row r="32" spans="1:21" ht="108" x14ac:dyDescent="0.2">
      <c r="A32" s="15" t="s">
        <v>149</v>
      </c>
      <c r="B32" s="16" t="str">
        <f>CONCATENATE("Proceso y cultura: ",COUNTIF(B33:B39,"&lt;&gt;0"))</f>
        <v>Proceso y cultura: 7</v>
      </c>
      <c r="C32" s="16"/>
      <c r="D32" s="16"/>
      <c r="E32" s="16"/>
      <c r="F32" s="17"/>
      <c r="G32" s="17">
        <f>SUM(G33:G39)</f>
        <v>0</v>
      </c>
      <c r="H32" s="18">
        <f>MIN(H33:H39)</f>
        <v>0</v>
      </c>
      <c r="I32" s="18">
        <f>MAX(I33:I39)</f>
        <v>0</v>
      </c>
      <c r="J32" s="17" t="s">
        <v>19</v>
      </c>
      <c r="K32" s="17"/>
      <c r="L32" s="17"/>
      <c r="M32" s="17"/>
      <c r="N32" s="17"/>
      <c r="O32" s="17"/>
      <c r="P32" s="17"/>
      <c r="Q32" s="17"/>
      <c r="R32" s="17"/>
      <c r="S32" s="17" t="str">
        <f>CONCATENATE("GFourmis: ", COUNTIF(S33:S39, "GFourmis"), CHAR(10), "Cliente: ", COUNTIF(S33:S39, "Cliente"), CHAR(10), "Tercero: ", COUNTIF(S33:S39, "Tercero"))</f>
        <v>GFourmis: 0
Cliente: 0
Tercero: 0</v>
      </c>
      <c r="T32" s="19" t="e">
        <f>(COUNTIF(T33:T39,"Sí")*1 + COUNTIF(T33:T39, "Parcialmente")*0.5) / ((COUNTA(T33:T39) - (COUNTIF(T33:T39, "N/A") + COUNTIF(T33:T39, "N/E"))))</f>
        <v>#DIV/0!</v>
      </c>
      <c r="U32" s="17" t="str">
        <f ca="1">IFERROR(__xludf.DUMMYFUNCTION("CONCATENATE(""Cantidad de notas: "", COUNTIF(FLATTEN(SPLIT(TEXTJOIN(CHAR(10), TRUE, U33:U34), CHAR(10))), ""*-?*""))"),"Cantidad de notas: 0")</f>
        <v>Cantidad de notas: 0</v>
      </c>
    </row>
    <row r="33" spans="1:21" ht="409.5" outlineLevel="1" x14ac:dyDescent="0.2">
      <c r="A33" s="20" t="s">
        <v>150</v>
      </c>
      <c r="B33" s="31" t="s">
        <v>151</v>
      </c>
      <c r="C33" s="31" t="s">
        <v>152</v>
      </c>
      <c r="D33" s="31" t="s">
        <v>153</v>
      </c>
      <c r="E33" s="31" t="s">
        <v>154</v>
      </c>
      <c r="F33" s="22"/>
      <c r="G33" s="23">
        <v>0</v>
      </c>
      <c r="H33" s="24"/>
      <c r="I33" s="24"/>
      <c r="J33" s="25"/>
      <c r="K33" s="26"/>
      <c r="L33" s="27" t="e">
        <f t="shared" ref="L33:L39" ca="1" si="20">_xludf.IFS(K33 = "Alta", 3, K33 = "Media", 2, K33 = "Baja", 1)</f>
        <v>#NAME?</v>
      </c>
      <c r="M33" s="26"/>
      <c r="N33" s="27" t="e">
        <f t="shared" ref="N33:N39" ca="1" si="21">_xludf.IFS(M33 = "Alta", 3, M33 = "Media", 2, M33 = "Baja", 1)</f>
        <v>#NAME?</v>
      </c>
      <c r="O33" s="26"/>
      <c r="P33" s="27" t="e">
        <f t="shared" ref="P33:P39" ca="1" si="22">_xludf.IFS(O33 = "Alta", 3, O33 = "Media", 2, O33 = "Baja", 1)</f>
        <v>#NAME?</v>
      </c>
      <c r="Q33" s="28" t="e">
        <f t="shared" ref="Q33:Q39" ca="1" si="23">_xludf.IFS(R33 &lt; 2, "Baja", AND(R33 &gt;= 2, R33 &lt;= 2.49), "Media", AND(R33 &gt;= 2.5), "Alta")</f>
        <v>#NAME?</v>
      </c>
      <c r="R33" s="29" t="e">
        <f t="shared" ref="R33:R39" ca="1" si="24">(G33 *0.25)+(L33*0.3)+(N33*0.3)+(P33*0.15)</f>
        <v>#NAME?</v>
      </c>
      <c r="S33" s="30"/>
      <c r="T33" s="30"/>
      <c r="U33" s="22" t="s">
        <v>25</v>
      </c>
    </row>
    <row r="34" spans="1:21" ht="409.5" outlineLevel="1" x14ac:dyDescent="0.2">
      <c r="A34" s="20" t="s">
        <v>155</v>
      </c>
      <c r="B34" s="31" t="s">
        <v>156</v>
      </c>
      <c r="C34" s="31" t="s">
        <v>157</v>
      </c>
      <c r="D34" s="31" t="s">
        <v>158</v>
      </c>
      <c r="E34" s="31" t="s">
        <v>159</v>
      </c>
      <c r="F34" s="22"/>
      <c r="G34" s="23">
        <v>0</v>
      </c>
      <c r="H34" s="24"/>
      <c r="I34" s="24"/>
      <c r="J34" s="25"/>
      <c r="K34" s="26"/>
      <c r="L34" s="27" t="e">
        <f t="shared" ca="1" si="20"/>
        <v>#NAME?</v>
      </c>
      <c r="M34" s="26"/>
      <c r="N34" s="27" t="e">
        <f t="shared" ca="1" si="21"/>
        <v>#NAME?</v>
      </c>
      <c r="O34" s="26"/>
      <c r="P34" s="27" t="e">
        <f t="shared" ca="1" si="22"/>
        <v>#NAME?</v>
      </c>
      <c r="Q34" s="28" t="e">
        <f t="shared" ca="1" si="23"/>
        <v>#NAME?</v>
      </c>
      <c r="R34" s="29" t="e">
        <f t="shared" ca="1" si="24"/>
        <v>#NAME?</v>
      </c>
      <c r="S34" s="30"/>
      <c r="T34" s="30"/>
      <c r="U34" s="22" t="s">
        <v>25</v>
      </c>
    </row>
    <row r="35" spans="1:21" ht="409.5" outlineLevel="1" x14ac:dyDescent="0.2">
      <c r="A35" s="20" t="s">
        <v>160</v>
      </c>
      <c r="B35" s="31" t="s">
        <v>161</v>
      </c>
      <c r="C35" s="31" t="s">
        <v>162</v>
      </c>
      <c r="D35" s="31" t="s">
        <v>163</v>
      </c>
      <c r="E35" s="31" t="s">
        <v>164</v>
      </c>
      <c r="F35" s="22"/>
      <c r="G35" s="23">
        <v>0</v>
      </c>
      <c r="H35" s="24"/>
      <c r="I35" s="24"/>
      <c r="J35" s="25"/>
      <c r="K35" s="26"/>
      <c r="L35" s="27" t="e">
        <f t="shared" ca="1" si="20"/>
        <v>#NAME?</v>
      </c>
      <c r="M35" s="26"/>
      <c r="N35" s="27" t="e">
        <f t="shared" ca="1" si="21"/>
        <v>#NAME?</v>
      </c>
      <c r="O35" s="26"/>
      <c r="P35" s="27" t="e">
        <f t="shared" ca="1" si="22"/>
        <v>#NAME?</v>
      </c>
      <c r="Q35" s="28" t="e">
        <f t="shared" ca="1" si="23"/>
        <v>#NAME?</v>
      </c>
      <c r="R35" s="29" t="e">
        <f t="shared" ca="1" si="24"/>
        <v>#NAME?</v>
      </c>
      <c r="S35" s="30"/>
      <c r="T35" s="30"/>
      <c r="U35" s="22" t="s">
        <v>25</v>
      </c>
    </row>
    <row r="36" spans="1:21" ht="409.5" outlineLevel="1" x14ac:dyDescent="0.2">
      <c r="A36" s="20" t="s">
        <v>165</v>
      </c>
      <c r="B36" s="31" t="s">
        <v>166</v>
      </c>
      <c r="C36" s="31" t="s">
        <v>167</v>
      </c>
      <c r="D36" s="31" t="s">
        <v>168</v>
      </c>
      <c r="E36" s="31" t="s">
        <v>169</v>
      </c>
      <c r="F36" s="22"/>
      <c r="G36" s="23">
        <v>0</v>
      </c>
      <c r="H36" s="24"/>
      <c r="I36" s="24"/>
      <c r="J36" s="25"/>
      <c r="K36" s="26"/>
      <c r="L36" s="27" t="e">
        <f t="shared" ca="1" si="20"/>
        <v>#NAME?</v>
      </c>
      <c r="M36" s="26"/>
      <c r="N36" s="27" t="e">
        <f t="shared" ca="1" si="21"/>
        <v>#NAME?</v>
      </c>
      <c r="O36" s="26"/>
      <c r="P36" s="27" t="e">
        <f t="shared" ca="1" si="22"/>
        <v>#NAME?</v>
      </c>
      <c r="Q36" s="28" t="e">
        <f t="shared" ca="1" si="23"/>
        <v>#NAME?</v>
      </c>
      <c r="R36" s="29" t="e">
        <f t="shared" ca="1" si="24"/>
        <v>#NAME?</v>
      </c>
      <c r="S36" s="30"/>
      <c r="T36" s="30"/>
      <c r="U36" s="22" t="s">
        <v>25</v>
      </c>
    </row>
    <row r="37" spans="1:21" ht="409.5" outlineLevel="1" x14ac:dyDescent="0.2">
      <c r="A37" s="20" t="s">
        <v>170</v>
      </c>
      <c r="B37" s="31" t="s">
        <v>171</v>
      </c>
      <c r="C37" s="31" t="s">
        <v>172</v>
      </c>
      <c r="D37" s="31" t="s">
        <v>173</v>
      </c>
      <c r="E37" s="31" t="s">
        <v>174</v>
      </c>
      <c r="F37" s="22"/>
      <c r="G37" s="23">
        <v>0</v>
      </c>
      <c r="H37" s="24"/>
      <c r="I37" s="24"/>
      <c r="J37" s="25"/>
      <c r="K37" s="26"/>
      <c r="L37" s="27" t="e">
        <f t="shared" ca="1" si="20"/>
        <v>#NAME?</v>
      </c>
      <c r="M37" s="26"/>
      <c r="N37" s="27" t="e">
        <f t="shared" ca="1" si="21"/>
        <v>#NAME?</v>
      </c>
      <c r="O37" s="26"/>
      <c r="P37" s="27" t="e">
        <f t="shared" ca="1" si="22"/>
        <v>#NAME?</v>
      </c>
      <c r="Q37" s="28" t="e">
        <f t="shared" ca="1" si="23"/>
        <v>#NAME?</v>
      </c>
      <c r="R37" s="29" t="e">
        <f t="shared" ca="1" si="24"/>
        <v>#NAME?</v>
      </c>
      <c r="S37" s="30"/>
      <c r="T37" s="30"/>
      <c r="U37" s="22" t="s">
        <v>25</v>
      </c>
    </row>
    <row r="38" spans="1:21" ht="409.5" outlineLevel="1" x14ac:dyDescent="0.2">
      <c r="A38" s="20" t="s">
        <v>175</v>
      </c>
      <c r="B38" s="31" t="s">
        <v>176</v>
      </c>
      <c r="C38" s="31" t="s">
        <v>177</v>
      </c>
      <c r="D38" s="31" t="s">
        <v>178</v>
      </c>
      <c r="E38" s="31" t="s">
        <v>179</v>
      </c>
      <c r="F38" s="22"/>
      <c r="G38" s="23">
        <v>0</v>
      </c>
      <c r="H38" s="24"/>
      <c r="I38" s="24"/>
      <c r="J38" s="25"/>
      <c r="K38" s="26"/>
      <c r="L38" s="27" t="e">
        <f t="shared" ca="1" si="20"/>
        <v>#NAME?</v>
      </c>
      <c r="M38" s="26"/>
      <c r="N38" s="27" t="e">
        <f t="shared" ca="1" si="21"/>
        <v>#NAME?</v>
      </c>
      <c r="O38" s="26"/>
      <c r="P38" s="27" t="e">
        <f t="shared" ca="1" si="22"/>
        <v>#NAME?</v>
      </c>
      <c r="Q38" s="28" t="e">
        <f t="shared" ca="1" si="23"/>
        <v>#NAME?</v>
      </c>
      <c r="R38" s="29" t="e">
        <f t="shared" ca="1" si="24"/>
        <v>#NAME?</v>
      </c>
      <c r="S38" s="30"/>
      <c r="T38" s="30"/>
      <c r="U38" s="22" t="s">
        <v>25</v>
      </c>
    </row>
    <row r="39" spans="1:21" ht="409.5" outlineLevel="1" x14ac:dyDescent="0.2">
      <c r="A39" s="20" t="s">
        <v>180</v>
      </c>
      <c r="B39" s="31" t="s">
        <v>181</v>
      </c>
      <c r="C39" s="31" t="s">
        <v>182</v>
      </c>
      <c r="D39" s="31" t="s">
        <v>183</v>
      </c>
      <c r="E39" s="31" t="s">
        <v>184</v>
      </c>
      <c r="F39" s="22"/>
      <c r="G39" s="23">
        <v>0</v>
      </c>
      <c r="H39" s="24"/>
      <c r="I39" s="24"/>
      <c r="J39" s="25"/>
      <c r="K39" s="26"/>
      <c r="L39" s="27" t="e">
        <f t="shared" ca="1" si="20"/>
        <v>#NAME?</v>
      </c>
      <c r="M39" s="26"/>
      <c r="N39" s="27" t="e">
        <f t="shared" ca="1" si="21"/>
        <v>#NAME?</v>
      </c>
      <c r="O39" s="26"/>
      <c r="P39" s="27" t="e">
        <f t="shared" ca="1" si="22"/>
        <v>#NAME?</v>
      </c>
      <c r="Q39" s="28" t="e">
        <f t="shared" ca="1" si="23"/>
        <v>#NAME?</v>
      </c>
      <c r="R39" s="29" t="e">
        <f t="shared" ca="1" si="24"/>
        <v>#NAME?</v>
      </c>
      <c r="S39" s="30"/>
      <c r="T39" s="30"/>
      <c r="U39" s="22" t="s">
        <v>25</v>
      </c>
    </row>
    <row r="40" spans="1:21" ht="24" x14ac:dyDescent="0.2">
      <c r="A40" s="32" t="s">
        <v>185</v>
      </c>
      <c r="B40" s="17" t="str">
        <f>CONCATENATE("Total prácticas: ",COUNTIF(B4:B10,"&lt;&gt;0") + COUNTIF(B12:B17,"&lt;&gt;0") + COUNTIF(B19:B23,"&lt;&gt;0") + COUNTIF(B25:B31,"&lt;&gt;0") + COUNTIF(B33:B39,"&lt;&gt;0"))</f>
        <v>Total prácticas: 32</v>
      </c>
      <c r="C40" s="17"/>
      <c r="D40" s="17"/>
      <c r="E40" s="17"/>
      <c r="F40" s="17">
        <f>COUNTIF(F4:F10,"&lt;&gt;0") + COUNTIF(F12:F17,"&lt;&gt;0") + COUNTIF(F19:F23,"&lt;&gt;0") + COUNTIF(F25:F31,"&lt;&gt;0") + COUNTIF(F33:F39,"&lt;&gt;0")</f>
        <v>32</v>
      </c>
      <c r="G40" s="17">
        <f>SUM(G32,G24,G18,G11,G3)</f>
        <v>0</v>
      </c>
      <c r="H40" s="33">
        <f>MIN(H4:H39)</f>
        <v>0</v>
      </c>
      <c r="I40" s="33">
        <f>MAX(I4:I39)</f>
        <v>0</v>
      </c>
      <c r="J40" s="17" t="s">
        <v>19</v>
      </c>
      <c r="K40" s="17" t="s">
        <v>19</v>
      </c>
      <c r="L40" s="17" t="s">
        <v>19</v>
      </c>
      <c r="M40" s="17" t="s">
        <v>19</v>
      </c>
      <c r="N40" s="17" t="s">
        <v>19</v>
      </c>
      <c r="O40" s="17" t="s">
        <v>19</v>
      </c>
      <c r="P40" s="17" t="s">
        <v>19</v>
      </c>
      <c r="Q40" s="17" t="s">
        <v>19</v>
      </c>
      <c r="R40" s="17" t="s">
        <v>19</v>
      </c>
      <c r="S40" s="17" t="s">
        <v>19</v>
      </c>
      <c r="T40" s="19" t="e">
        <f>SUM(T32,T24,T18,T11,T3)/5</f>
        <v>#DIV/0!</v>
      </c>
      <c r="U40" s="17" t="str">
        <f ca="1">IFERROR(__xludf.DUMMYFUNCTION("CONCATENATE(""Cantidad de notas: "",
    COUNTIF(
      FLATTEN(
        SPLIT(
          TEXTJOIN(
            CHAR(10),
            TRUE,U4:U39
          ),
          CHAR(10)
        )
      ),
      ""*-?*""
    )
)"),"Cantidad de notas: 0")</f>
        <v>Cantidad de notas: 0</v>
      </c>
    </row>
  </sheetData>
  <mergeCells count="15">
    <mergeCell ref="S1:S2"/>
    <mergeCell ref="T1:T2"/>
    <mergeCell ref="U1:U2"/>
    <mergeCell ref="H1:I1"/>
    <mergeCell ref="J1:J2"/>
    <mergeCell ref="K1:K2"/>
    <mergeCell ref="M1:M2"/>
    <mergeCell ref="O1:O2"/>
    <mergeCell ref="Q1:Q2"/>
    <mergeCell ref="B1:B2"/>
    <mergeCell ref="C1:C2"/>
    <mergeCell ref="D1:D2"/>
    <mergeCell ref="E1:E2"/>
    <mergeCell ref="F1:F2"/>
    <mergeCell ref="G1:G2"/>
  </mergeCells>
  <dataValidations count="4">
    <dataValidation type="list" allowBlank="1" showErrorMessage="1" sqref="S4:S10 S12:S17 S19:S23 S25:S31 S33:S39" xr:uid="{B405B076-DA9C-45BA-92CC-E4BFD3E690E3}">
      <formula1>"GFourmis,Cliente,Tercero"</formula1>
    </dataValidation>
    <dataValidation type="list" allowBlank="1" showErrorMessage="1" sqref="T4:T10 T12:T17 T19:T23 T25:T31 T33:T39" xr:uid="{9BEEA19C-D6C4-4391-9B83-9688DD9CF60A}">
      <formula1>"Sí,No,Parcialmente,N/A,N/E"</formula1>
    </dataValidation>
    <dataValidation type="list" allowBlank="1" showErrorMessage="1" sqref="J4:J10 J12:J17 J19:J23 J25:J31 J33:J39" xr:uid="{BE1FBAE5-7621-414C-86F3-9BBF054B35AB}">
      <formula1>"Pendiente,Revisión,Ejecución,Completada,Planeado,No aplica,No es viable en esta iteración"</formula1>
    </dataValidation>
    <dataValidation type="list" allowBlank="1" showErrorMessage="1" sqref="K4:K10 M4:M10 O4:O10 K12:K17 M12:M17 O12:O17 K19:K23 M19:M23 O19:O23 K25:K31 M25:M31 O25:O31 K33:K39 M33:M39 O33:O39" xr:uid="{679EFBF9-036B-4323-8A0C-B211F294F695}">
      <formula1>"Alta,Media,Baja"</formula1>
    </dataValidation>
  </dataValidations>
  <hyperlinks>
    <hyperlink ref="A3" r:id="rId1" xr:uid="{9816E263-1EDF-4601-B515-6D10A5ECF60D}"/>
    <hyperlink ref="A4" r:id="rId2" xr:uid="{FE839DBA-B2DE-481F-BACD-F53B550AF5E2}"/>
    <hyperlink ref="A5" r:id="rId3" xr:uid="{50D44E80-0541-47A0-A48F-42DE6E760749}"/>
    <hyperlink ref="A6" r:id="rId4" xr:uid="{078B985D-742E-4799-A6FC-D9B7495D3FCF}"/>
    <hyperlink ref="A7" r:id="rId5" xr:uid="{E73CF205-0B12-4C09-9BE1-8C32C78CDD22}"/>
    <hyperlink ref="A8" r:id="rId6" xr:uid="{68F644B8-1C01-49A3-B693-3FA1CC83EB99}"/>
    <hyperlink ref="A9" r:id="rId7" xr:uid="{FCBEE6B3-08F4-40BC-8160-6674BDE3F758}"/>
    <hyperlink ref="A10" r:id="rId8" xr:uid="{F7CCAE72-79E3-4A37-9B69-6C6A2A997FB9}"/>
    <hyperlink ref="A11" r:id="rId9" xr:uid="{B3032468-300C-422C-8791-99F2D9AF8311}"/>
    <hyperlink ref="A12" r:id="rId10" xr:uid="{C4984A8B-2F71-446F-91B8-AC2F832DDB07}"/>
    <hyperlink ref="A13" r:id="rId11" xr:uid="{3757C395-AB16-449D-AC75-63205F87F958}"/>
    <hyperlink ref="A14" r:id="rId12" xr:uid="{C323E4B3-4960-4C94-89D8-EC4F23B51E64}"/>
    <hyperlink ref="A15" r:id="rId13" xr:uid="{6EF19904-1697-43A5-8CBA-673B0CAD2199}"/>
    <hyperlink ref="A16" r:id="rId14" xr:uid="{5ABC689A-47C5-4425-BCF8-2F4CFCE415B3}"/>
    <hyperlink ref="A17" r:id="rId15" xr:uid="{74C0CA07-CF72-404B-A7B7-9BAE321CC6F2}"/>
    <hyperlink ref="A18" r:id="rId16" xr:uid="{8051E905-CBC2-4245-9D3E-7AB22E73E23E}"/>
    <hyperlink ref="A19" r:id="rId17" xr:uid="{C54662C2-CF76-4F5D-B287-5A8402B7A710}"/>
    <hyperlink ref="A20" r:id="rId18" xr:uid="{48720D3C-B039-43D6-92D2-4B2C770122CB}"/>
    <hyperlink ref="A21" r:id="rId19" xr:uid="{549C6E1C-83CF-445A-82F6-91035DE513A9}"/>
    <hyperlink ref="A22" r:id="rId20" xr:uid="{86891D93-D09E-4C6F-AF15-D48753CB41ED}"/>
    <hyperlink ref="A23" r:id="rId21" xr:uid="{F9702AA8-D48B-437F-9B27-E1366464CF91}"/>
    <hyperlink ref="A24" r:id="rId22" xr:uid="{4C315966-1036-472F-A408-E344BBF46FD4}"/>
    <hyperlink ref="A25" r:id="rId23" xr:uid="{A49681B6-3975-4DE4-90B1-27F6D1F9798E}"/>
    <hyperlink ref="A26" r:id="rId24" xr:uid="{78F078F0-1D17-4172-BADB-C69C1154A642}"/>
    <hyperlink ref="A27" r:id="rId25" xr:uid="{1C9660CF-276B-4A4B-87F5-D753DFF30F15}"/>
    <hyperlink ref="A28" r:id="rId26" xr:uid="{0191260B-0C75-40D0-93FF-790676EEA231}"/>
    <hyperlink ref="A29" r:id="rId27" xr:uid="{B25163E1-C2FE-4AB1-A180-F93AE6EA3673}"/>
    <hyperlink ref="A30" r:id="rId28" xr:uid="{AA7B520E-A17F-4B67-B511-D5105924441F}"/>
    <hyperlink ref="A31" r:id="rId29" xr:uid="{EBFA0FF6-FCC3-4955-A9F3-18F2A83FE65E}"/>
    <hyperlink ref="A32" r:id="rId30" xr:uid="{4B1D7151-6FF6-499B-952B-A69FADC0EED7}"/>
    <hyperlink ref="A33" r:id="rId31" xr:uid="{4D39B7E8-DDE7-4432-BE89-5AD50736F79A}"/>
    <hyperlink ref="A34" r:id="rId32" xr:uid="{E944160F-F8A2-4C0E-BA5A-AFAD8E4A7B0F}"/>
    <hyperlink ref="A35" r:id="rId33" xr:uid="{C6643C82-4506-4936-8F10-197DE81D5A68}"/>
    <hyperlink ref="A36" r:id="rId34" xr:uid="{9C7FB224-378F-42DE-808F-B9C11071B889}"/>
    <hyperlink ref="A37" r:id="rId35" xr:uid="{10467BBE-DDFB-44C8-A56B-770FFA37D1E8}"/>
    <hyperlink ref="A38" r:id="rId36" xr:uid="{E5936E16-03F3-4AA9-A48D-B8E27C92CCDE}"/>
    <hyperlink ref="A39" r:id="rId37" xr:uid="{A72C044D-9CD1-426E-9B9F-B2D2CCB7575B}"/>
  </hyperlinks>
  <printOptions horizontalCentered="1" gridLines="1"/>
  <pageMargins left="0.7" right="0.7" top="0.75" bottom="0.75" header="0" footer="0"/>
  <pageSetup paperSize="9" fitToHeight="0" pageOrder="overThenDown" orientation="landscape" cellComments="atEnd"/>
  <legacyDrawing r:id="rId3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Eficiencia del rendimiento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FGT FONGRANTIERRA</dc:creator>
  <cp:lastModifiedBy>FGT FONGRANTIERRA</cp:lastModifiedBy>
  <dcterms:created xsi:type="dcterms:W3CDTF">2026-04-16T14:18:57Z</dcterms:created>
  <dcterms:modified xsi:type="dcterms:W3CDTF">2026-04-16T14:19:22Z</dcterms:modified>
</cp:coreProperties>
</file>