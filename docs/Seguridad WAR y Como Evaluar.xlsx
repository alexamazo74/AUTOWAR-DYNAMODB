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AAM\GFourmis\ProjAutWAF\"/>
    </mc:Choice>
  </mc:AlternateContent>
  <xr:revisionPtr revIDLastSave="0" documentId="8_{D6DF07EE-4C7D-48EA-8BEB-79FCFC083D95}" xr6:coauthVersionLast="47" xr6:coauthVersionMax="47" xr10:uidLastSave="{00000000-0000-0000-0000-000000000000}"/>
  <bookViews>
    <workbookView xWindow="-120" yWindow="-120" windowWidth="38640" windowHeight="15720" xr2:uid="{3B60C448-837E-45FB-B6B8-83BF4E301E44}"/>
  </bookViews>
  <sheets>
    <sheet name="Segurida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66" i="1" l="1"/>
  <c r="B57" i="1"/>
  <c r="B53" i="1"/>
  <c r="B48" i="1"/>
  <c r="B43" i="1"/>
  <c r="B37" i="1"/>
  <c r="B32" i="1"/>
  <c r="B27" i="1"/>
  <c r="B17" i="1"/>
  <c r="B10" i="1"/>
  <c r="B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2AD07F6B-D23F-42BF-AC49-57CB7470D3B0}">
      <text>
        <r>
          <rPr>
            <sz val="10"/>
            <color rgb="FF000000"/>
            <rFont val="Arial"/>
            <scheme val="minor"/>
          </rPr>
          <t>1. Colocar en la misma cuenta varias cargas de trabajo no relacionadas con diferentes niveles de confidencialidad de los datos.
2. Definir de manera insuficiente la estructura de la unidad organizativa (OU).</t>
        </r>
      </text>
    </comment>
    <comment ref="B3" authorId="0" shapeId="0" xr:uid="{39B03BFD-A63C-4097-B078-044390DEDA8E}">
      <text>
        <r>
          <rPr>
            <sz val="10"/>
            <color rgb="FF000000"/>
            <rFont val="Arial"/>
            <scheme val="minor"/>
          </rPr>
          <t>Utilizar el usuario raíz para llevar a cabo tareas que no se encuentran entre las pocas que requieren credenciales de usuario raíz. 
Dejar de comprobar periódicamente los planes de contingencia para verificar el funcionamiento de las infraestructuras críticas, los procesos y el personal durante una emergencia.
Considerar únicamente el flujo de inicio de sesión típico de la cuenta y olvidarse de considerar o probar métodos alternativos de recuperación de la cuenta.
No ocuparse de DNS, servidores de correo electrónico y proveedores de telefonía como parte del perímetro crítico de seguridad, ya que estos se utilizan en el flujo de recuperación de la cuenta.</t>
        </r>
      </text>
    </comment>
    <comment ref="B4" authorId="0" shapeId="0" xr:uid="{E6C2FD5D-2B38-4240-BB05-3C8C7E1D0376}">
      <text>
        <r>
          <rPr>
            <sz val="10"/>
            <color rgb="FF000000"/>
            <rFont val="Arial"/>
            <scheme val="minor"/>
          </rPr>
          <t>Incomprensión por parte de la empresa de los requisitos normativos, las expectativas del mercado y los estándares del sector en cuanto al control de la seguridad.
Alineación incorrecta de los marcos de ciberseguridad y los objetivos de control con los requisitos de la empresa.
Ausencia de una correspondencia estrecha y medible entre la implementación de los controles y los objetivos de control.
Falta de uso de la automatización para informar sobre la eficacia de los controles.</t>
        </r>
      </text>
    </comment>
    <comment ref="B5" authorId="0" shapeId="0" xr:uid="{D0847491-0919-415A-807C-4C06D04BD0DD}">
      <text>
        <r>
          <rPr>
            <sz val="10"/>
            <color rgb="FF000000"/>
            <rFont val="Arial"/>
            <scheme val="minor"/>
          </rPr>
          <t>No disponer de un mecanismo fiable y repetible para mantenerse al día de la información más reciente sobre amenazas.
Mantener un inventario manual de su cartera de tecnología, cargas de trabajo y dependencias que requiera una revisión humana para detectar posibles vulnerabilidades y exposiciones.
No disponer de mecanismos para actualizar sus cargas de trabajo y dependencias a las versiones más recientes disponibles que incluyan mitigaciones de amenazas conocidas.</t>
        </r>
      </text>
    </comment>
    <comment ref="B6" authorId="0" shapeId="0" xr:uid="{D3DC9F4D-FB8A-4FD9-8820-074E60759A96}">
      <text>
        <r>
          <rPr>
            <sz val="10"/>
            <color rgb="FF000000"/>
            <rFont val="Arial"/>
            <scheme val="minor"/>
          </rPr>
          <t>Implementar cargas de trabajo sin comprender a fondo el modelo de responsabilidad compartida para los servicios que seleccione.
Alojar bases de datos y otras tecnologías en máquinas virtuales sin haber evaluado un servicio administrado equivalente.
No incluir las tareas de administración de la seguridad en el costo total de la propiedad de las tecnologías de host en máquinas virtuales en comparación con las opciones de servicios administrados.</t>
        </r>
      </text>
    </comment>
    <comment ref="B7" authorId="0" shapeId="0" xr:uid="{87D60A51-D3BC-4204-881F-E63221ED2C6D}">
      <text>
        <r>
          <rPr>
            <sz val="10"/>
            <color rgb="FF000000"/>
            <rFont val="Arial"/>
            <scheme val="minor"/>
          </rPr>
          <t xml:space="preserve">Hacer cambios en los controles de seguridad estándar de forma manual, mediante una consola web o una interfaz de línea de comandos.
Confiar en los equipos de carga de trabajo individuales para implementar manualmente los controles que define un equipo central.
Confiar en un equipo de seguridad central para implementar controles en el nivel de la carga de trabajo a petición de un equipo de carga de trabajo.
Permitir que las mismas personas o equipos desarrollen, prueben e implementen scripts de automatización del control de seguridad sin una separación adecuada de funciones ni de controles y contrapesos. 
</t>
        </r>
      </text>
    </comment>
    <comment ref="B9" authorId="0" shapeId="0" xr:uid="{6510335C-0CC7-45A0-8B4C-2607F6E4EC99}">
      <text>
        <r>
          <rPr>
            <sz val="10"/>
            <color rgb="FF000000"/>
            <rFont val="Arial"/>
            <scheme val="minor"/>
          </rPr>
          <t>No se suscribe a blogs de AWS y fuentes RSS para enterarse rápidamente de las nuevas características y servicios pertinentes.
Confía en las noticias y actualizaciones sobre los servicios y características de seguridad de fuentes de segunda mano
No fomenta entre los usuarios de AWS de su organización a mantenerse al día de las últimas actualizaciones</t>
        </r>
      </text>
    </comment>
    <comment ref="B11" authorId="0" shapeId="0" xr:uid="{5101B8DB-A7C1-4B69-8581-782F5A629B70}">
      <text>
        <r>
          <rPr>
            <sz val="10"/>
            <color rgb="FF000000"/>
            <rFont val="Arial"/>
            <scheme val="minor"/>
          </rPr>
          <t>No aplicar una política de contraseñas segura para sus identidades que incluya contraseñas complejas y MFA.
Compartir las mismas credenciales entre diferentes usuarios.
No utilizar controles de detección de inicios de sesión sospechosos.</t>
        </r>
      </text>
    </comment>
    <comment ref="B12" authorId="0" shapeId="0" xr:uid="{96E11D9B-2DD2-4D48-83EC-3D56AA53DDFE}">
      <text>
        <r>
          <rPr>
            <sz val="10"/>
            <color rgb="FF000000"/>
            <rFont val="Arial"/>
            <scheme val="minor"/>
          </rPr>
          <t>No rotar las credenciales.
Almacenar credenciales a largo plazo en el código fuente o en archivos de configuración.
Almacenar credenciales en reposo sin cifrar.</t>
        </r>
      </text>
    </comment>
    <comment ref="B13" authorId="0" shapeId="0" xr:uid="{DF6899D9-9936-41DD-A402-783F96628AD9}">
      <text>
        <r>
          <rPr>
            <sz val="10"/>
            <color rgb="FF000000"/>
            <rFont val="Arial"/>
            <scheme val="minor"/>
          </rPr>
          <t>No rotar las credenciales.
Almacenar credenciales a largo plazo en el código fuente o en archivos de configuración.
Almacenar credenciales en reposo sin cifrar.</t>
        </r>
      </text>
    </comment>
    <comment ref="B14" authorId="0" shapeId="0" xr:uid="{9CC9B8D8-15D1-46A7-96C8-4D605D4B96AF}">
      <text>
        <r>
          <rPr>
            <sz val="10"/>
            <color rgb="FF000000"/>
            <rFont val="Arial"/>
            <scheme val="minor"/>
          </rPr>
          <t>No utiliza la federación ni el inicio de sesión único. Los usuarios de la plantilla crean cuentas de usuario y credenciales independientes en diversas aplicaciones y sistemas.
No ha automatizado el ciclo de vida de las identidades de los usuarios de la plantilla, por ejemplo, no ha integrado su proveedor de identidades en sus sistemas de recursos humanos. Cuando un usuario abandona la organización o cambia de rol, se sigue un proceso manual para eliminar o actualizar sus registros en varias aplicaciones y sistemas.</t>
        </r>
      </text>
    </comment>
    <comment ref="B15" authorId="0" shapeId="0" xr:uid="{D2CCB25B-9784-4504-8B21-EDD9FE3A94C1}">
      <text>
        <r>
          <rPr>
            <sz val="10"/>
            <color rgb="FF000000"/>
            <rFont val="Arial"/>
            <scheme val="minor"/>
          </rPr>
          <t>No auditar el uso de credenciales.
Utilizar credenciales de larga duración de forma innecesaria.
Utilizar credenciales de larga duración y no rotarlas regularmente.</t>
        </r>
      </text>
    </comment>
    <comment ref="B16" authorId="0" shapeId="0" xr:uid="{C0AAB786-EBF8-4ED7-86A1-6862EDA9DA46}">
      <text>
        <r>
          <rPr>
            <sz val="10"/>
            <color rgb="FF000000"/>
            <rFont val="Arial"/>
            <scheme val="minor"/>
          </rPr>
          <t>Administrar los permisos de usuarios individuales y duplicarlos para muchos usuarios.
Definir grupos en un nivel demasiado alto y conceder permisos demasiado amplios.
Definir grupos en un nivel demasiado detallado, lo que crea duplicación y confusión en torno a la pertenencia a dichos grupos.
Usar grupos con permisos duplicados en diversos subconjuntos de recursos cuando, en su lugar, se pueden usar atributos.
No administrar grupos, atributos y pertenencias a grupos con un proveedor de identidades estandarizado integrado con sus entornos de AWS.
Usar encadenamiento de roles al utilizar las sesiones del AWS IAM Identity Center.</t>
        </r>
      </text>
    </comment>
    <comment ref="B18" authorId="0" shapeId="0" xr:uid="{984828C8-4EF9-45D1-8C15-ADCA745D6678}">
      <text>
        <r>
          <rPr>
            <sz val="10"/>
            <color rgb="FF000000"/>
            <rFont val="Arial"/>
            <scheme val="minor"/>
          </rPr>
          <t>Codificar de forma rígida o almacenar secretos en la aplicación.
Conceder permisos personalizados para cada usuario.
Utilizar credenciales de larga duración.</t>
        </r>
      </text>
    </comment>
    <comment ref="B19" authorId="0" shapeId="0" xr:uid="{E5F3D747-028B-45F5-A8B9-99F468824D4C}">
      <text>
        <r>
          <rPr>
            <sz val="10"/>
            <color rgb="FF000000"/>
            <rFont val="Arial"/>
            <scheme val="minor"/>
          </rPr>
          <t>Concede permisos de administrador a los usuarios de forma predeterminada.
Utiliza la cuenta de usuario raíz para tareas cotidianas.
Crea políticas demasiado permisivas sin un alcance adecuado.
Revisa sus permisos con poca frecuencia, lo que provoca un aumento excesivo de los permisos.
Aísla el entorno o gestiona los permisos basándose exclusivamente en un control de acceso basado en atributos.</t>
        </r>
      </text>
    </comment>
    <comment ref="B20" authorId="0" shapeId="0" xr:uid="{E9AD654D-EA20-410D-B4F3-A69FDBEFC4B8}">
      <text>
        <r>
          <rPr>
            <sz val="10"/>
            <color rgb="FF000000"/>
            <rFont val="Arial"/>
            <scheme val="minor"/>
          </rPr>
          <t>No tiene procesos de acceso de emergencia bien documentados y probados. Cuando los usuarios no están preparados para emergencias, siguen procesos improvisados cuando estas se producen.
Tener procesos de acceso de emergencia que dependan de los mismos sistemas (como un proveedor de identidades centralizado) que sus mecanismos de acceso normales. Esto significa que el error de un sistema de este tipo podría afectar tanto a sus mecanismos de acceso normales como a los de emergencia y, por lo tanto, repercutir en la capacidad para recuperarse del error.
Se utilizan los procesos de acceso de emergencia en situaciones que no son de emergencia. Por ejemplo, los usuarios suelen hacer un uso inapropiado de los procesos de acceso de emergencia, ya que les resulta más fácil hacer cambios directamente que enviarlos a través de una canalización.
Tener procesos de acceso de emergencia que no generan registros suficientes para auditar los procesos o no supervisar los registros para alertar de un posible uso indebido de los procesos.</t>
        </r>
      </text>
    </comment>
    <comment ref="B21" authorId="0" shapeId="0" xr:uid="{3B5871E0-F05F-42CD-9D2D-C3B80C56C1EF}">
      <text>
        <r>
          <rPr>
            <sz val="10"/>
            <color rgb="FF000000"/>
            <rFont val="Arial"/>
            <scheme val="minor"/>
          </rPr>
          <t>Conceder permisos de administrador a los usuarios de forma predeterminada.
Crear políticas excesivamente permisivas, pero sin todos los privilegios de administrador.
Mantener políticas de permisos después de que ya no son necesarias.</t>
        </r>
      </text>
    </comment>
    <comment ref="B22" authorId="0" shapeId="0" xr:uid="{8A729352-F7B5-4CD9-B103-A04F9AAAA367}">
      <text>
        <r>
          <rPr>
            <sz val="10"/>
            <color rgb="FF000000"/>
            <rFont val="Arial"/>
            <scheme val="minor"/>
          </rPr>
          <t>Crear Cuentas de AWS de miembros dentro de una organización de AWS, pero no usar SCP para restringir el uso y los permisos disponibles para sus credenciales raíz.
Asignar permisos según el principio de privilegio mínimo, pero sin aplicar barreras de protección al conjunto máximo de permisos que se pueden conceder.
Confiar en el principio de denegación implícita de AWS IAM para restringir los permisos y esperar que las políticas no concedan un permiso explícito no deseado.
Ejecutar varios entornos de carga de trabajo en la misma Cuenta de AWS y, a continuación, recurrir a mecanismos como las VPC, las etiquetas o las políticas de recursos para hacer cumplir los límites de los permisos.</t>
        </r>
      </text>
    </comment>
    <comment ref="B23" authorId="0" shapeId="0" xr:uid="{61B719BE-CC87-496A-B747-593DFCBB97C1}">
      <text>
        <r>
          <rPr>
            <sz val="10"/>
            <color rgb="FF000000"/>
            <rFont val="Arial"/>
            <scheme val="minor"/>
          </rPr>
          <t>Concede privilegios de acceso excesivos o amplios a las identidades por adelantado, más allá de lo que se requiere inicialmente.
No revisa ni ajusta los privilegios de acceso, a medida que los cargos y las responsabilidades cambian con el tiempo.
Deja identidades inactivas o terminadas con privilegios de acceso activos. Esto aumenta el riesgo de acceso no autorizado.
No aprovecha la automatización para gestionar el ciclo de vida de las identidades.</t>
        </r>
      </text>
    </comment>
    <comment ref="B24" authorId="0" shapeId="0" xr:uid="{D6FA4492-773E-4FEB-8A78-B60E3AA9506A}">
      <text>
        <r>
          <rPr>
            <sz val="10"/>
            <color rgb="FF000000"/>
            <rFont val="Arial"/>
            <scheme val="minor"/>
          </rPr>
          <t>No mantener un inventario de los recursos compartidos.
No seguir un proceso para aprobar el acceso público o entre cuentas a los recursos.</t>
        </r>
      </text>
    </comment>
    <comment ref="B25" authorId="0" shapeId="0" xr:uid="{B459EF36-7CB2-48F6-8F66-CC504CC07BAC}">
      <text>
        <r>
          <rPr>
            <sz val="10"/>
            <color rgb="FF000000"/>
            <rFont val="Arial"/>
            <scheme val="minor"/>
          </rPr>
          <t>Falta de un proceso para supervisar continuamente y alertar automáticamente sobre un uso compartido externo inesperado.
Falta de una referencia sobre lo que se debe compartir y lo que no.
Adoptar de manera predeterminada una política muy abierta en lugar de compartir explícitamente cuando es necesario.
Crear manualmente recursos fundamentales que se solapan cuando es necesario.</t>
        </r>
      </text>
    </comment>
    <comment ref="B26" authorId="0" shapeId="0" xr:uid="{4E230DEA-13BF-4909-B7AE-FF26558D5A28}">
      <text>
        <r>
          <rPr>
            <sz val="10"/>
            <color rgb="FF000000"/>
            <rFont val="Arial"/>
            <scheme val="minor"/>
          </rPr>
          <t>Utilizar la política de confianza de IAM predeterminada sin ninguna condición.
Utilizar claves de acceso y credenciales de IAM a largo plazo.
Reutilizar ID externos.</t>
        </r>
      </text>
    </comment>
    <comment ref="B28" authorId="0" shapeId="0" xr:uid="{3BC38237-4D02-417E-A453-A6CEE59B23E1}">
      <text>
        <r>
          <rPr>
            <sz val="10"/>
            <color rgb="FF000000"/>
            <rFont val="Arial"/>
            <scheme val="minor"/>
          </rPr>
          <t>Almacenar los registros de forma indefinida o eliminarlos demasiado pronto.
Todo el mundo puede acceder a los registros.
Depender por completo de procesos manuales para la gobernanza y el uso de los registros.
Almacenar todos y cada uno de los tipos de registros por si fueran necesarios.
Comprobar la integridad de los registros solo cuando es necesario.</t>
        </r>
      </text>
    </comment>
    <comment ref="B29" authorId="0" shapeId="0" xr:uid="{5DD75020-4E74-4192-8DA5-A11ECB4F7CE5}">
      <text>
        <r>
          <rPr>
            <sz val="10"/>
            <color rgb="FF000000"/>
            <rFont val="Arial"/>
            <scheme val="minor"/>
          </rPr>
          <t>Los equipos tienen y administran de forma independiente registros y recopilaciones de métricas que no se ajustan a la estrategia de registro de la organización.
Los equipos no tienen controles de acceso adecuados para restringir la visibilidad y la alteración de los datos recopilados.
Los equipos no gestionan sus registros, resultados y métricas de seguridad como parte de su política de clasificación de datos.
Los equipos no tienen en cuenta los requisitos de soberanía y localización de los datos al configurar las recopilaciones de datos.</t>
        </r>
      </text>
    </comment>
    <comment ref="B30" authorId="0" shapeId="0" xr:uid="{33BEB924-B9A2-4F5A-9165-5DA952F93149}">
      <text>
        <r>
          <rPr>
            <sz val="10"/>
            <color rgb="FF000000"/>
            <rFont val="Arial"/>
            <scheme val="minor"/>
          </rPr>
          <t>Existen grupos de personas distintos que investigan los resultados y alertas generados por los diferentes sistemas, a menos que los requisitos de separación de funciones exijan lo contrario.  
Canalizar en la organización todos los datos de alertas y resultados de seguridad a ubicaciones estándar, pero con la necesidad de que los investigadores lleven a cabo una correlación y un enriquecimiento manuales.
Confiar únicamente en la inteligencia de los sistemas de detección de amenazas para informar sobre los resultados y establecer el nivel de gravedad.</t>
        </r>
      </text>
    </comment>
    <comment ref="B31" authorId="0" shapeId="0" xr:uid="{CCF57A0C-3EDE-470A-B8DA-9BAC7835B3D5}">
      <text>
        <r>
          <rPr>
            <sz val="10"/>
            <color rgb="FF000000"/>
            <rFont val="Arial"/>
            <scheme val="minor"/>
          </rPr>
          <t>Implementar la automatización, pero no verificar ni validar minuciosamente las acciones de corrección. Esto puede tener consecuencias imprevistas, como obstaculizar las operaciones empresariales legítimas o provocar inestabilidad en el sistema.
Mejorar los tiempos de respuesta y los procedimientos mediante la automatización, pero sin contar con la supervisión y los mecanismos adecuados que permitan la intervención y la decisión de un humano en los casos necesarios.
Confiar únicamente en las correcciones, en lugar de incluirlas como parte de un programa más amplio de respuesta y recuperación ante incidentes.</t>
        </r>
      </text>
    </comment>
    <comment ref="B33" authorId="0" shapeId="0" xr:uid="{92733638-CBE5-48C8-B8C7-F4103534C9E8}">
      <text>
        <r>
          <rPr>
            <sz val="10"/>
            <color rgb="FF000000"/>
            <rFont val="Arial"/>
            <scheme val="minor"/>
          </rPr>
          <t>Crea todos los recursos en una única VPC o subred.
Desarrolla las capas de red sin tener en cuenta los requisitos de confidencialidad de los datos, el comportamiento de los componentes o la funcionalidad.
Utiliza las VPC y las subredes de forma predeterminada para todas las consideraciones sobre las capas de red y no tener en cuenta la forma en que los servicios administrados de AWS influyen en la topología.</t>
        </r>
      </text>
    </comment>
    <comment ref="B34" authorId="0" shapeId="0" xr:uid="{4E98C1F8-5492-451A-BE0B-EC369076CA0B}">
      <text>
        <r>
          <rPr>
            <sz val="10"/>
            <color rgb="FF000000"/>
            <rFont val="Arial"/>
            <scheme val="minor"/>
          </rPr>
          <t>Adoptar un enfoque de seguridad de red basado en el perímetro y controlar solamente el flujo de tráfico dentro de los límites de las capas de red.
Dar por sentado que todo el tráfico dentro de una capa de red está autenticado y autorizado.
Aplicar controles para el tráfico de entrada o de salida, pero no para ambos.
Confiar solo en los componentes de la carga de trabajo y los controles de red para autenticar y autorizar el tráfico.</t>
        </r>
      </text>
    </comment>
    <comment ref="B35" authorId="0" shapeId="0" xr:uid="{499C9ECD-0C51-49DF-9C63-32C0E64A9A7E}">
      <text>
        <r>
          <rPr>
            <sz val="10"/>
            <color rgb="FF000000"/>
            <rFont val="Arial"/>
            <scheme val="minor"/>
          </rPr>
          <t>Confiar únicamente en las reglas de firewall basadas en puertos y protocolos. No aprovechar los sistemas inteligentes.
Crear reglas de firewall sobre la base de patrones de amenazas actuales específicos sujetos a cambios.
Inspeccionar únicamente el tráfico cuando fluye de subredes privadas a públicas, o de subredes públicas a Internet.
No tener una visión básica del tráfico de la red para comparar las anomalías de comportamiento.</t>
        </r>
      </text>
    </comment>
    <comment ref="B36" authorId="0" shapeId="0" xr:uid="{2A1B2A3D-B19E-4DD0-B973-9E703EDBE4AD}">
      <text>
        <r>
          <rPr>
            <sz val="10"/>
            <color rgb="FF000000"/>
            <rFont val="Arial"/>
            <scheme val="minor"/>
          </rPr>
          <t>Confiar en que los equipos de cada carga de trabajo definan individualmente toda su pila de red, sus protecciones y sus automatizaciones.  No publicar los aspectos estándares de la pila de red y las protecciones de forma centralizada para que los consuman los equipos de carga de trabajo.
Confiar en un equipo de red central para definir todos los aspectos de la red, las protecciones y las automatizaciones.  No delegar los aspectos específicos de la carga de trabajo de la pila de red y las protecciones al equipo de esa carga de trabajo.
Lograr el equilibrio adecuado entre la centralización y la delegación entre un equipo de red y los equipos de las cargas de trabajo, pero no aplicar estándares de prueba e implementación uniformes en todas las plantillas de IaC y las canalizaciones de CI/CD.  No recoger las configuraciones requeridas en herramientas que comprueben si las plantillas se ajustan a dichas configuraciones.</t>
        </r>
      </text>
    </comment>
    <comment ref="B38" authorId="0" shapeId="0" xr:uid="{3B51D467-7746-41E7-B28F-ADC03E18D788}">
      <text>
        <r>
          <rPr>
            <sz val="10"/>
            <color rgb="FF000000"/>
            <rFont val="Arial"/>
            <scheme val="minor"/>
          </rPr>
          <t>No disponer de un programa de administración de vulnerabilidades.
Aplicar parches en el sistema sin tener en cuenta la gravedad o la forma de evitar riesgos.
Utilizar software que haya superado la fecha de fin de vida útil (EOL) de su proveedor.
Implementar código en producción antes de analizarlo en busca de problemas de seguridad.</t>
        </r>
      </text>
    </comment>
    <comment ref="B39" authorId="0" shapeId="0" xr:uid="{16F47E58-B34F-4A32-A9D8-A3B819C42B27}">
      <text>
        <r>
          <rPr>
            <sz val="10"/>
            <color rgb="FF000000"/>
            <rFont val="Arial"/>
            <scheme val="minor"/>
          </rPr>
          <t>Adquirir imágenes y bibliotecas de registros fiables, pero no verificar su firma ni analizar las vulnerabilidades antes de utilizarlas.
Reforzar las imágenes, pero no probarlas con regularidad para detectar nuevas vulnerabilidades ni actualizarlas a la versión más reciente.
Instalar o no eliminar paquetes de software que no sean necesarios durante el ciclo de vida esperado de la imagen.
Confiar únicamente en los parches para mantener actualizados los recursos de computación de producción. El uso de parches por sí solo puede seguir haciendo que los recursos de computación diverjan del estándar reforzado con el paso del tiempo. También es posible que el uso de parches no elimine el malware que un actor de amenazas pueda haber instalado durante un evento de seguridad.</t>
        </r>
      </text>
    </comment>
    <comment ref="B40" authorId="0" shapeId="0" xr:uid="{A67A7D84-9EF7-4E00-8F6C-0D947291D912}">
      <text>
        <r>
          <rPr>
            <sz val="10"/>
            <color rgb="FF000000"/>
            <rFont val="Arial"/>
            <scheme val="minor"/>
          </rPr>
          <t>Acceso interactivo a instancias de Amazon EC2 con protocolos como SSH o RDP.
Mantener inicios de sesión de los usuarios individuales, como /etc/passwd o los usuarios locales de Windows.
Compartir una contraseña o una clave privada para acceder a una instancia entre varios usuarios.
Instalar el software y crear o actualizar los archivos de configuración manualmente.
Actualizar o parchear el software manualmente.
Iniciar sesión en una instancia para solucionar problemas.</t>
        </r>
      </text>
    </comment>
    <comment ref="B41" authorId="0" shapeId="0" xr:uid="{92E032A9-3A0E-46D7-8471-68AE97B41254}">
      <text>
        <r>
          <rPr>
            <sz val="10"/>
            <color rgb="FF000000"/>
            <rFont val="Arial"/>
            <scheme val="minor"/>
          </rPr>
          <t xml:space="preserve">Confiar en los sitios web de proveedores acreditados para obtener artefactos de software, pero ignorar los avisos de caducidad de los certificados.  Continuar con las descargas sin confirmar que los certificados son válidos.
Validar los certificados de los sitios web de los proveedores, pero no verificar criptográficamente los artefactos descargados de estos sitios web.
Confiar únicamente en resúmenes o hashes para validar la integridad del software.  Los hashes establecen que los artefactos no se han modificado con respecto a la versión original, pero no validan su fuente.
No firmar su propio software, código o bibliotecas, aunque solo los utilice en sus propias implementaciones. Confiar en los sitios web de proveedores acreditados para obtener artefactos de software, pero ignorar los avisos de caducidad de los certificados.  Continuar con las descargas sin confirmar que los certificados son válidos.
Validar los certificados de los sitios web de los proveedores, pero no verificar criptográficamente los artefactos descargados de estos sitios web.
Confiar únicamente en resúmenes o hashes para validar la integridad del software.  Los hashes establecen que los artefactos no se han modificado con respecto a la versión original, pero no validan su fuente.
No firmar su propio software, código o bibliotecas, aunque solo los utilice en sus propias implementaciones. </t>
        </r>
      </text>
    </comment>
    <comment ref="B42" authorId="0" shapeId="0" xr:uid="{7A40C4EA-0D76-4D89-834B-D593BF951112}">
      <text>
        <r>
          <rPr>
            <sz val="10"/>
            <color rgb="FF000000"/>
            <rFont val="Arial"/>
            <scheme val="minor"/>
          </rPr>
          <t>Seguir la práctica de una infraestructura inmutable sin contar con una solución para la instalación de parches de emergencia o la sustitución de sistemas de producción.
Usar la automatización para corregir los recursos mal configurados sin contar con un mecanismo de anulación manual.  Es posible que surjan situaciones en las que necesite ajustar los requisitos y tenga que suspender las automatizaciones hasta haber hecho estos cambios.</t>
        </r>
      </text>
    </comment>
    <comment ref="B44" authorId="0" shapeId="0" xr:uid="{8933CF8F-EDCE-455C-B8CD-35274C10C3DA}">
      <text>
        <r>
          <rPr>
            <sz val="10"/>
            <color rgb="FF000000"/>
            <rFont val="Arial"/>
            <scheme val="minor"/>
          </rPr>
          <t>No contar con una política formal de clasificación de datos para definir los niveles de confidencialidad de los datos y sus requisitos de tratamiento
No comprender bien los niveles de confidencialidad de los datos dentro de su carga de trabajo y no reflejar esta información en la documentación de la arquitectura y las operaciones
No aplicar los controles adecuados en torno a sus datos en función de su confidencialidad y sus requisitos, tal como se describe en su política de clasificación y tratamiento de datos
No proporcionar comentarios sobre los requisitos de clasificación y tratamiento de datos a los propietarios de las políticas.</t>
        </r>
      </text>
    </comment>
    <comment ref="B45" authorId="0" shapeId="0" xr:uid="{B8A234B2-F7E6-432B-9F54-E4AF25E1D2AC}">
      <text>
        <r>
          <rPr>
            <sz val="10"/>
            <color rgb="FF000000"/>
            <rFont val="Arial"/>
            <scheme val="minor"/>
          </rPr>
          <t>Aplicar el mismo nivel de controles de protección a todos los datos. Esto puede provocar un aprovisionamiento excesivo de controles de seguridad para datos con un bajo nivel de confidencialidad o una protección insuficiente de los datos altamente confidenciales.
No implicar a las partes interesadas pertinentes de los equipos de seguridad, de cumplimiento y de empresa al definir los controles de protección de datos.
Pasar por alto los gastos operativos y los costos asociados con la implementación y el mantenimiento de los controles de protección de datos.
No llevar a cabo revisiones periódicas del control de protección de datos para mantener la alineación con las políticas de clasificación.
No tener un inventario completo de dónde se encuentran los datos en reposo y en tránsito.</t>
        </r>
      </text>
    </comment>
    <comment ref="B46" authorId="0" shapeId="0" xr:uid="{4839D0AF-89C6-4DF9-BE16-026937309D4C}">
      <text>
        <r>
          <rPr>
            <sz val="10"/>
            <color rgb="FF000000"/>
            <rFont val="Arial"/>
            <scheme val="minor"/>
          </rPr>
          <t>Confiar únicamente en procesos manuales para la identificación y clasificación de datos, que pueden ser propensos a errores y requerir mucho tiempo.  Esto puede provocar una clasificación de datos ineficiente e incoherente, especialmente a medida que aumentan los volúmenes de datos.
No disponer de mecanismos para rastrear y administrar los activos de datos en toda la organización.
Pasar por alto la necesidad de supervisar y clasificar continuamente los datos a medida que circulan y evolucionan dentro de la organización.</t>
        </r>
      </text>
    </comment>
    <comment ref="B47" authorId="0" shapeId="0" xr:uid="{B323405E-2FC8-4AA1-A721-624B1530066A}">
      <text>
        <r>
          <rPr>
            <sz val="10"/>
            <color rgb="FF000000"/>
            <rFont val="Arial"/>
            <scheme val="minor"/>
          </rPr>
          <t>Implementar un enfoque único para la administración del ciclo de vida de los datos, sin tener en cuenta los diferentes niveles de confidencialidad y los requisitos de acceso.
Plantearse la administración del ciclo de vida únicamente desde la perspectiva de los datos utilizables o de los datos para los que existan copias de seguridad, pero no desde ambas perspectivas.
Dar por sentado que los datos que han llegado a la carga de trabajo son válidos, sin determinar su valor o procedencia.
Confiar en la durabilidad de los datos como alternativa a hacer copias de seguridad y protegerlos.
Retener los datos más allá de su plazo de utilidad y del periodo de retención requerido.</t>
        </r>
      </text>
    </comment>
    <comment ref="B49" authorId="0" shapeId="0" xr:uid="{E5C5AF3D-1D88-46B9-AE46-DA9E4CE13317}">
      <text>
        <r>
          <rPr>
            <sz val="10"/>
            <color rgb="FF000000"/>
            <rFont val="Arial"/>
            <scheme val="minor"/>
          </rPr>
          <t>Acceso humano a material de claves no cifrado.
Crear algoritmos criptográficos personalizados.
Permisos demasiado amplios para acceder a material de claves.</t>
        </r>
      </text>
    </comment>
    <comment ref="B50" authorId="0" shapeId="0" xr:uid="{A92BB932-0262-4CD0-AE77-3E9D7820E86D}">
      <text>
        <r>
          <rPr>
            <sz val="10"/>
            <color rgb="FF000000"/>
            <rFont val="Arial"/>
            <scheme val="minor"/>
          </rPr>
          <t>No utilizar configuraciones para que el cifrado se haga de forma predeterminada.
Proporcionar un acceso demasiado permisivo a las claves de descifrado.
No supervisar el uso de las claves de cifrado y descifrado.
Almacenar datos sin cifrar.
Utilizar la misma clave de cifrado para todos los datos, independientemente de su uso, tipos y clasificación.</t>
        </r>
      </text>
    </comment>
    <comment ref="B51" authorId="0" shapeId="0" xr:uid="{C268AD57-7F35-4044-A43A-A33310553078}">
      <text>
        <r>
          <rPr>
            <sz val="10"/>
            <color rgb="FF000000"/>
            <rFont val="Arial"/>
            <scheme val="minor"/>
          </rPr>
          <t>No tener en cuenta las opciones de habilitar el cifrado de forma predeterminada, cuando sea posible.
No tener en cuenta los eventos de seguridad, además de los eventos operativos, al formular una estrategia automatizada de copias de seguridad y recuperación.
No aplicar la configuración de acceso público a los servicios de almacenamiento.
No supervisar ni auditar los controles para proteger los datos en reposo.</t>
        </r>
      </text>
    </comment>
    <comment ref="B52" authorId="0" shapeId="0" xr:uid="{A787E38A-C1BB-4198-82F7-E24767AA9C83}">
      <text>
        <r>
          <rPr>
            <sz val="10"/>
            <color rgb="FF000000"/>
            <rFont val="Arial"/>
            <scheme val="minor"/>
          </rPr>
          <t>Almacenar juntos datos con diferentes requisitos de confidencialidad o clasificación.
Utilizar permisos demasiado permisivos en las claves de descifrado.
Clasificar incorrectamente los datos.
No conservar copias de seguridad detalladas de los datos importantes.
Proporcionar acceso persistente a los datos de producción.
No auditar el acceso a los datos ni revisar periódicamente los permisos.</t>
        </r>
      </text>
    </comment>
    <comment ref="B54" authorId="0" shapeId="0" xr:uid="{786155F9-B042-42E6-B093-7C5F9F930213}">
      <text>
        <r>
          <rPr>
            <sz val="10"/>
            <color rgb="FF000000"/>
            <rFont val="Arial"/>
            <scheme val="minor"/>
          </rPr>
          <t>Seguir pasos manuales durante los procesos de implementación o renovación del certificado.
No prestar suficiente atención a la jerarquía de la autoridad de certificación (CA) al diseñar una CA privada.
Usar certificados autofirmados para recursos públicos.</t>
        </r>
      </text>
    </comment>
    <comment ref="B55" authorId="0" shapeId="0" xr:uid="{42D23520-C041-40B0-ACFC-A0793B745AA1}">
      <text>
        <r>
          <rPr>
            <sz val="10"/>
            <color rgb="FF000000"/>
            <rFont val="Arial"/>
            <scheme val="minor"/>
          </rPr>
          <t>Utilizar versiones de SSL, TLS y componentes del conjunto de cifrado obsoletos (por ejemplo, SSL v3.0, claves RSA de 1024 bits y cifrado RC4).
Permitir tráfico no cifrado (HTTP) hacia o desde recursos destinados al público.
No supervisar y sustituir los certificados X.509 antes de que caduquen.
Utilizar certificados X.509 autofirmados para TLS.</t>
        </r>
      </text>
    </comment>
    <comment ref="B56" authorId="0" shapeId="0" xr:uid="{761AA8BF-23DC-4575-9DE1-2E182212451B}">
      <text>
        <r>
          <rPr>
            <sz val="10"/>
            <color rgb="FF000000"/>
            <rFont val="Arial"/>
            <scheme val="minor"/>
          </rPr>
          <t>Tener tráfico no cifrado o no autenticado en la carga de trabajo.
Reutilizar credenciales de autenticación para varios usuarios o entidades.
Confiar únicamente en los controles de red como mecanismo de control de acceso.
Crear un mecanismo de autenticación personalizado en lugar de confiar en los mecanismos de autenticación estándar del sector.
Tener un tráfico excesivamente permisivo entre los componentes del servicio u otros recursos de la VPC.</t>
        </r>
      </text>
    </comment>
    <comment ref="B58" authorId="0" shapeId="0" xr:uid="{9A564182-470F-4845-AFF1-5C4BFB5C46C9}">
      <text>
        <r>
          <rPr>
            <sz val="10"/>
            <color rgb="FF000000"/>
            <rFont val="Arial"/>
            <scheme val="minor"/>
          </rPr>
          <t>No mantener una lista actualizada del personal clave con información de contacto, sus cargos y responsabilidades al responder a los eventos de seguridad.
Dar por sentada una comprensión general de las personas, las dependencias, la infraestructura y las soluciones pertinentes a la hora de responder a un evento y recuperarse de él. 
No contar con un repositorio de documentos o conocimientos relacionados con la infraestructura clave o el diseño de aplicaciones.
No disponer de procesos de incorporación adecuados para que los nuevos empleados contribuyan de manera eficaz a la respuesta a un evento de seguridad, como llevar a cabo simulacros de eventos.
No disponer de una ruta de escalado para los casos en los que el personal clave no esté disponible temporalmente o no responda durante los eventos de seguridad.</t>
        </r>
      </text>
    </comment>
    <comment ref="B62" authorId="0" shapeId="0" xr:uid="{3337C203-6D24-4840-9E49-27B7F8405B3B}">
      <text>
        <r>
          <rPr>
            <sz val="10"/>
            <color rgb="FF000000"/>
            <rFont val="Arial"/>
            <scheme val="minor"/>
          </rPr>
          <t>Usar la cuenta raíz para la respuesta ante incidentes.
Alterar las cuentas existentes.
Manipular los permisos de IAM directamente al proporcionar un aumento puntual de los privilegios.</t>
        </r>
      </text>
    </comment>
    <comment ref="B67" authorId="0" shapeId="0" xr:uid="{269F5615-9A5D-4354-A2C1-630B02FFBCCF}">
      <text>
        <r>
          <rPr>
            <sz val="10"/>
            <color rgb="FF000000"/>
            <rFont val="Arial"/>
            <scheme val="minor"/>
          </rPr>
          <t>Espera a una revisión de seguridad para estudiar las propiedades de seguridad de un sistema.
Deja todas las decisiones de seguridad en manos del equipo de seguridad.
No comunica claramente cómo se relacionan las decisiones tomadas en el SDLC con las expectativas o políticas generales de seguridad de la organización.
Interviene demasiado tarde en el proceso de revisión de la seguridad.</t>
        </r>
      </text>
    </comment>
    <comment ref="B68" authorId="0" shapeId="0" xr:uid="{5C36898C-9C1A-4D7E-BD71-8FF1674CDEE2}">
      <text>
        <r>
          <rPr>
            <sz val="10"/>
            <color rgb="FF000000"/>
            <rFont val="Arial"/>
            <scheme val="minor"/>
          </rPr>
          <t>No comunicar los casos de prueba y los resultados de las pruebas automatizadas.
Llevar a cabo las pruebas automatizadas solo justo antes del lanzamiento.
Automatizar casos de prueba con requisitos que cambian con frecuencia.
No proporcionar orientación sobre cómo abordar los resultados de las pruebas de seguridad.</t>
        </r>
      </text>
    </comment>
    <comment ref="B69" authorId="0" shapeId="0" xr:uid="{3E09B3A7-2588-4569-BF7B-E562D091DC84}">
      <text>
        <r>
          <rPr>
            <sz val="10"/>
            <color rgb="FF000000"/>
            <rFont val="Arial"/>
            <scheme val="minor"/>
          </rPr>
          <t>Hacer pruebas de penetración solo para problemas de seguridad conocidos o frecuentes.
Hacer pruebas de penetración de aplicaciones sin herramientas ni bibliotecas de terceros dependientes.
Hacer pruebas de penetración solo para problemas de seguridad de paquete, sin evaluar la lógica empresarial implementada.</t>
        </r>
      </text>
    </comment>
    <comment ref="B70" authorId="0" shapeId="0" xr:uid="{5EEB40A3-B2D5-4B96-98F9-4A86911D3BD9}">
      <text>
        <r>
          <rPr>
            <sz val="10"/>
            <color rgb="FF000000"/>
            <rFont val="Arial"/>
            <scheme val="minor"/>
          </rPr>
          <t>No revisa el código antes de la implementación.
El código lo escribe y lo revisa la misma persona.
No utiliza la automatización como ayuda con las revisiones del código o para su organización.
No forma a los creadores en seguridad de las aplicaciones antes de que revisen el código.</t>
        </r>
      </text>
    </comment>
    <comment ref="B71" authorId="0" shapeId="0" xr:uid="{918E12B4-FAAA-4284-BBD2-61CF11F1CEF7}">
      <text>
        <r>
          <rPr>
            <sz val="10"/>
            <color rgb="FF000000"/>
            <rFont val="Arial"/>
            <scheme val="minor"/>
          </rPr>
          <t>Obtiene paquetes de repositorios arbitrarios de Internet.
No prueba los nuevos paquetes antes de ponerlos a disposición de los creadores.</t>
        </r>
      </text>
    </comment>
    <comment ref="B72" authorId="0" shapeId="0" xr:uid="{D8A5BCAB-8E2F-46C9-961F-12E9D1391F8B}">
      <text>
        <r>
          <rPr>
            <sz val="10"/>
            <color rgb="FF000000"/>
            <rFont val="Arial"/>
            <scheme val="minor"/>
          </rPr>
          <t>Implementar manualmente el software en producción.
Hacer cambios manualmente en el software para adaptarlo a distintos entornos.</t>
        </r>
      </text>
    </comment>
    <comment ref="B73" authorId="0" shapeId="0" xr:uid="{7B65129E-3387-4695-B1FC-133EECE16249}">
      <text>
        <r>
          <rPr>
            <sz val="10"/>
            <color rgb="FF000000"/>
            <rFont val="Arial"/>
            <scheme val="minor"/>
          </rPr>
          <t>Pruebas de seguridad que los creadores pueden omitir.
Permisos demasiado amplios para las canalizaciones de implementación.
Canalizaciones no configuradas para validar entradas.
No revisar periódicamente los permisos asociados a la infraestructura de CI/CD.
Uso de credenciales a largo plazo o codificadas.</t>
        </r>
      </text>
    </comment>
    <comment ref="B74" authorId="0" shapeId="0" xr:uid="{F61F054A-4DDB-45B7-BA8D-F21F9A6E11E5}">
      <text>
        <r>
          <rPr>
            <sz val="10"/>
            <color rgb="FF000000"/>
            <rFont val="Arial"/>
            <scheme val="minor"/>
          </rPr>
          <t xml:space="preserve">Dejar todas las decisiones del diseño de la seguridad en manos del equipo de seguridad.
No hacer frente a los requisitos de seguridad con suficiente antelación en el proceso de desarrollo.
No obtener comentarios de los creadores y del personal de seguridad sobre el funcionamiento del programa.
</t>
        </r>
      </text>
    </comment>
  </commentList>
</comments>
</file>

<file path=xl/sharedStrings.xml><?xml version="1.0" encoding="utf-8"?>
<sst xmlns="http://schemas.openxmlformats.org/spreadsheetml/2006/main" count="329" uniqueCount="329">
  <si>
    <t>Fundamentos de seguridad
SEC 1. ¿Cómo opera usted su carga de trabajo de forma segura?</t>
  </si>
  <si>
    <t>Servicios, Recursos y Configuraciones a Evaluar</t>
  </si>
  <si>
    <t>¿Cómo evaluar? (Acciones y Revisiones)</t>
  </si>
  <si>
    <t>Validación por CLI</t>
  </si>
  <si>
    <r>
      <rPr>
        <b/>
        <sz val="11"/>
        <color rgb="FF000000"/>
        <rFont val="Montserrat"/>
      </rPr>
      <t>SEC01-BP01</t>
    </r>
    <r>
      <rPr>
        <sz val="11"/>
        <color rgb="FF000000"/>
        <rFont val="Montserrat"/>
      </rPr>
      <t xml:space="preserve"> Cargas de trabajo separadas mediante cuentas</t>
    </r>
  </si>
  <si>
    <t>Establezca barreras de protección y medidas de aislamiento comunes entre los entornos (por ejemplo, producción, desarrollo y pruebas) y las cargas de trabajo mediante una estrategia de varias cuentas. Es muy recomendable que la separación se haga en la cuenta, ya que así se consigue una barrera de aislamiento sólida para gestionar la seguridad, la facturación y el acceso.</t>
  </si>
  <si>
    <t>AWS Organizations, AWS Control Tower.
AWS Organizations and Account Structure
Servicio: AWS Organizations, AWS Control Tower
Recurso: Organization units (OUs), member accounts, y jerarquía de cuentas
Configuración: Estructura multi-cuenta configurada con cuentas separadas para diferentes cargas de trabajo, entornos y límites organizacionales
Account Isolation and Security Boundaries
Servicio: AWS Identity and Access Management (IAM), AWS Security Token Service (STS)
Recurso: Cross-account roles, permisos a nivel de cuenta, y límites de seguridad
Configuración: Aislamiento de cuentas configurado con políticas IAM apropiadas, controles de acceso entre cuentas, y aplicación de límites de seguridad
Workload Segregation Strategy
Servicio: AWS Service Catalog, AWS Config
Recurso: Clasificación de cargas de trabajo, separación de entornos, y límites de cumplimiento
Configuración: Segregación de cargas de trabajo configurada con cuentas específicas por entorno, sistemas de clasificación de cargas de trabajo, y aplicación de límites de cumplimiento
Centralized Management and Governance
Servicio: AWS CloudFormation StackSets, AWS Systems Manager
Recurso: Políticas centralizadas, controles de gobernanza, y procesos de gestión
Configuración: Gobernanza centralizada configurada con políticas a nivel de organización, configuraciones estandarizadas, y capacidades de gestión centralizada
Billing and Cost Management Separation
Servicio: AWS Cost and Usage Reports, AWS Budgets
Recurso: Asignación de costos, separación de facturación, y controles de presupuesto
Configuración: Gestión de costos configurada con límites de facturación separados, etiquetas de asignación de costos, y monitoreo de presupuesto por cuenta</t>
  </si>
  <si>
    <t>Implementación Apropiada de Arquitectura Multi-Cuenta Verificar que la arquitectura multi-cuenta apropiada esté implementada con separación clara de cargas de trabajo y límites organizacionales. Cumplimiento indica estructura de cuentas integral con cuentas separadas para diferentes cargas de trabajo, organización apropiada de OUs, y propósitos claros de cuentas. Incumplimiento evidenciado por uso de cuenta única, cargas de trabajo mixtas en la misma cuenta o límites de cuenta poco claros.
Controles Efectivos de Aislamiento de Cuentas y Seguridad Verificar que el aislamiento efectivo de cuentas esté implementado con límites de seguridad apropiados y controles de acceso. Cumplimiento indica aislamiento fuerte con políticas IAM apropiadas, gestión de roles entre cuentas, y aplicación de límites de seguridad. Incumplimiento evidenciado por aislamiento débil de cuentas, acceso excesivamente permisivo entre cuentas o límites de seguridad faltantes.
Segregación Clara de Cargas de Trabajo y Entornos Verificar que la segregación clara de cargas de trabajo y entornos esté establecida con separación apropiada de cuentas. Cumplimiento indica segregación apropiada con separación de cuentas desarrollo/staging/producción, cuentas específicas por carga de trabajo, y aislamiento de entornos. Incumplimiento evidenciado por entornos mixtos, cuentas compartidas de cargas de trabajo o segregación inadecuada.
Gestión Centralizada de Gobernanza y Políticas Verificar que la gobernanza centralizada esté implementada con políticas consistentes y gestión a través de cuentas. Cumplimiento indica gobernanza efectiva con políticas a nivel de organización, gestión centralizada, y configuraciones consistentes. Incumplimiento evidenciado por políticas inconsistentes, gestión descentralizada o controles de gobernanza faltantes.
Separación Apropiada de Asignación de Costos y Facturación Verificar que la asignación apropiada de costos y separación de facturación esté implementada para la gestión de costos de cargas de trabajo. Cumplimiento indica gestión efectiva de costos con límites de facturación separados, asignación apropiada de costos, y controles de presupuesto por carga de trabajo. Incumplimiento evidenciado por facturación mixta, asignación poco clara de costos o controles de presupuesto faltantes.</t>
  </si>
  <si>
    <t xml:space="preserve">AWS Organizations Structure
aws organizations describe-organization --query 'Organization.[Id,MasterAccountId,FeatureSet]'
aws organizations list-accounts --query 'Accounts[*].[Id,Name,Status,JoinedMethod]'
aws organizations list-organizational-units-for-parent --parent-id r-xxxx --query 'OrganizationalUnits[*].[Id,Name]'
Service Control Policies Evaluation
aws organizations list-policies --filter SERVICE_CONTROL_POLICY --query 'Policies[*].[Id,Name,Type]'
aws organizations describe-policy --policy-id p-xxxxxxxx --query 'Policy.[PolicySummary,Content]'
aws organizations list-targets-for-policy --policy-id p-xxxxxxxx --query 'Targets[*].[TargetId,Type]'
Control Tower Implementation
aws controltower list-enabled-controls --target-identifier arn:aws:organizations::123456789012:ou/o-example/ou-xxxxxxxx
aws controltower describe-control --control-identifier arn:aws:controltower:us-east-1::control/AWS-GR_ENCRYPTED_VOLUMES
aws servicecatalog list-portfolios --query 'PortfolioDetails[?contains(DisplayName, `Control Tower`)]'
Account Isolation Assessment
aws iam list-roles --query 'Roles[?contains(AssumeRolePolicyDocument, `arn:aws:iam::`)].RoleName'
aws sts get-caller-identity --query '[Account,UserId,Arn]'
aws ram get-resource-shares --resource-owner SELF --query 'ResourceShares[*].[Name,Status,ResourceShareArn]'
Cross-Account Access Validation
aws iam list-roles --query 'Roles[?contains(RoleName, `Cross`) || contains(RoleName, `Assume`)][RoleName,AssumeRolePolicyDocument]'
aws organizations list-delegated-administrators --query 'DelegatedAdministrators[*].[Id,ServicePrincipal,DelegationEnabledDate]'
aws cloudformation list-stack-sets --query 'Summaries[*].[StackSetName,Status,PermissionModel]'
Workload Classification Verification
aws resourcegroupstaggingapi get-resources --tag-filters Key=Environment,Values=Production,Development,Testing
aws resourcegroupstaggingapi get-resources --tag-filters Key=DataClassification,Values=Confidential,Internal,Public
aws config get-compliance-details-by-config-rule --config-rule-name account-separation-compliance --query 'EvaluationResults[*].[ComplianceType,ConfigRuleInvokedTime]'
</t>
  </si>
  <si>
    <r>
      <rPr>
        <b/>
        <sz val="11"/>
        <rFont val="Montserrat"/>
      </rPr>
      <t>SEC01-BP02</t>
    </r>
    <r>
      <rPr>
        <sz val="11"/>
        <rFont val="Montserrat"/>
      </rPr>
      <t xml:space="preserve"> Proteger el usuario raíz de la cuenta y sus propiedades</t>
    </r>
  </si>
  <si>
    <t>El usuario raíz es el usuario con más privilegios de una Cuenta de AWS. Tiene acceso administrativo completo a todos los recursos de la cuenta y, en algunos casos, no se puede limitar con políticas de seguridad. Deshabilitar el acceso programático al usuario raíz, establecer controles apropiados para este usuario y evitar su uso rutinario ayuda a reducir el riesgo de exposición inadvertida de las credenciales raíz y el consiguiente peligro que esto supone para el entorno de la nube.</t>
  </si>
  <si>
    <t>IAM Root User, MFA, CloudTrail.
Root User Account Properties
Servicio: AWS Account Management
Recurso: Credenciales de usuario raíz y propiedades de cuenta
Configuración: Usuario raíz configurado con dirección de correo corporativo, número de teléfono seguro, información de contacto precisa y gestión de contraseñas complejas
Multi-Factor Authentication (MFA)
Servicio: AWS IAM
Recurso: Dispositivos MFA y métodos de autenticación
Configuración: MFA habilitado para usuario raíz con dispositivos MFA de hardware preferidos sobre MFA virtual para cuentas de gestión
Root User Access Keys Management
Servicio: AWS IAM
Recurso: Credenciales de acceso programático
Configuración: No se crean access keys para usuario raíz, access keys existentes eliminadas y acceso programático deshabilitado
Root User Activity Monitoring
Servicio: Amazon CloudWatch y AWS CloudTrail
Recurso: Alarmas y registro para actividad de usuario raíz
Configuración: Alarmas de CloudWatch configuradas para detectar uso de API de usuario raíz y eventos de inicio de sesión en consola
Service Control Policies (SCPs) for Root User
Servicio: AWS Organizations
Recurso: Controles preventivos para usuarios raíz de cuentas miembro
Configuración: SCPs aplicadas para restringir acciones de usuario raíz en cuentas miembro usando guardrails de "Disallow Actions as a Root User"</t>
  </si>
  <si>
    <t>Auditar que el acceso programático al usuario raíz esté deshabilitado, se exija MFA y se evite su uso rutinario para reducir la exposición de credenciales.
Configuración de Cuenta de Usuario Raíz Verificar que el usuario raíz esté configurado con información de contacto apropiada y dirección de correo corporativo. Cumplimiento indica detalles de contacto precisos con correo de dominio corporativo y número de teléfono verificado. Incumplimiento evidenciado por direcciones de correo personales, información de contacto no verificada o propiedades de cuenta faltantes.
Implementación de Multi-Factor Authentication Verificar que MFA esté habilitado para usuario raíz con tipos de dispositivos apropiados. Cumplimiento indica configuración MFA activa con dispositivos de hardware para cuentas de gestión. Incumplimiento evidenciado por MFA deshabilitado, MFA virtual en cuentas de gestión o métodos de respaldo MFA faltantes.
Eliminación de Access Keys Verificar que no existan access keys para usuario raíz y que el acceso programático esté deshabilitado. Cumplimiento indica cero access keys activas para usuario raíz. Incumplimiento evidenciado por access keys existentes, uso programático reciente o creación de credenciales API.
Detección de Actividad de Usuario Raíz Verificar que existan alarmas y monitoreo para detectar actividad no autorizada de usuario raíz. Cumplimiento indica alarmas activas de CloudWatch para llamadas API de usuario raíz y acceso a consola. Incumplimiento evidenciado por alarmas faltantes, actividad de usuario raíz no monitoreada o falta de mecanismos de alerta.
Implementación de Controles Preventivos Verificar que las SCPs estén aplicadas para restringir acciones de usuario raíz en cuentas miembro. Cumplimiento indica políticas restrictivas que previenen operaciones de usuario raíz excepto en escenarios de emergencia. Incumplimiento evidenciado por políticas permisivas de usuario raíz o controles organizacionales faltantes.</t>
  </si>
  <si>
    <t xml:space="preserve">Root User Account Properties
aws iam get-account-summary --query 'SummaryMap.AccountMFAEnabled'
aws support describe-trusted-advisor-checks --language en --query 'Checks[?contains(Name, `Root`)]'
aws iam get-credential-report --query 'Content' | base64 -d | grep '&lt;root_account&gt;'
Multi-Factor Authentication Status
aws iam list-mfa-devices --query 'MFADevices[*].[UserName,SerialNumber,EnableDate]'
aws iam list-virtual-mfa-devices --query 'VirtualMFADevices[*].[SerialNumber,User.UserName]'
aws iam get-account-summary --query 'SummaryMap.AccountMFAEnabled'
Root User Access Keys Verification
aws iam list-access-keys --query 'AccessKeyMetadata[*].[UserName,AccessKeyId,Status,CreateDate]'
aws iam get-credential-report --query 'Content' | base64 -d | head -2
aws cloudtrail lookup-events --lookup-attributes AttributeKey=Username,AttributeValue=root --start-time 2024-01-01 --end-time 2024-12-31
Root User Activity Monitoring
aws cloudwatch describe-alarms --alarm-names root-user-activity-alarm --query 'MetricAlarms[*].[AlarmName,StateValue,ActionsEnabled]'
aws logs describe-metric-filters --log-group-name CloudTrail/RootUserActivity --query 'MetricFilters[*].[FilterName,FilterPattern]'
aws cloudtrail lookup-events --lookup-attributes AttributeKey=Username,AttributeValue=root --max-items 10
Service Control Policies for Root User
aws organizations list-policies --filter SERVICE_CONTROL_POLICY --query 'Policies[?contains(Name, `Root`) || contains(Name, `root`)]'
aws organizations describe-policy --policy-id p-xxxxxxxx --query 'Policy.Content' | jq '.Statement[] | select(.Effect == "Deny" and (.Condition.StringEquals."aws:PrincipalType" == "Root" or .Principal.AWS == "arn:aws:iam::*:root"))'
aws organizations list-targets-for-policy --policy-id p-xxxxxxxx --query 'Targets[*].[TargetId,Type]'
Root User Usage History Analysis
aws cloudtrail lookup-events --lookup-attributes AttributeKey=Username,AttributeValue=root --start-time $(date -d '30 days ago' -I) --query 'Events[*].[EventTime,EventName,SourceIPAddress]'
aws iam generate-credential-report
aws iam get-credential-report --query 'Content' | base64 -d | awk -F',' 'NR==1{for(i=1;i&lt;=NF;i++)if($i=="user")user_col=i;if($i=="password_last_used")pwd_col=i} NR&gt;1&amp;&amp;$user_col=="&lt;root_account&gt;"{print $pwd_col}'
</t>
  </si>
  <si>
    <r>
      <rPr>
        <b/>
        <sz val="11"/>
        <rFont val="Montserrat"/>
      </rPr>
      <t>SEC01-BP03</t>
    </r>
    <r>
      <rPr>
        <sz val="11"/>
        <rFont val="Montserrat"/>
      </rPr>
      <t xml:space="preserve"> Identificar y validar los objetivos de control</t>
    </r>
  </si>
  <si>
    <t>En función de sus requisitos de cumplimiento y los riesgos identificados a partir de su modelo de amenazas, extraiga y valide los objetivos de control y los controles que tiene que aplicar a su carga de trabajo. La validación continua tanto de los objetivos de control como de los controles le ayuda a medir la efectividad de la mitigación de riesgos.</t>
  </si>
  <si>
    <t>AWS Artifact, AWS Audit Manager.
Cybersecurity Frameworks Alignment
Servicio: Gestión de cumplimiento y gobernanza
Recurso: Documentación de frameworks y mapeos de controles
Configuración: Objetivos de control alineados con frameworks de ciberseguridad como NIST SP 800-53, ISO 27001, PCI-DSS, SOC 2, HITRUST basado en requisitos de negocio
AWS Artifact Documentation
Servicio: AWS Artifact
Recurso: Reportes de cumplimiento y certificaciones
Configuración: Documentación de cumplimiento relevante descargada y revisada para entender el modelo de responsabilidad compartida y la postura de cumplimiento de AWS
Service Control Policies (SCPs)
Servicio: AWS Organizations
Recurso: Controles preventivos y aplicación de políticas
Configuración: SCPs configuradas para prevenir configuraciones de recursos no conformes y acciones alineadas con objetivos de control
AWS Security Hub Standards
Servicio: AWS Security Hub
Recurso: Estándares de seguridad y verificaciones de cumplimiento
Configuración: Estándares de Security Hub habilitados para frameworks como AWS Foundational Security Standard, CIS AWS Foundations Benchmark, PCI DSS
AWS Config Conformance Packs
Servicio: AWS Config
Recurso: Reglas de cumplimiento y evaluaciones automatizadas
Configuración: Paquetes de conformidad de Config desplegados para automatizar la verificación de cumplimiento alineada con frameworks de ciberseguridad seleccionados</t>
  </si>
  <si>
    <t>Revisar la documentación de cumplimiento y validar continuamente que los controles implementados mitigan los riesgos según el modelo de amenazas.
Selección y Alineación de Framework Verificar que los objetivos de control estén alineados con frameworks de ciberseguridad apropiados basado en requisitos de negocio y regulatorios. Cumplimiento indica selección de framework documentada con mapeos claros de objetivos de control. Incumplimiento evidenciado por frameworks indefinidos, controles desalineados o falta de objetivos de control documentados.
Comprensión de Responsabilidad Compartida Verificar que la organización entienda el modelo de responsabilidad compartida de AWS para frameworks de cumplimiento seleccionados. Cumplimiento indica comprensión documentada de responsabilidades de AWS versus responsabilidades del cliente. Incumplimiento evidenciado por confusión sobre límites de cumplimiento o revisión faltante de documentación de AWS Artifact.
Implementación de Controles Preventivos Verificar que las SCPs y políticas de recursos estén configuradas para prevenir configuraciones no conformes. Cumplimiento indica políticas restrictivas alineadas con objetivos de control. Incumplimiento evidenciado por políticas permisivas, controles preventivos faltantes o capacidad de creación de recursos no conformes.
Despliegue de Estándares de Security Hub Verificar que los estándares apropiados de Security Hub estén habilitados y monitoreados para validación de cumplimiento. Cumplimiento indica estándares activos con verificación regular de cumplimiento. Incumplimiento evidenciado por estándares deshabilitados, estado de cumplimiento no monitoreado o remediación faltante de hallazgos de seguridad.
Validación de Config Conformance Packs Verificar que los paquetes de conformidad de Config estén desplegados y proporcionando evaluación automatizada de cumplimiento. Cumplimiento indica paquetes de conformidad activos con resultados de evaluación regulares. Incumplimiento evidenciado por paquetes de conformidad faltantes, evaluaciones fallidas o falta de acciones de remediación.</t>
  </si>
  <si>
    <t xml:space="preserve">Cybersecurity Framework Documentation
aws s3api list-objects-v2 --bucket compliance-documentation --prefix frameworks/ --query 'Contents[*].[Key,LastModified]'
aws ssm get-parameters-by-path --path "/compliance/frameworks" --query 'Parameters[*].[Name,Value]'
aws organizations describe-organization --query 'Organization.FeatureSet'
AWS Artifact Access Verification
aws artifact list-reports --query 'Reports[*].[ReportId,Name,State,CreatedAt]'
aws artifact get-report --report-id report-xxxxxxxx --query 'DocumentPresignedUrl'
aws support describe-trusted-advisor-checks --language en --query 'Checks[?contains(Name, `Security`) || contains(Name, `Compliance`)]'
Service Control Policies Assessment
aws organizations list-policies --filter SERVICE_CONTROL_POLICY --query 'Policies[*].[Id,Name,Description]'
aws organizations describe-policy --policy-id p-xxxxxxxx --query 'Policy.[PolicySummary,Content]'
aws organizations list-targets-for-policy --policy-id p-xxxxxxxx --query 'Targets[*].[TargetId,Type]'
Security Hub Standards Evaluation
aws securityhub get-enabled-standards --query 'StandardsSubscriptions[*].[StandardsArn,StandardsStatus]'
aws securityhub describe-standards --query 'Standards[*].[StandardsArn,Name,Description]'
aws securityhub get-findings --filters '{"ComplianceStatus":[{"Value":"FAILED","Comparison":"EQUALS"}]}' --query 'Findings[*].[Id,Title,ComplianceStatus]'
Config Conformance Packs Validation
aws configservice describe-conformance-packs --query 'ConformancePackDetails[*].[ConformancePackName,ConformancePackArn,DeliveryS3Bucket]'
aws configservice get-conformance-pack-compliance-summary --conformance-pack-name security-best-practices --query 'ConformancePackComplianceSummary'
aws configservice describe-conformance-pack-status --query 'ConformancePackStatusDetails[*].[ConformancePackName,ConformancePackState,LastUpdateRequestedTime]'
Control Objectives Validation
aws config describe-config-rules --query 'ConfigRules[?contains(ConfigRuleName, `compliance`) || contains(ConfigRuleName, `security`)][ConfigRuleName,ConfigRuleState]'
aws config get-compliance-summary-by-config-rule --query 'ComplianceSummary.[ComplianceType,CappedCount]'
aws logs describe-metric-filters --log-group-name compliance-monitoring --query 'MetricFilters[*].[FilterName,FilterPattern,MetricTransformations]'
</t>
  </si>
  <si>
    <r>
      <rPr>
        <b/>
        <sz val="11"/>
        <color rgb="FF000000"/>
        <rFont val="Montserrat"/>
      </rPr>
      <t>SEC01-BP04</t>
    </r>
    <r>
      <rPr>
        <sz val="11"/>
        <color rgb="FF000000"/>
        <rFont val="Montserrat"/>
      </rPr>
      <t xml:space="preserve"> Manténgase actualizado con las amenazas y recomendaciones de seguridad </t>
    </r>
  </si>
  <si>
    <t>Para mantenerse al día de las amenazas y mitigaciones más recientes, supervise las publicaciones de inteligencia sobre amenazas del sector y analice las fuentes de datos en busca de actualizaciones. Evalúe las ofertas de servicios administrados que se actualizan automáticamente en función de los datos de amenazas más recientes.</t>
  </si>
  <si>
    <t>AWS Security Hub, Amazon GuardDuty, Puntuación de Seguridad.
Threat Intelligence Subscriptions
Servicio: Feeds externos de inteligencia de amenazas y AWS Security Bulletins
Recurso: Gestión de suscripciones y sistemas de notificación
Configuración: Suscripciones activas para publicaciones de inteligencia de amenazas relevantes para la industria, AWS Security Bulletins, feeds CVE, actualizaciones MITRE ATT&amp;CK y notificaciones OWASP Top 10
Amazon GuardDuty
Servicio: Amazon GuardDuty
Recurso: Detección de amenazas e integración de inteligencia
Configuración: GuardDuty habilitado con actualizaciones automáticas de inteligencia de amenazas, protección contra malware, e integración con feeds de inteligencia de amenazas
Amazon Inspector
Servicio: Amazon Inspector
Recurso: Evaluación de vulnerabilidades y análisis de composición de software
Configuración: Inspector habilitado para instancias EC2, imágenes de contenedores, y funciones Lambda con actualizaciones automáticas de base de datos de vulnerabilidades
AWS Security Hub
Servicio: AWS Security Hub
Recurso: Hallazgos de seguridad centralizados e inteligencia de amenazas
Configuración: Security Hub habilitado con integraciones de inteligencia de amenazas y correlación automatizada de hallazgos
Fleet Management and Patching
Servicio: AWS Systems Manager Patch Manager
Recurso: Parcheo automatizado y remediación de vulnerabilidades
Configuración: Patch Manager configurado con horarios de parcheo automatizado, ventanas de mantenimiento, y prioridades de parcheo basadas en vulnerabilidades</t>
  </si>
  <si>
    <t>1. Revisión de Puntaje: Validar en AWS Security Hub el "Security Score" de estándares como AWS Foundational Security Best Practices. Si el puntaje no es muy bueno (&lt; 80%), levantar hallazgo crítico.
2. Gestión de Reportes: Auditar que las alertas de GuardDuty y Security Hub estén siendo gestionadas (no ignoradas) y que los reportes de remediación de AWS se encuentren actualizados por el equipo de seguridad.
Gestión de Fuentes de Inteligencia de Amenazas Verificar que la organización esté suscrita a fuentes relevantes de inteligencia de amenazas y comunicaciones de seguridad de AWS. Cumplimiento indica suscripciones activas con procesos de revisión documentados. Incumplimiento evidenciado por suscripciones faltantes, inteligencia de amenazas desactualizada o falta de consumo sistemático de información de amenazas.
Servicios Automatizados de Detección de Amenazas Verificar que los servicios de detección de amenazas de AWS estén habilitados y configurados para actualizaciones automáticas de inteligencia de amenazas. Cumplimiento indica GuardDuty, Inspector, y Security Hub activos con inteligencia de amenazas actual. Incumplimiento evidenciado por servicios deshabilitados, bases de datos de amenazas desactualizadas o capacidades de detección de amenazas faltantes.
Proceso de Gestión de Vulnerabilidades Verificar que existe un proceso sistemático para identificar, evaluar, y remediar vulnerabilidades de seguridad. Cumplimiento indica escaneo automatizado de vulnerabilidades con remediación oportuna. Incumplimiento evidenciado por seguimiento manual de vulnerabilidades, parcheo retrasado o herramientas de evaluación de vulnerabilidades faltantes.
Distribución de Información de Seguridad Verificar que la información de amenazas de seguridad esté efectivamente distribuida a través de la organización. Cumplimiento indica procesos de comunicación documentados con notificación a partes interesadas. Incumplimiento evidenciado por inteligencia de amenazas aislada, canales de comunicación faltantes o equipos de seguridad desinformados.
Integración de Inteligencia de Amenazas Verificar que la inteligencia de amenazas esté integrada en los controles de seguridad y procesos de toma de decisiones. Cumplimiento indica consumo automatizado de inteligencia de amenazas con actualizaciones de controles. Incumplimiento evidenciado por procesamiento manual de inteligencia de amenazas, controles de seguridad desconectados o falta de decisiones de seguridad informadas por amenazas.</t>
  </si>
  <si>
    <t>Threat Intelligence Subscriptions Verification
aws sns list-subscriptions --query 'Subscriptions[?contains(TopicArn, `security`) || contains(TopicArn, `threat`)]'
aws ssm get-parameters-by-path --path "/security/threat-intelligence" --query 'Parameters[*].[Name,Value,LastModifiedDate]'
aws events list-rules --query 'Rules[?contains(Name, `security`) || contains(Name, `threat`)][Name,State,ScheduleExpression]'
Amazon GuardDuty Configuration
aws guardduty list-detectors --query 'DetectorIds'
aws guardduty get-detector --detector-id &lt;detector-id&gt; --query '[Status,ServiceRole,FindingPublishingFrequency]'
aws guardduty list-threat-intel-sets --detector-id &lt;detector-id&gt; --query 'ThreatIntelSetIds'
Amazon Inspector Assessment
aws inspector2 list-findings --query 'Findings[*].[FindingArn,Type,Severity,Status]'
aws inspector2 describe-organization-configuration --query '[AutoEnable,MaxAccountLimitReached]'
aws inspector2 list-coverage --query 'CoveredResources[*].[ResourceId,ResourceType,ScanStatus]'
AWS Security Hub Status
aws securityhub get-enabled-standards --query 'StandardsSubscriptions[*].[StandardsArn,StandardsStatus]'
aws securityhub get-findings --filters '{"SeverityLabel":[{"Value":"HIGH","Comparison":"EQUALS"},{"Value":"CRITICAL","Comparison":"EQUALS"}]}' --query 'Findings[*].[Id,Title,Severity]'
aws securityhub describe-hub --query '[HubArn,SubscribedAt,AutoEnableControls]'
Patch Management Verification
aws ssm describe-patch-baselines --query 'BaselineIdentities[*].[BaselineId,BaselineName,DefaultBaseline]'
aws ssm describe-instance-patch-states --query 'InstancePatchStates[*].[InstanceId,PatchGroup,InstalledCount,MissingCount]'
aws ssm describe-maintenance-windows --query 'WindowIdentities[*].[WindowId,Name,Enabled,NextExecutionTime]'
Vulnerability Assessment Status
aws inspector2 list-findings --filter-criteria '{"severity":[{"comparison":"EQUALS","value":"HIGH"}]}' --query 'Findings[*].[FindingArn,Severity,Status,FirstObservedAt]'
aws ssm describe-instance-information --query 'InstanceInformationList[*].[InstanceId,PlatformType,PlatformVersion,LastPingDateTime]'
aws config get-compliance-summary-by-config-rule --query 'ComplianceSummary.[ComplianceType,CappedCount]'</t>
  </si>
  <si>
    <r>
      <rPr>
        <b/>
        <sz val="11"/>
        <color rgb="FF000000"/>
        <rFont val="Montserrat"/>
      </rPr>
      <t>SEC01-BP05</t>
    </r>
    <r>
      <rPr>
        <sz val="11"/>
        <color rgb="FF000000"/>
        <rFont val="Montserrat"/>
      </rPr>
      <t xml:space="preserve"> Reducir el alcance de la gestión de la seguridad</t>
    </r>
  </si>
  <si>
    <t>Determine si puede reducir su alcance de seguridad mediante el uso de servicios de AWS que transfieran la administración de ciertos controles a AWS (servicios administrados). Estos servicios pueden ayudar a reducir las tareas de mantenimiento de la seguridad, como el aprovisionamiento de infraestructuras, la configuración del software, la aplicación de parches o las copias de seguridad.</t>
  </si>
  <si>
    <t>Servicios Administrados (Amazon RDS, Fargate, etc).
AWS Managed Services Adoption
Servicio: Portafolio de servicios administrados de AWS
Recurso: Implementaciones y configuraciones de servicios administrados
Configuración: Amazon RDS para bases de datos, Amazon EKS/ECS para orquestación de contenedores, AWS Lambda para computación serverless, Amazon S3 para gestión de almacenamiento
Shared Responsibility Model Optimization
Servicio: Selección de servicios AWS y diseño de arquitectura
Recurso: Límites de responsabilidad de servicios y mapeos de cumplimiento
Configuración: Servicios seleccionados para minimizar responsabilidades de seguridad del lado del cliente mientras se mantiene la funcionalidad requerida y el cumplimiento
Infrastructure as Code (IaC) Implementation
Servicio: AWS CloudFormation, AWS CDK, Terraform
Recurso: Aprovisionamiento y gestión automatizada de infraestructura
Configuración: Plantillas IaC configuradas para estandarizar despliegues y reducir la gestión manual de configuración de seguridad
Serverless Architecture Components
Servicio: AWS Lambda, Amazon API Gateway, Amazon DynamoDB
Recurso: Computación serverless y servicios de datos
Configuración: Arquitecturas serverless implementadas para eliminar la sobrecarga de gestión de infraestructura y reducir la superficie de ataque de seguridad
Managed Security Services Integration
Servicio: AWS Security Hub, Amazon GuardDuty, AWS WAF
Recurso: Gestión centralizada de seguridad y detección automatizada de amenazas
Configuración: Servicios de seguridad administrados configurados para automatizar el monitoreo de seguridad, verificación de cumplimiento, y respuesta a amenazas</t>
  </si>
  <si>
    <t xml:space="preserve">Evaluar la adopción de servicios administrados de AWS que asuman la responsabilidad del aprovisionamiento, parcheo o copias de seguridad de la infraestructura subyacente.
Evaluación de Utilización de Servicios Administrados Verificar que las cargas de trabajo estén aprovechando servicios administrados apropiados de AWS para reducir la carga operacional de seguridad. Cumplimiento indica alta adopción de servicios administrados con justificación documentada. Incumplimiento evidenciado por infraestructura auto-administrada excesiva, operaciones de seguridad manuales o subutilización de servicios administrados disponibles.
Análisis de Límites de Responsabilidad Compartida Verificar que la organización entienda y optimice los límites de responsabilidad compartida para minimizar las responsabilidades de seguridad del cliente. Cumplimiento indica documentación clara de límites de responsabilidad con selección de servicios alineada para reducir la carga del cliente. Incumplimiento evidenciado por límites de responsabilidad poco claros, selección subóptima de servicios o gestión excesiva de seguridad del lado del cliente.
Implementación de Automatización de Infraestructura Verificar que el aprovisionamiento de infraestructura y la configuración de seguridad estén automatizados mediante IaC y servicios administrados. Cumplimiento indica alto grado de automatización con plantillas estandarizadas. Incumplimiento evidenciado por gestión manual de infraestructura, configuraciones inconsistentes o falta de herramientas de automatización.
Adopción de Arquitectura Serverless Verificar que los componentes apropiados de cargas de trabajo estén implementados usando arquitecturas serverless para eliminar la gestión de infraestructura. Cumplimiento indica adopción estratégica de serverless con sobrecarga operacional reducida. Incumplimiento evidenciado por gestión innecesaria de infraestructura, escalado manual o oportunidades serverless perdidas.
Consolidación de Gestión de Seguridad Verificar que las funciones de gestión de seguridad estén consolidadas usando servicios de seguridad administrados. Cumplimiento indica gestión centralizada de seguridad con operaciones automatizadas. Incumplimiento evidenciado por herramientas de seguridad fragmentadas, procesos de seguridad manuales o múltiples soluciones de seguridad dispares.
</t>
  </si>
  <si>
    <t xml:space="preserve">AWS Managed Services Inventory
aws rds describe-db-instances --query 'DBInstances[*].[DBInstanceIdentifier,Engine,DBInstanceClass,MultiAZ]'
aws eks list-clusters --query 'Clusters'
aws ecs list-clusters --query 'ClusterArns'
aws lambda list-functions --query 'Functions[*].[FunctionName,Runtime,LastModified]'
Serverless Architecture Assessment
aws lambda list-functions --query 'Functions[*].[FunctionName,Runtime,CodeSize,LastModified]'
aws apigateway get-rest-apis --query 'Items[*].[Id,Name,CreatedDate]'
aws dynamodb list-tables --query 'TableNames'
aws s3api list-buckets --query 'Buckets[*].[Name,CreationDate]'
Infrastructure as Code Utilization
aws cloudformation list-stacks --stack-status-filter CREATE_COMPLETE UPDATE_COMPLETE --query 'StackSummaries[*].[StackName,StackStatus,CreationTime]'
aws cloudformation describe-stacks --query 'Stacks[*].[StackName,StackStatus,Tags]'
aws servicecatalog list-portfolios --query 'PortfolioDetails[*].[Id,DisplayName,CreatedTime]'
Managed Security Services Configuration
aws securityhub get-enabled-standards --query 'StandardsSubscriptions[*].[StandardsArn,StandardsStatus]'
aws guardduty list-detectors --query 'DetectorIds'
aws wafv2 list-web-acls --scope CLOUDFRONT --query 'WebACLs[*].[Name,Id,ARN]'
aws config describe-configuration-recorders --query 'ConfigurationRecorders[*].[Name,RecordingGroup]'
Service Responsibility Analysis
aws iam list-roles --query 'Roles[?contains(RoleName, `service-role`) || contains(RoleName, `aws-service`)][RoleName,CreateDate]'
aws organizations list-accounts --query 'Accounts[*].[Id,Name,Status]'
aws support describe-trusted-advisor-checks --language en --query 'Checks[?contains(Name, `Security`) || contains(Name, `Cost`)][Name,Category]'
Resource Management Automation
aws ssm describe-automation-executions --query 'AutomationExecutions[*].[AutomationExecutionId,DocumentName,AutomationExecutionStatus]'
aws events list-rules --query 'Rules[?contains(Name, `automation`) || contains(Name, `managed`)][Name,State,ScheduleExpression]'
aws cloudwatch describe-alarms --query 'MetricAlarms[?contains(AlarmName, `managed`) || contains(AlarmName, `automated`)][AlarmName,StateValue]'
</t>
  </si>
  <si>
    <r>
      <rPr>
        <b/>
        <sz val="11"/>
        <color rgb="FF000000"/>
        <rFont val="Montserrat"/>
      </rPr>
      <t xml:space="preserve">SEC01-BP06 </t>
    </r>
    <r>
      <rPr>
        <sz val="11"/>
        <color rgb="FF000000"/>
        <rFont val="Montserrat"/>
      </rPr>
      <t>Automatizar la implementación de controles de seguridad estándar</t>
    </r>
  </si>
  <si>
    <t>Aplique prácticas modernas de DevOps a medida que desarrolle e implemente controles de seguridad estándar en todos sus entornos de AWS.  Defina controles y configuraciones de seguridad estándar mediante plantillas de infraestructura como código (IaC), registre los cambios en un sistema de control de versiones, pruebe los cambios como parte de una canalización de CI/CD y automatice la implementación de los cambios en sus entornos de AWS.</t>
  </si>
  <si>
    <t>AWS CloudFormation, AWS CodePipeline.
Infrastructure as Code (IaC) Templates
Servicio: AWS CloudFormation, AWS CDK, Terraform
Recurso: Plantillas de controles de seguridad y configuraciones estandarizadas
Configuración: Plantillas IaC definidas para controles de seguridad estándar con integración de control de versiones y capacidades de pruebas automatizadas
CI/CD Pipeline Security Integration
Servicio: AWS CodePipeline, AWS CodeBuild, AWS CodeDeploy
Recurso: Pruebas de seguridad automatizadas y pipelines de despliegue
Configuración: Pipelines CI/CD configurados con escaneo de seguridad, validación de cumplimiento, y despliegue automatizado de controles de seguridad
AWS Service Catalog Implementation
Servicio: AWS Service Catalog
Recurso: Despliegue de controles de seguridad de autoservicio
Configuración: Portafolios de Service Catalog configurados con plantillas de seguridad pre-aprobadas y configuraciones de servicios estandarizadas para equipos de cargas de trabajo
AWS CloudFormation Guard Integration
Servicio: AWS CloudFormation Guard
Recurso: Validación de políticas como código y verificación de cumplimiento
Configuración: Reglas de CloudFormation Guard implementadas para validar configuraciones de seguridad y prevenir configuraciones erróneas antes del despliegue
Version Control and Change Management
Servicio: AWS CodeCommit, GitHub, GitLab
Recurso: Gestión de código fuente y seguimiento de cambios
Configuración: Sistemas de control de versiones configurados para rastrear cambios de controles de seguridad con protección de ramas, procesos de revisión de código, y pistas de auditoría</t>
  </si>
  <si>
    <t>Verificar el uso de Infraestructura como Código (IaC), sistemas de control de versiones y canalizaciones CI/CD para implementar controles de seguridad en los entornos.
Estandarización de Controles de Seguridad IaC Verificar que los controles de seguridad estén definidos usando plantillas IaC con configuraciones estandarizadas a través de entornos. Cumplimiento indica cobertura integral de IaC con estándares de seguridad documentados. Incumplimiento evidenciado por configuraciones de seguridad manuales, despliegues inconsistentes o plantillas IaC faltantes para controles de seguridad.
Implementación de Automatización de Seguridad CI/CD Verificar que los pipelines CI/CD incluyan pruebas de seguridad automatizadas y validación antes del despliegue. Cumplimiento indica escaneo de seguridad integrado con capacidades de remediación automatizada. Incumplimiento evidenciado por pruebas de seguridad manuales, verificaciones de seguridad faltantes en pipeline o falta de validación de seguridad automatizada.
Acceso de Autoservicio a Controles de Seguridad Verificar que los equipos de cargas de trabajo tengan acceso a configuraciones de seguridad pre-aprobadas mediante mecanismos de autoservicio. Cumplimiento indica implementación de Service Catalog con plantillas de seguridad estandarizadas. Incumplimiento evidenciado por solicitudes manuales de controles de seguridad, implementaciones inconsistentes o falta de capacidades de autoservicio.
Validación de Configuración de Seguridad Verificar que las configuraciones de seguridad sean validadas automáticamente antes del despliegue usando herramientas de políticas como código. Cumplimiento indica validación automatizada con prevención de configuraciones erróneas. Incumplimiento evidenciado por verificaciones de validación faltantes, revisiones manuales de configuración o despliegue de configuraciones no conformes.
Gestión de Cambios y Pista de Auditoría Verificar que los cambios de controles de seguridad estén rastreados y auditados mediante sistemas de control de versiones. Cumplimiento indica seguimiento integral de cambios con flujos de trabajo de aprobación. Incumplimiento evidenciado por cambios no rastreados, pistas de auditoría faltantes o falta de procesos de aprobación de cambios.</t>
  </si>
  <si>
    <t xml:space="preserve">Infrastructure as Code Templates Assessment
aws cloudformation list-stacks --stack-status-filter CREATE_COMPLETE UPDATE_COMPLETE --query 'StackSummaries[*].[StackName,StackStatus,CreationTime]'
aws cloudformation describe-stacks --query 'Stacks[*].[StackName,Tags,Parameters]'
aws cloudformation list-stack-sets --query 'Summaries[*].[StackSetName,Status,PermissionModel]'
CI/CD Pipeline Security Integration
aws codepipeline list-pipelines --query 'Pipelines[*].[Name,Created,Updated]'
aws codebuild list-projects --query 'Projects'
aws codebuild batch-get-projects --names security-validation-project --query 'Projects[*].[Name,Source,Artifacts]'
Service Catalog Security Templates
aws servicecatalog list-portfolios --query 'PortfolioDetails[*].[Id,DisplayName,CreatedTime]'
aws servicecatalog search-products --query 'ProductViewSummaries[*].[ProductId,Name,Type]'
aws servicecatalog list-provisioned-products --query 'ProvisionedProducts[*].[Name,Type,Status,CreatedTime]'
CloudFormation Guard Validation
aws logs describe-log-groups --log-group-name-prefix cfn-guard --query 'LogGroups[*].[LogGroupName,CreationTime]'
aws events list-rules --query 'Rules[?contains(Name, `cfn-guard`) || contains(Name, `security-validation`)][Name,State]'
aws lambda list-functions --query 'Functions[?contains(FunctionName, `guard`) || contains(FunctionName, `validation`)][FunctionName,Runtime]'
Version Control Integration
aws codecommit list-repositories --query 'Repositories[*].[RepositoryName,RepositoryId,LastModifiedDate]'
aws codestar-connections list-connections --query 'Connections[*].[ConnectionName,ConnectionStatus,ProviderType]'
aws events list-rules --query 'Rules[?contains(Name, `codecommit`) || contains(Name, `git`)][Name,State,EventPattern]'
Security Control Deployment Tracking
aws cloudtrail lookup-events --lookup-attributes AttributeKey=EventName,AttributeValue=CreateStack --start-time $(date -d '30 days ago' -I) --query 'Events[*].[EventTime,EventName,Username]'
aws config describe-config-rules --query 'ConfigRules[?contains(ConfigRuleName, `cloudformation`) || contains(ConfigRuleName, `security`)][ConfigRuleName,ConfigRuleState]'
aws ssm describe-parameters --parameter-filters Key=Name,Values=security --query 'Parameters[*].[Name,LastModifiedDate,Version]'
</t>
  </si>
  <si>
    <r>
      <rPr>
        <b/>
        <sz val="11"/>
        <rFont val="Montserrat"/>
      </rPr>
      <t>SEC01-BP07</t>
    </r>
    <r>
      <rPr>
        <sz val="11"/>
        <rFont val="Montserrat"/>
      </rPr>
      <t xml:space="preserve"> Identify threats and prioritize mitigations using a threat model</t>
    </r>
  </si>
  <si>
    <t>Utilice el modelado de amenazas para identificar y mantener un registro actualizado de las amenazas potenciales y las mitigaciones asociadas para la carga de trabajo. Priorice sus amenazas y adapte sus mitigaciones de controles de seguridad para evitarlas, detectarlas y responder a ellas. Revisite y mantenga todo esto en el contexto de la carga de trabajo y de la evolución del panorama de seguridad.</t>
  </si>
  <si>
    <t>Amazon GuardDuty, AWS Security Hub.
AWS Security Hub Findings and Standards
Servicio: AWS Security Hub
Recurso: Hallazgos de seguridad, estándares de cumplimiento, y resultados de detección de amenazas
Configuración: Security Hub habilitado con múltiples estándares de seguridad activados indicando identificación sistemática de amenazas y monitoreo de cumplimiento
Amazon GuardDuty Threat Detection
Servicio: Amazon GuardDuty
Recurso: Feeds de inteligencia de amenazas, detección de malware, y análisis de comportamiento
Configuración: GuardDuty habilitado con conjuntos de inteligencia de amenazas y protección contra malware indicando capacidades activas de identificación de amenazas
AWS Config Security Rules
Servicio: AWS Config
Recurso: Reglas de cumplimiento de seguridad y monitoreo de configuración de recursos
Configuración: Reglas de Config desplegadas para monitoreo de cumplimiento de seguridad indicando evaluación sistemática de configuraciones de seguridad y vectores de amenazas
AWS CloudTrail Logging and Monitoring
Servicio: AWS CloudTrail
Recurso: Registro de actividad de API y seguimiento de eventos de seguridad
Configuración: CloudTrail habilitado con registro integral indicando capacidad para identificar y analizar eventos de seguridad y amenazas potenciales
AWS WAF and Shield Protection
Servicio: AWS WAF, AWS Shield
Recurso: Reglas de firewall de aplicaciones web y protección DDoS
Configuración: Reglas WAF configuradas y Shield habilitado indicando mitigación proactiva de amenazas para ataques basados en web</t>
  </si>
  <si>
    <t xml:space="preserve">Revisar el registro actualizado de amenazas y comprobar que las mitigaciones de seguridad estén priorizadas para evitar, detectar y responder a dichos riesgos.
Cobertura de Servicios de Detección de Amenazas Verificar que los servicios integrales de detección de amenazas estén habilitados y configurados para identificar amenazas de seguridad. Cumplimiento indica múltiples servicios de seguridad activos con capacidades actuales de detección de amenazas. Incumplimiento evidenciado por servicios de detección de amenazas deshabilitados, monitoreo de seguridad faltante o cobertura limitada de identificación de amenazas.
Monitoreo de Estándares de Seguridad y Cumplimiento Verificar que los estándares de seguridad estén implementados para evaluación sistemática de amenazas y validación de cumplimiento. Cumplimiento indica estándares de seguridad activos con verificación regular de cumplimiento. Incumplimiento evidenciado por estándares de seguridad faltantes, monitoreo de cumplimiento deshabilitado o marcos limitados de evaluación de amenazas.
Validación de Configuración de Seguridad Verificar que las configuraciones de seguridad estén monitoreadas para identificar configuraciones erróneas que podrían crear vectores de amenazas. Cumplimiento indica reglas activas de Config monitoreando configuraciones de seguridad. Incumplimiento evidenciado por reglas de seguridad de Config faltantes, configuraciones no monitoreadas o falta de validación sistemática de seguridad.
Registro y Análisis de Eventos de Seguridad Verificar que el registro integral esté habilitado para apoyar el análisis de amenazas y la respuesta a incidentes. Cumplimiento indica registro activo de CloudTrail con monitoreo de eventos de seguridad. Incumplimiento evidenciado por registro deshabilitado, pistas de auditoría incompletas o seguimiento faltante de eventos de seguridad.
Controles Proactivos de Mitigación de Amenazas Verificar que los controles de seguridad proactivos estén implementados para mitigar amenazas identificadas. Cumplimiento indica reglas WAF activas y protección Shield. Incumplimiento evidenciado por controles protectivos faltantes, recursos desprotegidos o falta de mitigación proactiva de amenazas.
</t>
  </si>
  <si>
    <t xml:space="preserve">Security Hub Threat Detection Status
aws securityhub get-enabled-standards --query 'StandardsSubscriptions[*].[StandardsArn,StandardsStatus]'
aws securityhub get-findings --filters '{"SeverityLabel":[{"Value":"HIGH","Comparison":"EQUALS"},{"Value":"CRITICAL","Comparison":"EQUALS"}]}' --query 'Findings[*].[Id,Title,Severity.Label]'
aws securityhub describe-hub --query '[HubArn,SubscribedAt,AutoEnableControls]'
GuardDuty Threat Intelligence Configuration
aws guardduty list-detectors --query 'DetectorIds'
aws guardduty get-detector --detector-id &lt;detector-id&gt; --query '[Status,ServiceRole,FindingPublishingFrequency,Features]'
aws guardduty list-findings --detector-id &lt;detector-id&gt; --query 'FindingIds'
aws guardduty list-threat-intel-sets --detector-id &lt;detector-id&gt; --query 'ThreatIntelSetIds'
Config Security Rules Assessment
aws configservice describe-config-rules --query 'ConfigRules[?contains(Source.SourceIdentifier, `SECURITY`) || contains(ConfigRuleName, `security`)][ConfigRuleName,ConfigRuleState]'
aws configservice get-compliance-summary-by-config-rule --query 'ComplianceSummary'
aws configservice describe-conformance-packs --query 'ConformancePackDetails[*].[ConformancePackName,ConformancePackArn]'
CloudTrail Security Logging Verification
aws cloudtrail describe-trails --query 'TrailList[*].[Name,S3BucketName,IncludeGlobalServiceEvents,IsMultiRegionTrail,LogFileValidationEnabled]'
aws cloudtrail get-trail-status --name &lt;trail-name&gt; --query '[IsLogging,LatestDeliveryTime,StartLoggingTime]'
aws cloudtrail lookup-events --lookup-attributes AttributeKey=EventName,AttributeValue=AssumeRole --max-items 10 --query 'Events[*].[EventTime,EventName,Username]'
WAF and Shield Protection Status
aws wafv2 list-web-acls --scope CLOUDFRONT --query 'WebACLs[*].[Name,Id,ARN]'
aws wafv2 list-web-acls --scope REGIONAL --query 'WebACLs[*].[Name,Id,ARN]'
aws shield describe-subscription --query '[Subscription.StartTime,Subscription.AutoRenew]'
aws shield list-protections --query 'Protections[*].[Id,Name,ResourceArn]'
Additional Security Service Coverage
aws inspector2 list-findings --query 'Findings[*].[FindingArn,Type,Severity,Status]'
aws macie2 get-macie-session --query '[Status,ServiceRole,CreatedAt]'
aws accessanalyzer list-analyzers --query 'Analyzers[*].[Name,Status,Type,CreatedAt]'
aws vpc-lattice list-service-networks --query 'Items[*].[Id,Name,AuthType]'
Security Monitoring Integration
aws cloudwatch describe-alarms --query 'MetricAlarms[?contains(AlarmName, `Security`) || contains(AlarmName, `GuardDuty`)][AlarmName,StateValue,ActionsEnabled]'
aws sns list-topics --query 'Topics[*].TopicArn'
aws events list-rules --query 'Rules[?contains(Name, `security`) || contains(Name, `guardduty`)][Name,State,EventPattern]'
</t>
  </si>
  <si>
    <r>
      <rPr>
        <b/>
        <sz val="11"/>
        <rFont val="Montserrat"/>
      </rPr>
      <t>SEC01-BP08</t>
    </r>
    <r>
      <rPr>
        <sz val="11"/>
        <rFont val="Montserrat"/>
      </rPr>
      <t xml:space="preserve"> Evaluar e implementar nuevos servicios y características de seguridad periódicamente</t>
    </r>
  </si>
  <si>
    <t xml:space="preserve">Evalúe e implemente servicios y características de seguridad de AWS y socios de AWS que le ayuden a desarrollar la postura de seguridad de su carga de trabajo. </t>
  </si>
  <si>
    <t>AWS Trusted Advisor, AWS Security Hub.
AWS Security Services Adoption
Servicio: AWS Security Hub, Amazon GuardDuty, Amazon Inspector
Recurso: Habilitación de servicios de seguridad y estado de configuración
Configuración: Servicios de seguridad habilitados con fechas de activación recientes indicando adopción de nuevas características y servicios
AWS Config Rules Implementation
Servicio: AWS Config
Recurso: Reglas de Config relacionadas con seguridad y paquetes de conformidad
Configuración: Reglas de Config habilitadas para cumplimiento de seguridad con adiciones recientes de reglas indicando evaluación de nuevas capacidades de seguridad
AWS CloudFormation Stack Updates
Servicio: AWS CloudFormation
Recurso: Plantillas de stack y configuraciones de recursos
Configuración: Stacks de CloudFormation con actualizaciones recientes indicando implementación de nuevas características de seguridad y configuraciones de servicios
AWS Systems Manager Patch Manager
Servicio: AWS Systems Manager
Recurso: Líneas base de parches y ventanas de mantenimiento
Configuración: Patch Manager configurado con actualizaciones recientes de líneas base indicando adopción de nuevos parches de seguridad y características
AWS Lambda Functions for Security Automation
Servicio: AWS Lambda
Recurso: Funciones de automatización de seguridad y respuestas basadas en eventos
Configuración: Funciones Lambda implementadas para automatización de seguridad con despliegues recientes indicando adopción de nuevas capacidades de seguridad</t>
  </si>
  <si>
    <t xml:space="preserve">Comprobar si existe un proceso periódico para evaluar y adoptar nuevas características de seguridad de AWS y de socios que mejoren la postura de la carga de trabajo.
Cronología de Habilitación de Servicios de Seguridad Verificar que los servicios de seguridad de AWS estén habilitados con evidencia de adopción reciente y actualizaciones de características. Cumplimiento indica servicios de seguridad con fechas de habilitación recientes y configuraciones de características. Incumplimiento evidenciado por servicios de seguridad deshabilitados, configuraciones desactualizadas o adopciones recientes de servicios de seguridad faltantes.
Actualidad y Expansión de Reglas de Config Verificar que las reglas de AWS Config estén actuales y expandiéndose para cubrir nuevos requisitos de seguridad. Cumplimiento indica adiciones y actualizaciones recientes de reglas de Config. Incumplimiento evidenciado por conjuntos estáticos de reglas de Config, reglas de seguridad faltantes o configuraciones de cumplimiento desactualizadas.
Actualizaciones y Modernización de Infraestructura Verificar que las configuraciones de infraestructura estén actualizadas mediante CloudFormation con mejoras de seguridad recientes. Cumplimiento indica actualizaciones recientes de stack con mejoras de seguridad. Incumplimiento evidenciado por infraestructura estática, actualizaciones de seguridad faltantes o configuraciones de recursos desactualizadas.
Actualidad de Gestión de Parches Verificar que los procesos de gestión de parches estén actuales con actualizaciones recientes de líneas base. Cumplimiento indica modificaciones recientes de líneas base de parches y actualizaciones de ventanas de mantenimiento. Incumplimiento evidenciado por líneas base de parches desactualizadas, parches de seguridad faltantes o configuraciones de mantenimiento estáticas.
Evolución de Automatización de Seguridad Verificar que las capacidades de automatización de seguridad estén evolucionando mediante nuevas funciones Lambda y scripts de automatización. Cumplimiento indica despliegues recientes de automatización de seguridad. Incumplimiento evidenciado por automatización estática, nuevas funciones de seguridad faltantes o capacidades de automatización desactualizadas.
</t>
  </si>
  <si>
    <t>AWS Security Services Status and Timeline
aws securityhub get-enabled-standards --query 'StandardsSubscriptions[*].[StandardsArn,StandardsStatus,StandardsSubscriptionArn]'
aws guardduty list-detectors --query 'DetectorIds'
aws guardduty get-detector --detector-id &lt;detector-id&gt; --query '[Status,CreatedAt,UpdatedAt]'
aws inspector2 describe-organization-configuration --query '[AutoEnable,MaxAccountLimitReached]'
Config Rules Implementation and Updates
aws configservice describe-config-rules --query 'ConfigRules[*].[ConfigRuleName,ConfigRuleState,CreatedBy,Source.Owner]'
aws configservice describe-conformance-packs --query 'ConformancePackDetails[*].[ConformancePackName,CreatedBy,LastUpdateRequestedTime]'
aws configservice get-compliance-summary-by-config-rule --query 'ComplianceSummary'
CloudFormation Stack Evolution
aws cloudformation list-stacks --stack-status-filter CREATE_COMPLETE UPDATE_COMPLETE --query 'StackSummaries[*].[StackName,LastUpdatedTime,CreationTime]'
aws cloudformation describe-stacks --query 'Stacks[*].[StackName,LastUpdatedTime,StackStatus]'
aws cloudformation list-stack-resources --stack-name &lt;stack-name&gt; --query 'StackResourceSummaries[?ResourceType==`AWS::IAM::Role` || ResourceType==`AWS::EC2::SecurityGroup`]'
Systems Manager Configuration Currency
aws ssm describe-patch-baselines --query 'BaselineIdentities[*].[BaselineId,BaselineName,CreatedDate,ModifiedDate]'
aws ssm describe-maintenance-windows --query 'WindowIdentities[*].[WindowId,Name,CreatedDate,ModifiedDate]'
aws ssm describe-parameters --query 'Parameters[*].[Name,LastModifiedDate,Version]'
Security Automation Implementation
aws lambda list-functions --query 'Functions[*].[FunctionName,LastModified,Runtime,Role]'
aws events list-rules --query 'Rules[*].[Name,State,EventPattern,ScheduleExpression]'
aws iam list-roles --query 'Roles[?contains(RoleName, `Lambda`) || contains(RoleName, `Automation`)][RoleName,CreateDate]'
Service Feature Utilization Assessment
aws wafv2 list-web-acls --scope CLOUDFRONT --query 'WebACLs[*].[Name,Id,ARN]'
aws shield describe-subscription --query '[Subscription.StartTime,Subscription.TimeCommitmentInSeconds]'
aws macie2 get-macie-session --query '[Status,CreatedAt,UpdatedAt]'
aws accessanalyzer list-analyzers --query 'Analyzers[*].[Name,Status,CreatedAt]'</t>
  </si>
  <si>
    <t>Gestión de identidad y acceso
SEC 2. ¿Cómo se gestiona la autenticación de personas y máquinas?</t>
  </si>
  <si>
    <r>
      <rPr>
        <sz val="11"/>
        <color rgb="FF000000"/>
        <rFont val="Montserrat"/>
      </rPr>
      <t xml:space="preserve">
</t>
    </r>
    <r>
      <rPr>
        <b/>
        <sz val="11"/>
        <color rgb="FF000000"/>
        <rFont val="Montserrat"/>
      </rPr>
      <t xml:space="preserve">SEC02-BP01 </t>
    </r>
    <r>
      <rPr>
        <sz val="11"/>
        <color rgb="FF000000"/>
        <rFont val="Montserrat"/>
      </rPr>
      <t>Utilizar mecanismos de inicio de sesión fuertes</t>
    </r>
  </si>
  <si>
    <t>Los inicios de sesión (autenticación mediante credenciales de inicio de sesión) pueden presentar riesgos si no se utilizan mecanismos como la autenticación multifactor (MFA), especialmente en situaciones en las que las credenciales de inicio de sesión se han revelado de forma inadvertida o son fáciles de adivinar. Utilice mecanismos de inicio de sesión sólidos para reducir estos riesgos. Para ello, exija que se cumplan políticas de contraseñas sólidas y se utilice MFA.</t>
  </si>
  <si>
    <t>IAM Password Policy, IAM Identity Center.
AWS IAM Password Policy
Servicio: AWS IAM
Recurso: Configuración de política de contraseñas de cuenta
Configuración: Política de contraseñas configurada con longitud mínima, requisitos de complejidad, expiración de contraseñas, y prevención de reutilización de contraseñas
Multi-Factor Authentication (MFA) Configuration
Servicio: AWS IAM
Recurso: Dispositivos MFA y políticas de aplicación
Configuración: MFA habilitado para usuario raíz y usuarios IAM con dispositivos MFA de hardware o virtuales configurados
AWS IAM Identity Center Configuration
Servicio: AWS IAM Identity Center (SSO)
Recurso: Configuración de fuente de identidad y políticas de autenticación
Configuración: Identity Center habilitado con integración de proveedor de identidad externo, requisitos MFA, y políticas de duración de sesión
Amazon Cognito User Pools
Servicio: Amazon Cognito
Recurso: Políticas de contraseñas de grupos de usuarios y configuraciones de autenticación
Configuración: Grupos de usuarios de Cognito configurados con políticas de contraseñas fuertes, aplicación de MFA, y características de seguridad avanzadas
IAM User Access Key Management
Servicio: AWS IAM
Recurso: Access keys y credenciales de acceso programático
Configuración: Políticas de rotación de access keys, identificación de keys no utilizadas, y patrones de uso de credenciales temporales</t>
  </si>
  <si>
    <t>Auditar las políticas de inicio de sesión para confirmar que exigen contraseñas complejas y la autenticación multifactor (MFA) de forma obligatoria.
Evaluación de Fortaleza de Política de Contraseñas Verificar que la política de contraseñas de IAM esté configurada con requisitos fuertes para complejidad y seguridad de contraseñas. Cumplimiento indica política de contraseñas integral con longitud, complejidad, y requisitos de rotación apropiados. Incumplimiento evidenciado por políticas de contraseñas débiles, requisitos de complejidad faltantes o falta de aplicación de política de contraseñas.
Cobertura de Implementación de MFA Verificar que MFA esté habilitado y aplicado para todos los usuarios privilegiados y cuenta raíz. Cumplimiento indica adopción amplia de MFA con tipos de dispositivos apropiados. Incumplimiento evidenciado por dispositivos MFA faltantes, políticas MFA no aplicadas o usuarios sin protección MFA.
Integración de Proveedor de Identidad Verificar que la gestión centralizada de identidades esté implementada mediante IAM Identity Center o proveedores externos. Cumplimiento indica integración activa de proveedor de identidad con autenticación federada. Incumplimiento evidenciado por federación de identidades faltante, autenticación solo local o falta de gestión centralizada de identidades.
Configuración de Seguridad de Cognito Verificar que los grupos de usuarios de Cognito estén configurados con configuraciones de seguridad fuertes para aplicaciones orientadas al cliente. Cumplimiento indica configuración robusta de seguridad de Cognito con MFA y características de seguridad avanzadas. Incumplimiento evidenciado por políticas débiles de Cognito, aplicación de MFA faltante o configuraciones de seguridad inadecuadas.
Gestión de Seguridad de Access Keys Verificar que las credenciales de acceso programático estén gestionadas apropiadamente con rotación y monitoreo. Cumplimiento indica gestión activa de access keys con rotación regular. Incumplimiento evidenciado por access keys antiguas, políticas de rotación faltantes o acceso programático excesivo.</t>
  </si>
  <si>
    <t xml:space="preserve">IAM Password Policy Assessment
aws iam get-account-password-policy --query 'PasswordPolicy'
aws iam get-account-summary --query 'SummaryMap'
aws iam generate-credential-report
aws iam get-credential-report --query 'Content' | base64 -d | head -5
MFA Configuration Verification
aws iam list-mfa-devices --query 'MFADevices[*].[UserName,SerialNumber,EnableDate]'
aws iam list-virtual-mfa-devices --query 'VirtualMFADevices[*].[SerialNumber,User.UserName,EnableDate]'
aws iam list-users --query 'Users[*].[UserName,CreateDate,PasswordLastUsed]'
IAM Identity Center Status
aws sso-admin list-instances --query 'Instances[*].[InstanceArn,IdentityStoreId]'
aws identitystore list-users --identity-store-id &lt;identity-store-id&gt; --query 'Users[*].[UserId,UserName]'
aws sso-admin list-permission-sets --instance-arn &lt;instance-arn&gt; --query 'PermissionSets[*]'
Cognito User Pool Configuration
aws cognito-idp list-user-pools --max-results 20 --query 'UserPools[*].[Id,Name,CreationDate]'
aws cognito-idp describe-user-pool --user-pool-id &lt;user-pool-id&gt; --query '[UserPool.Policies,UserPool.MfaConfiguration,UserPool.DeviceConfiguration]'
aws cognito-idp list-users --user-pool-id &lt;user-pool-id&gt; --query 'Users[*].[Username,UserStatus,Enabled]'
Access Key Management Assessment
aws iam list-access-keys --query 'AccessKeyMetadata[*].[UserName,AccessKeyId,Status,CreateDate]'
aws iam get-access-key-last-used --access-key-id &lt;access-key-id&gt; --query '[AccessKeyLastUsed.LastUsedDate,AccessKeyLastUsed.ServiceName]'
aws sts get-caller-identity --query '[Account,UserId,Arn]'
User Authentication Status Analysis
aws iam list-users --query 'Users[?PasswordLastUsed==null][UserName,CreateDate]'
aws iam list-users --query 'Users[*].[UserName,PasswordLastUsed,CreateDate]'
aws cloudtrail lookup-events --lookup-attributes AttributeKey=EventName,AttributeValue=ConsoleLogin --start-time $(date -d '7 days ago' -I) --query 'Events[*].[EventTime,Username,SourceIPAddress]'
</t>
  </si>
  <si>
    <r>
      <rPr>
        <b/>
        <sz val="11"/>
        <color rgb="FF000000"/>
        <rFont val="Montserrat"/>
      </rPr>
      <t>SEC02-BP02</t>
    </r>
    <r>
      <rPr>
        <sz val="11"/>
        <color rgb="FF000000"/>
        <rFont val="Montserrat"/>
      </rPr>
      <t xml:space="preserve"> Utilizar credenciales temporales</t>
    </r>
  </si>
  <si>
    <t>Al llevar a cabo cualquier tipo de autenticación, es mejor utilizar credenciales temporales en lugar de credenciales de larga duración para reducir o eliminar riesgos. Por ejemplo, que las credenciales se divulguen, compartan o roben de forma inadvertida.</t>
  </si>
  <si>
    <t>AWS STS, IAM Roles.
IAM Roles Configuration
Servicio: AWS IAM
Recurso: Roles IAM para EC2, Lambda, y otros servicios
Configuración: Roles IAM configurados para proporcionar credenciales temporales a servicios AWS en lugar de access keys de larga duración
AWS STS (Security Token Service) Usage
Servicio: AWS STS
Recurso: Credenciales de seguridad temporales y tokens de sesión
Configuración: STS configurado para generar credenciales temporales con duración de sesión y permisos apropiados
IAM Identity Center (SSO) Implementation
Servicio: AWS IAM Identity Center
Recurso: Acceso federado y generación de credenciales temporales
Configuración: Identity Center habilitado para proporcionar credenciales temporales a través de federación en lugar de access keys de usuarios IAM
Amazon Cognito Identity Pools
Servicio: Amazon Cognito
Recurso: Credenciales temporales para aplicaciones móviles y web
Configuración: Grupos de identidades de Cognito configurados para proporcionar credenciales temporales de AWS a usuarios autenticados y no autenticados
Cross-Account Role Access
Servicio: AWS IAM
Recurso: Roles entre cuentas y relaciones de confianza
Configuración: Roles entre cuentas configurados para habilitar acceso temporal entre cuentas AWS sin compartir credenciales de larga duración</t>
  </si>
  <si>
    <t xml:space="preserve">Verificar que las autenticaciones usen credenciales temporales en lugar de credenciales de larga duración para minimizar riesgos de robo o divulgación.
Evaluación de Adopción de Roles IAM Verificar que los servicios AWS estén usando roles IAM en lugar de access keys de larga duración para autenticación. Cumplimiento indica uso amplio de roles IAM con credenciales de larga duración mínimas. Incumplimiento evidenciado por servicios usando access keys, asignaciones de roles IAM faltantes o uso excesivo de credenciales de larga duración.
Patrones de Generación de Credenciales Temporales Verificar que las credenciales temporales estén siendo generadas y usadas apropiadamente mediante STS. Cumplimiento indica uso activo de STS con duraciones de sesión apropiadas. Incumplimiento evidenciado por actividad mínima de STS, duraciones de sesión excesivas o uso faltante de credenciales temporales.
Estado de Implementación de Federación Verificar que el acceso federado esté implementado para usuarios humanos en lugar de cuentas de usuarios IAM. Cumplimiento indica uso activo de Identity Center con autenticación federada. Incumplimiento evidenciado por usuarios IAM excesivos, configuración de federación faltante o patrones de acceso directo de usuarios IAM.
Gestión de Credenciales de Aplicaciones Verificar que las aplicaciones estén usando credenciales temporales mediante grupos de identidades de Cognito o roles IAM. Cumplimiento indica gestión apropiada de credenciales de aplicaciones con uso de credenciales temporales. Incumplimiento evidenciado por access keys embebidas, integración de Cognito faltante o aplicaciones usando credenciales de larga duración.
Minimización de Credenciales de Larga Duración Verificar que las credenciales de larga duración estén minimizadas y gestionadas apropiadamente cuando sean inevitables. Cumplimiento indica uso mínimo de credenciales de larga duración con rotación apropiada. Incumplimiento evidenciado por claves de acceso excesivas, credenciales antiguas o falta de rotación de credenciales.
</t>
  </si>
  <si>
    <t xml:space="preserve">IAM Roles and Service Usage Assessment
aws iam list-roles --query 'Roles[*].[RoleName,CreateDate,AssumeRolePolicyDocument]'
aws ec2 describe-instances --query 'Reservations[*].Instances[*].[InstanceId,IamInstanceProfile.Arn,State.Name]'
aws lambda list-functions --query 'Functions[*].[FunctionName,Role,Runtime]'
aws ecs list-services --cluster &lt;cluster-name&gt; --query 'ServiceArns'
STS Temporary Credential Activity
aws sts get-caller-identity --query '[Account,UserId,Arn]'
aws cloudtrail lookup-events --lookup-attributes AttributeKey=EventName,AttributeValue=AssumeRole --start-time $(date -d '7 days ago' -I) --query 'Events[*].[EventTime,Username,SourceIPAddress]'
aws cloudtrail lookup-events --lookup-attributes AttributeKey=EventName,AttributeValue=GetSessionToken --start-time $(date -d '7 days ago' -I) --query 'Events[*].[EventTime,Username]'
IAM Identity Center Configuration
aws sso-admin list-instances --query 'Instances[*].[InstanceArn,IdentityStoreId]'
aws identitystore list-users --identity-store-id &lt;identity-store-id&gt; --query 'Users[*].[UserId,UserName]'
aws sso-admin list-permission-sets --instance-arn &lt;instance-arn&gt; --query 'PermissionSets[*]'
Cognito Identity Pool Assessment
aws cognito-identity list-identity-pools --max-results 20 --query 'IdentityPools[*].[IdentityPoolId,IdentityPoolName]'
aws cognito-identity describe-identity-pool --identity-pool-id &lt;identity-pool-id&gt; --query '[IdentityPoolId,AllowUnauthenticatedIdentities,SupportedLoginProviders]'
aws cognito-identity list-identities --identity-pool-id &lt;identity-pool-id&gt; --max-results 10 --query 'Identities[*].[IdentityId,CreationDate]'
Long-Term Credential Analysis
aws iam list-access-keys --query 'AccessKeyMetadata[*].[UserName,AccessKeyId,Status,CreateDate]'
aws iam get-access-key-last-used --access-key-id &lt;access-key-id&gt; --query '[AccessKeyLastUsed.LastUsedDate,AccessKeyLastUsed.ServiceName]'
aws iam list-users --query 'Users[*].[UserName,CreateDate,PasswordLastUsed]'
aws iam generate-credential-report
aws iam get-credential-report --query 'Content' | base64 -d | grep -v '&lt;root_account&gt;' | head -10
Cross-Account Role Configuration
aws iam list-roles --query 'Roles[?contains(AssumeRolePolicyDocument, `arn:aws:iam::`)][RoleName,CreateDate]'
aws sts assume-role --role-arn arn:aws:iam::&lt;account-id&gt;:role/&lt;role-name&gt; --role-session-name test-session --query '[Credentials.AccessKeyId,Credentials.Expiration]'
aws organizations list-accounts --query 'Accounts[*].[Id,Name,Status]'
</t>
  </si>
  <si>
    <r>
      <rPr>
        <b/>
        <sz val="11"/>
        <color rgb="FF000000"/>
        <rFont val="Montserrat"/>
      </rPr>
      <t>SEC02-BP03</t>
    </r>
    <r>
      <rPr>
        <sz val="11"/>
        <color rgb="FF000000"/>
        <rFont val="Montserrat"/>
      </rPr>
      <t xml:space="preserve"> Almacenar y utilizar secretos de forma segura</t>
    </r>
  </si>
  <si>
    <t>Una carga de trabajo necesita una capacidad automatizada para demostrar su identidad a bases de datos, recursos y servicios de terceros. Para ello, se utilizan credenciales de acceso secretas, como claves de acceso a API, contraseñas y tokens OAuth. El uso de un servicio creado específicamente para almacenar, administrar y rotar estas credenciales ayuda a reducir la probabilidad de que dichas credenciales se vean comprometidas.</t>
  </si>
  <si>
    <t>AWS Secrets Manager Implementation
Servicio: AWS Secrets Manager
Recurso: Secretos almacenados, configuraciones de rotación, y políticas de acceso
Configuración: Secrets Manager configurado para almacenar credenciales de base de datos, claves API, y otra información sensible con rotación automática habilitada
AWS Systems Manager Parameter Store
Servicio: AWS Systems Manager Parameter Store
Recurso: Parámetros SecureString y configuración de cifrado
Configuración: Parameter Store configurado con parámetros SecureString usando cifrado AWS KMS para datos de configuración sensibles
AWS Key Management Service (KMS)
Servicio: AWS KMS
Recurso: Claves administradas por el cliente y políticas de cifrado
Configuración: Claves KMS configuradas para cifrar secretos en reposo con políticas de claves apropiadas y horarios de rotación
IAM Policies for Secret Access
Servicio: AWS IAM
Recurso: Políticas que controlan el acceso a secretos y parámetros
Configuración: Políticas IAM configuradas con acceso de menor privilegio a secretos, limitando qué roles y usuarios pueden recuperar información sensible
Application Integration with Secret Services
Servicio: AWS Lambda, EC2, ECS, EKS
Recurso: Configuraciones de servicios y variables de entorno
Configuración: Aplicaciones configuradas para recuperar secretos de Secrets Manager o Parameter Store en tiempo de ejecución en lugar de credenciales codificadas</t>
  </si>
  <si>
    <t>Comprobar que las contraseñas, tokens y claves de API se almacenen, administren y roten automáticamente en un servicio creado específicamente para este fin.
Evaluación de Utilización de Secrets Manager Verificar que las credenciales sensibles estén almacenadas en AWS Secrets Manager con cifrado y rotación apropiados. Cumplimiento indica uso activo de Secrets Manager con secretos cifrados y rotación automática. Incumplimiento evidenciado por implementación faltante de Secrets Manager, secretos no cifrados o credenciales codificadas en aplicaciones.
Configuración de Seguridad de Parameter Store Verificar que los parámetros de configuración estén almacenados como SecureString con cifrado KMS. Cumplimiento indica uso apropiado de Parameter Store con parámetros cifrados. Incumplimiento evidenciado por parámetros en texto plano, cifrado faltante o datos sensibles almacenados como cadenas regulares.
Implementación de Control de Acceso a Secretos Verificar que el acceso a secretos esté apropiadamente controlado mediante políticas IAM con principios de menor privilegio. Cumplimiento indica políticas IAM restrictivas con controles de acceso apropiados a secretos. Incumplimiento evidenciado por políticas excesivamente permisivas, controles de acceso faltantes o acceso irrestricto a secretos.
Configuración de Rotación de Secretos Verificar que los secretos tengan rotación automática habilitada donde sea aplicable. Cumplimiento indica horarios de rotación activos con historial exitoso de rotación. Incumplimiento evidenciado por rotación deshabilitada, rotaciones fallidas o secretos estáticos sin capacidad de rotación.
Integración de Secretos en Aplicaciones Verificar que las aplicaciones estén recuperando secretos dinámicamente desde almacenamiento seguro en lugar de usar credenciales codificadas. Cumplimiento indica integración apropiada de aplicaciones con recuperación de secretos en tiempo de ejecución. Incumplimiento evidenciado por credenciales codificadas, variables de entorno con datos sensibles o archivos de configuración estáticos.</t>
  </si>
  <si>
    <t>Secrets Manager Configuration Assessment
aws secretsmanager list-secrets --query 'SecretList[*].[Name,Description,RotationEnabled,LastRotatedDate]'
aws secretsmanager describe-secret --secret-id &lt;secret-name&gt; --query '[Name,Description,RotationEnabled,RotationRules,KmsKeyId]'
aws secretsmanager get-rotation-status --secret-id &lt;secret-name&gt; --query '[RotationEnabled,LastRotatedDate,NextRotationDate]'
Parameter Store Security Verification
aws ssm describe-parameters --query 'Parameters[*].[Name,Type,KeyId,LastModifiedDate]'
aws ssm get-parameters --names &lt;parameter-name&gt; --with-decryption --query 'Parameters[*].[Name,Type,Value]'
aws ssm describe-parameters --parameter-filters Key=Type,Values=SecureString --query 'Parameters[*].[Name,KeyId,LastModifiedDate]'
KMS Key Configuration for Secrets
aws kms list-keys --query 'Keys[*].KeyId'
aws kms describe-key --key-id &lt;key-id&gt; --query '[KeyMetadata.KeyId,KeyMetadata.KeyUsage,KeyMetadata.KeyState]'
aws kms list-aliases --query 'Aliases[?contains(AliasName, `secretsmanager`) || contains(AliasName, `parameter`)][AliasName,TargetKeyId]'
IAM Secret Access Policies
aws iam list-policies --scope Local --query 'Policies[?contains(PolicyName, `Secret`) || contains(PolicyName, `Parameter`)][PolicyName,Arn]'
aws iam get-policy-version --policy-arn &lt;policy-arn&gt; --version-id v1 --query 'PolicyVersion.Document'
aws iam list-roles --query 'Roles[*].[RoleName,CreateDate]'
Application Secret Integration Status
aws lambda list-functions --query 'Functions[*].[FunctionName,Environment.Variables]'
aws ecs describe-task-definition --task-definition &lt;task-definition&gt; --query 'TaskDefinition.ContainerDefinitions[*].[Name,Environment,Secrets]'
aws ec2 describe-instances --query 'Reservations[*].Instances[*].[InstanceId,IamInstanceProfile.Arn]'
Secret Usage and Access Monitoring
aws cloudtrail lookup-events --lookup-attributes AttributeKey=EventName,AttributeValue=GetSecretValue --start-time $(date -d '7 days ago' -I) --query 'Events[*].[EventTime,Username,SourceIPAddress]'
aws cloudtrail lookup-events --lookup-attributes AttributeKey=EventName,AttributeValue=GetParameter --start-time $(date -d '7 days ago' -I) --query 'Events[*].[EventTime,Username,Resources]'
aws logs describe-log-groups --log-group-name-prefix /aws/secretsmanager --query 'LogGroups[*].[LogGroupName,CreationTime]'</t>
  </si>
  <si>
    <r>
      <rPr>
        <b/>
        <sz val="11"/>
        <color rgb="FF000000"/>
        <rFont val="Montserrat"/>
      </rPr>
      <t>SEC02-BP04</t>
    </r>
    <r>
      <rPr>
        <sz val="11"/>
        <color rgb="FF000000"/>
        <rFont val="Montserrat"/>
      </rPr>
      <t xml:space="preserve"> Confíe en un proveedor de identidad centralizado</t>
    </r>
  </si>
  <si>
    <t>Para las identidades de la plantilla (empleados y contratistas), recurra a un proveedor de identidades que le permita administrar las identidades desde un lugar centralizado. De este modo se facilita la administración del acceso en varias aplicaciones y sistemas, pues crea, asigna, administra, revoca y audita el acceso desde un único lugar.</t>
  </si>
  <si>
    <t>AWS IAM Identity Center, Proveedores federados (IdP).
AWS IAM Identity Center (SSO)
Servicio: AWS IAM Identity Center
Recurso: Configuración de fuente de identidad, conjuntos de permisos, y asignaciones de cuentas
Configuración: Identity Center habilitado con integración de proveedor de identidad externo (Active Directory, SAML, OIDC) para autenticación centralizada de fuerza laboral
External Identity Provider Integration
Servicio: AWS IAM Identity Providers
Recurso: Proveedores de identidad SAML y OIDC
Configuración: Proveedores de identidad configurados para federar identidades externas con cuentas AWS mediante SAML 2.0 u OpenID Connect
Amazon Cognito User Pools
Servicio: Amazon Cognito
Recurso: Grupos de usuarios para gestión de identidad de clientes
Configuración: Grupos de usuarios de Cognito configurados como proveedor de identidad centralizado para aplicaciones orientadas al cliente con federación de identidades sociales y empresariales
IAM Roles for Federated Access
Servicio: AWS IAM
Recurso: Roles federados y políticas de confianza
Configuración: Roles IAM configurados con relaciones de confianza para identidades federadas, eliminando la necesidad de usuarios IAM directos
Directory Service Integration
Servicio: AWS Directory Service
Recurso: Microsoft AD administrado o AD Connector
Configuración: Directory Service configurado para integrar Active Directory local con servicios AWS</t>
  </si>
  <si>
    <t>Validar que las identidades de empleados y contratistas se gestionen desde un proveedor centralizado para facilitar la revocación y auditoría desde un único lugar.
Evaluación de Implementación de Identity Center Verificar que AWS IAM Identity Center esté configurado y usado activamente para gestión de acceso de fuerza laboral. Cumplimiento indica despliegue activo de Identity Center con integración de fuente de identidad externa. Incumplimiento evidenciado por configuración faltante de Identity Center, uso directo de usuarios IAM o falta de gestión centralizada de identidades.
Federación de Proveedor de Identidad Externo Verificar que los proveedores de identidad externos estén apropiadamente integrados con AWS mediante federación SAML u OIDC. Cumplimiento indica integración activa de proveedor de identidad con patrones de acceso federado. Incumplimiento evidenciado por configuración faltante de proveedor de identidad, solo autenticación directa o falta de capacidades de federación.
Gestión Centralizada de Identidad de Cognito Verificar que las aplicaciones orientadas al cliente estén usando Amazon Cognito como proveedor de identidad centralizado. Cumplimiento indica grupos de usuarios activos de Cognito con federación de identidad apropiada. Incumplimiento evidenciado por implementación faltante de Cognito, autenticación específica de aplicación o gestión descentralizada de identidad de clientes.
Reducción de Usuarios IAM y Adopción de Federación Verificar que los usuarios IAM directos estén minimizados en favor de identidades federadas. Cumplimiento indica bajo conteo de usuarios IAM con alto uso de federación. Incumplimiento evidenciado por usuarios IAM excesivos, acceso federado faltante o dependencia continua en autenticación IAM directa.
Estado de Integración de Directory Service Verificar que los servicios de directorio locales estén integrados con AWS para gestión de identidades sin interrupciones. Cumplimiento indica integración activa de directorio con identidades sincronizadas. Incumplimiento evidenciado por integración de directorio faltante, gestión manual de identidades o sistemas de identidad desconectados.</t>
  </si>
  <si>
    <t xml:space="preserve">IAM Identity Center Configuration
aws sso-admin list-instances --query 'Instances[*].[InstanceArn,IdentityStoreId]'
aws identitystore list-users --identity-store-id &lt;identity-store-id&gt; --query 'Users[*].[UserId,UserName,DisplayName]'
aws sso-admin list-permission-sets --instance-arn &lt;instance-arn&gt; --query 'PermissionSets[*]'
aws sso-admin list-accounts-for-provisioned-permission-set --instance-arn &lt;instance-arn&gt; --permission-set-arn &lt;permission-set-arn&gt; --query 'AccountIds'
External Identity Provider Assessment
aws iam list-saml-providers --query 'SAMLProviderList[*].[Arn,CreateDate]'
aws iam list-open-id-connect-providers --query 'OpenIDConnectProviderList[*].[Arn,CreateDate]'
aws iam get-saml-provider --saml-provider-arn &lt;provider-arn&gt; --query '[SAMLMetadataDocument,CreateDate]'
aws iam get-open-id-connect-provider --open-id-connect-provider-arn &lt;provider-arn&gt; --query '[Url,ClientIDList,CreateDate]'
Cognito User Pool Configuration
aws cognito-idp list-user-pools --max-results 20 --query 'UserPools[*].[Id,Name,CreationDate]'
aws cognito-idp describe-user-pool --user-pool-id &lt;user-pool-id&gt; --query '[UserPool.Id,UserPool.Name,UserPool.Policies]'
aws cognito-idp list-identity-providers --user-pool-id &lt;user-pool-id&gt; --query 'Providers[*].[ProviderName,ProviderType,CreationDate]'
IAM User vs Federation Analysis
aws iam list-users --query 'Users[*].[UserName,CreateDate,PasswordLastUsed]'
aws iam get-account-summary --query 'SummaryMap.[Users,UsersQuota,Roles]'
aws sts get-caller-identity --query '[Account,UserId,Arn]'
aws cloudtrail lookup-events --lookup-attributes AttributeKey=EventName,AttributeValue=AssumeRoleWithSAML --start-time $(date -d '7 days ago' -I) --query 'Events[*].[EventTime,Username]'
Directory Service Integration Status
aws ds describe-directories --query 'DirectoryDescriptions[*].[DirectoryId,Name,Type,Stage]'
aws ds describe-trusts --directory-id &lt;directory-id&gt; --query 'Trusts[*].[TrustId,DirectoryId,TrustType,TrustState]'
aws workspaces describe-workspaces --query 'Workspaces[*].[WorkspaceId,DirectoryId,UserName]'
Federation Usage Patterns
aws cloudtrail lookup-events --lookup-attributes AttributeKey=EventName,AttributeValue=AssumeRoleWithWebIdentity --start-time $(date -d '30 days ago' -I) --query 'Events[*].[EventTime,Username,SourceIPAddress]'
aws cloudtrail lookup-events --lookup-attributes AttributeKey=EventName,AttributeValue=GetFederationToken --start-time $(date -d '30 days ago' -I) --query 'Events[*].[EventTime,Username]'
aws iam list-roles --query 'Roles[?contains(AssumeRolePolicyDocument, `federated`) || contains(AssumeRolePolicyDocument, `saml`)][RoleName,CreateDate]'
</t>
  </si>
  <si>
    <r>
      <rPr>
        <b/>
        <sz val="11"/>
        <color rgb="FF000000"/>
        <rFont val="Montserrat"/>
      </rPr>
      <t xml:space="preserve">SEC02-BP05 </t>
    </r>
    <r>
      <rPr>
        <sz val="11"/>
        <color rgb="FF000000"/>
        <rFont val="Montserrat"/>
      </rPr>
      <t>Auditar y rotar credenciales periódicamente</t>
    </r>
  </si>
  <si>
    <t>Audite y rote las credenciales periódicamente para limitar el tiempo que pueden utilizarse para acceder a los recursos. Las credenciales de larga duración entrañan muchos riesgos, pero estos riesgos pueden reducirse con una rotación frecuente.</t>
  </si>
  <si>
    <t>IAM Credential Report.
IAM Credential Reports and Analysis
Servicio: AWS IAM
Recurso: Reportes de credenciales, metadatos de access keys, y políticas de contraseñas
Configuración: IAM configurado para generar reportes de credenciales con análisis regular de antigüedad de access keys, último uso de contraseñas, y estado MFA
AWS Config Rules for Credential Monitoring
Servicio: AWS Config
Recurso: Reglas de Config relacionadas con seguridad para cumplimiento de credenciales
Configuración: Reglas de Config habilitadas para monitorear rotación de access keys, cumplimiento MFA, y credenciales no utilizadas
AWS Secrets Manager Rotation
Servicio: AWS Secrets Manager
Recurso: Secretos almacenados con configuración de rotación automática
Configuración: Secrets Manager configurado con rotación automática habilitada para credenciales de base de datos y claves API
CloudTrail Credential Usage Monitoring
Servicio: AWS CloudTrail
Recurso: Registros de actividad API para seguimiento de uso de credenciales
Configuración: CloudTrail habilitado para monitorear patrones de uso de credenciales, intentos de autenticación fallidos, y acceso sospechoso
IAM Access Analyzer
Servicio: AWS IAM Access Analyzer
Recurso: Análisis de acceso e identificación de acceso no utilizado
Configuración: Access Analyzer habilitado para identificar permisos no utilizados, acceso externo, y políticas excesivamente permisivas</t>
  </si>
  <si>
    <t>Auditar periódicamente la antigüedad de las credenciales y confirmar su rotación frecuente para limitar el tiempo de exposición de credenciales de larga duración.
Evaluación de Antigüedad y Rotación de Credenciales Verificar que las credenciales estén rotadas regularmente y que las credenciales antiguas estén identificadas y removidas. Cumplimiento indica rotación reciente de credenciales con horarios de rotación documentados. Incumplimiento evidenciado por access keys antiguas, contraseñas expiradas o políticas de rotación faltantes.
Monitoreo de Cumplimiento MFA Verificar que la autenticación multifactor esté aplicada y monitoreada para todas las cuentas privilegiadas. Cumplimiento indica cobertura integral de MFA con monitoreo de cumplimiento. Incumplimiento evidenciado por cuentas sin MFA, aplicación de MFA faltante o estado MFA no monitoreado.
Identificación de Credenciales No Utilizadas Verificar que las credenciales no utilizadas e innecesarias estén identificadas y removidas regularmente. Cumplimiento indica limpieza activa de credenciales con remoción de acceso no utilizado. Incumplimiento evidenciado por cuentas inactivas, access keys no utilizadas o acumulación excesiva de credenciales.
Implementación de Rotación Automatizada Verificar que la rotación automática de credenciales esté implementada donde sea posible mediante Secrets Manager. Cumplimiento indica rotación automática activa con historial exitoso de rotación. Incumplimiento evidenciado por procesos de rotación manuales, rotaciones fallidas o automatización faltante.
Análisis de Patrones de Acceso Verificar que los patrones de uso de credenciales estén monitoreados para identificar anomalías y acceso no autorizado. Cumplimiento indica monitoreo activo con detección de anomalías. Incumplimiento evidenciado por acceso no monitoreado, análisis de uso faltante o falta de detección de actividad sospechosa.</t>
  </si>
  <si>
    <t xml:space="preserve">IAM Credential Report Analysis
aws iam generate-credential-report
aws iam get-credential-report --query 'Content' | base64 -d &gt; credential-report.csv
aws iam list-access-keys --query 'AccessKeyMetadata[*].[UserName,AccessKeyId,Status,CreateDate]'
aws iam get-access-key-last-used --access-key-id &lt;access-key-id&gt; --query '[AccessKeyLastUsed.LastUsedDate,AccessKeyLastUsed.ServiceName]'
MFA Status and Compliance
aws iam list-mfa-devices --query 'MFADevices[*].[UserName,SerialNumber,EnableDate]'
aws iam list-virtual-mfa-devices --query 'VirtualMFADevices[*].[SerialNumber,User.UserName,EnableDate]'
aws iam list-users --query 'Users[?PasswordLastUsed==null][UserName,CreateDate]'
aws iam get-account-summary --query 'SummaryMap.[AccountMFAEnabled,MFADevices,MFADevicesInUse]'
Config Rules for Credential Monitoring
aws configservice describe-config-rules --query 'ConfigRules[?contains(ConfigRuleName, `access-keys`) || contains(ConfigRuleName, `mfa`)][ConfigRuleName,ConfigRuleState]'
aws configservice get-compliance-details-by-config-rule --config-rule-name access-keys-rotated --query 'EvaluationResults[*].[ComplianceType,ConfigRuleInvokedTime]'
aws configservice get-compliance-summary-by-config-rule --query 'ComplianceSummary'
Secrets Manager Rotation Status
aws secretsmanager list-secrets --query 'SecretList[*].[Name,RotationEnabled,LastRotatedDate,NextRotationDate]'
aws secretsmanager describe-secret --secret-id &lt;secret-name&gt; --query '[Name,RotationEnabled,RotationRules,LastRotatedDate]'
aws secretsmanager get-rotation-status --secret-id &lt;secret-name&gt; --query '[RotationEnabled,LastRotatedDate,NextRotationDate]'
IAM Access Analyzer Findings
aws accessanalyzer list-analyzers --query 'Analyzers[*].[Name,Status,Type,CreatedAt]'
aws accessanalyzer list-findings --analyzer-arn &lt;analyzer-arn&gt; --query 'Findings[*].[Id,ResourceType,Status,CreatedAt]'
aws accessanalyzer get-finding --analyzer-arn &lt;analyzer-arn&gt; --id &lt;finding-id&gt; --query '[Finding.Id,Finding.Status,Finding.ResourceType]'
Credential Usage Monitoring
aws cloudtrail lookup-events --lookup-attributes AttributeKey=EventName,AttributeValue=ConsoleLogin --start-time $(date -d '30 days ago' -I) --query 'Events[*].[EventTime,Username,SourceIPAddress]'
aws cloudtrail lookup-events --lookup-attributes AttributeKey=EventName,AttributeValue=CreateAccessKey --start-time $(date -d '90 days ago' -I) --query 'Events[*].[EventTime,Username,Resources]'
aws cloudtrail lookup-events --lookup-attributes AttributeKey=EventName,AttributeValue=DeleteAccessKey --start-time $(date -d '90 days ago' -I) --query 'Events[*].[EventTime,Username,Resources]'
Unused Access and Permission Analysis
aws iam list-users --query 'Users[?PasswordLastUsed==null || PasswordLastUsed &lt; `2024-01-01`][UserName,CreateDate,PasswordLastUsed]'
aws iam list-roles --query 'Roles[*].[RoleName,CreateDate,MaxSessionDuration]'
aws support describe-trusted-advisor-checks --language en --query 'Checks[?contains(Name, `IAM`) || contains(Name, `Security`)][Name,Category]'
</t>
  </si>
  <si>
    <r>
      <rPr>
        <b/>
        <sz val="11"/>
        <color rgb="FF000000"/>
        <rFont val="Montserrat"/>
      </rPr>
      <t>SEC02-BP06</t>
    </r>
    <r>
      <rPr>
        <sz val="11"/>
        <color rgb="FF000000"/>
        <rFont val="Montserrat"/>
      </rPr>
      <t xml:space="preserve"> Emplear grupos de usuarios y atributos</t>
    </r>
  </si>
  <si>
    <t>Definir los permisos según los grupos y los atributos de usuarios ayuda a reducir la cantidad y la complejidad de las políticas, lo que facilita la aplicación del principio de privilegio mínimo. Puede emplear los grupos de usuarios para administrar los permisos de muchas personas en un solo lugar según la función que desempeñen en su organización. Los atributos, como el departamento, el proyecto o la ubicación, pueden proporcionar un nivel adicional en el ámbito de los permisos si hay personas que hacen una función similar, pero para diferentes subconjuntos de recursos.</t>
  </si>
  <si>
    <t>IAM ABAC (Control de acceso basado en atributos), Etiquetas.
AWS IAM Identity Center Groups
Servicio: AWS IAM Identity Center
Recurso: Grupos de usuarios, conjuntos de permisos, y asignaciones de grupos
Configuración: Identity Center configurado con grupos de usuarios basados en funciones laborales con conjuntos de permisos asignados a grupos en lugar de usuarios individuales
IAM Groups and Policies
Servicio: AWS IAM
Recurso: Grupos IAM, políticas de grupos, y membresías de grupos de usuarios
Configuración: Grupos IAM configurados para organizar usuarios por función con políticas adjuntas a grupos en lugar de usuarios individuales
Attribute-Based Access Control (ABAC)
Servicio: AWS IAM
Recurso: Etiquetas de sesión, etiquetas de recursos, y políticas basadas en atributos
Configuración: Políticas ABAC configuradas para usar atributos de usuario (departamento, proyecto, rol) para control de acceso dinámico
External Identity Provider Attributes
Servicio: Proveedores de identidad SAML/OIDC
Recurso: Atributos de usuario y membresías de grupos de proveedores externos
Configuración: Proveedores de identidad configurados para pasar atributos de usuario e información de grupos a AWS mediante aserciones SAML o claims OIDC
Resource Tagging for Access Control
Servicio: AWS Resource Tagging
Recurso: Etiquetas de recursos usadas para control de acceso
Configuración: Recursos etiquetados con atributos apropiados para habilitar políticas de control de acceso basadas en atributos</t>
  </si>
  <si>
    <t>Revisar que los permisos se otorgan mediante atributos (ej. departamento, proyecto) y grupos, en lugar de generar políticas complejas usuario por usuario.
Gestión de Permisos Basada en Grupos Verificar que los permisos estén gestionados a través de grupos en lugar de asignaciones de usuarios individuales. Cumplimiento indica uso amplio de grupos con adjuntos mínimos de políticas de usuarios individuales. Incumplimiento evidenciado por políticas excesivas de usuarios individuales, estructuras de grupos faltantes o asignaciones directas de permisos de usuario.
Implementación de Grupos de Identity Center Verificar que AWS IAM Identity Center esté usando grupos y conjuntos de permisos para gestión de acceso escalable. Cumplimiento indica gestión activa de permisos basada en grupos con conjuntos de permisos organizados. Incumplimiento evidenciado por grupos de Identity Center faltantes, asignaciones de permisos individuales o gestión de acceso desorganizada.
Uso de Control de Acceso Basado en Atributos Verificar que los atributos de usuario estén siendo usados para control de acceso dinámico mediante políticas ABAC. Cumplimiento indica implementación activa de ABAC con políticas basadas en atributos. Incumplimiento evidenciado por uso faltante de atributos, solo políticas estáticas o falta de control de acceso dinámico.
Integración de Atributos de Proveedor Externo Verificar que los proveedores de identidad externos estén pasando atributos de usuario e información de grupos a AWS. Cumplimiento indica mapeo apropiado de atributos con integración de proveedor externo. Incumplimiento evidenciado por mapeo de atributos faltante, información de grupos incompleta o falta de integración de proveedor externo.
Etiquetado de Recursos para Control de Acceso Verificar que los recursos estén apropiadamente etiquetados para soportar control de acceso basado en atributos. Cumplimiento indica etiquetado consistente de recursos con integración de control de acceso. Incumplimiento evidenciado por etiquetas de recursos faltantes, etiquetado inconsistente o falta de control de acceso basado en etiquetas.</t>
  </si>
  <si>
    <t xml:space="preserve">IAM Identity Center Groups Assessment
aws sso-admin list-instances --query 'Instances[*].[InstanceArn,IdentityStoreId]'
aws identitystore list-groups --identity-store-id &lt;identity-store-id&gt; --query 'Groups[*].[GroupId,DisplayName,Description]'
aws identitystore list-group-memberships --identity-store-id &lt;identity-store-id&gt; --group-id &lt;group-id&gt; --query 'GroupMemberships[*].[MemberId,MembershipId]'
aws sso-admin list-permission-sets --instance-arn &lt;instance-arn&gt; --query 'PermissionSets[*]'
IAM Groups and User Assignments
aws iam list-groups --query 'Groups[*].[GroupName,CreateDate,Path]'
aws iam get-group --group-name &lt;group-name&gt; --query '[Group,Users[*].UserName]'
aws iam list-attached-group-policies --group-name &lt;group-name&gt; --query 'AttachedPolicies[*].[PolicyName,PolicyArn]'
aws iam list-users --query 'Users[*].[UserName,CreateDate]'
User Policy Attachments Analysis
aws iam list-users --query 'Users[*].UserName' | jq -r '.[]' | while read user; do echo "User: $user"; aws iam list-attached-user-policies --user-name "$user" --query 'AttachedPolicies[*].PolicyName'; done
aws iam list-users --query 'Users[*].UserName' | jq -r '.[]' | while read user; do echo "User: $user"; aws iam list-user-policies --user-name "$user" --query 'PolicyNames'; done
aws iam list-groups-for-user --user-name &lt;user-name&gt; --query 'Groups[*].GroupName'
Attribute-Based Access Control Implementation
aws iam list-policies --scope Local --query 'Policies[*].[PolicyName,Arn]'
aws iam get-policy-version --policy-arn &lt;policy-arn&gt; --version-id v1 --query 'PolicyVersion.Document'
aws sts assume-role --role-arn &lt;role-arn&gt; --role-session-name test-session --query 'Credentials.[AccessKeyId,SecretAccessKey,SessionToken]'
Resource Tagging for Access Control
aws ec2 describe-instances --query 'Reservations[*].Instances[*].[InstanceId,Tags]'
aws s3api list-buckets --query 'Buckets[*].Name' | jq -r '.[]' | while read bucket; do echo "Bucket: $bucket"; aws s3api get-bucket-tagging --bucket "$bucket" 2&gt;/dev/null || echo "No tags"; done
aws lambda list-functions --query 'Functions[*].[FunctionName,Tags]'
aws rds describe-db-instances --query 'DBInstances[*].[DBInstanceIdentifier,TagList]'
External Identity Provider Attribute Mapping
aws iam list-saml-providers --query 'SAMLProviderList[*].[Arn,CreateDate]'
aws iam get-saml-provider --saml-provider-arn &lt;provider-arn&gt; --query 'SAMLMetadataDocument'
aws iam list-open-id-connect-providers --query 'OpenIDConnectProviderList[*].[Arn,CreateDate]'
aws sso-admin describe-instance-access-control-attribute-configuration --instance-arn &lt;instance-arn&gt; --query 'InstanceAccessControlAttributeConfiguration'
</t>
  </si>
  <si>
    <t>Gestión de identidad y acceso
SEC 3. ¿Cómo se gestionan los permisos para personas y máquinas?</t>
  </si>
  <si>
    <r>
      <rPr>
        <b/>
        <sz val="11"/>
        <color rgb="FF000000"/>
        <rFont val="Montserrat"/>
      </rPr>
      <t>SEC03-BP01</t>
    </r>
    <r>
      <rPr>
        <sz val="11"/>
        <color rgb="FF000000"/>
        <rFont val="Montserrat"/>
      </rPr>
      <t xml:space="preserve"> Definir los requisitos de acceso</t>
    </r>
  </si>
  <si>
    <t>Los administradores, los usuarios finales u otros componentes deben acceder a cada componente o recurso de la carga de trabajo. Establezca una definición clara de quién o qué debe tener acceso a cada componente y elija el tipo de identidad y el método de autenticación y autorización adecuados.</t>
  </si>
  <si>
    <t>Políticas de IAM.
IAM Policies and Permission Boundaries
Servicio: AWS IAM
Recurso: Políticas IAM, límites de permisos, y documentación de requisitos de acceso
Configuración: Políticas IAM configuradas con requisitos de acceso claramente definidos, límites de permisos implementados para limitar permisos máximos
AWS Organizations Service Control Policies (SCPs)
Servicio: AWS Organizations
Recurso: Políticas de Control de Servicios y estructura de unidades organizacionales
Configuración: SCPs configuradas para definir requisitos de acceso a nivel organizacional y hacer cumplir límites de conformidad
Resource-Based Policies
Servicio: Servicios AWS (S3, KMS, Lambda, etc.)
Recurso: Políticas basadas en recursos y listas de control de acceso
Configuración: Políticas basadas en recursos configuradas para definir requisitos de acceso específicos para recursos individuales
IAM Access Analyzer
Servicio: AWS IAM Access Analyzer
Recurso: Hallazgos de análisis de acceso y reportes de acceso externo
Configuración: Access Analyzer habilitado para analizar continuamente requisitos de acceso e identificar acceso no intencionado
AWS Config Rules for Access Control
Servicio: AWS Config
Recurso: Reglas de Config para cumplimiento de control de acceso
Configuración: Reglas de Config configuradas para monitorear cumplimiento con requisitos de acceso y políticas definidas</t>
  </si>
  <si>
    <t>Establecer y documentar claramente qué usuarios o componentes necesitan acceso a qué recursos, y seleccionar el método de autenticación adecuado.
Documentación de Requisitos de Acceso Verificar que los requisitos de acceso estén claramente definidos y documentados mediante políticas IAM y políticas organizacionales. Cumplimiento indica definiciones integrales de requisitos de acceso con procesos de aprobación documentados. Incumplimiento evidenciado por requisitos de acceso indefinidos, documentación de políticas faltante o concesión de acceso ad-hoc.
Implementación de Límites de Permisos Verificar que los límites de permisos estén implementados para hacer cumplir límites máximos de acceso. Cumplimiento indica uso activo de límites de permisos con controles de acceso apropiados. Incumplimiento evidenciado por límites de permisos faltantes, concesiones de acceso ilimitadas o falta de aplicación de control de acceso.
Controles de Acceso Organizacionales Verificar que los controles de acceso a nivel organizacional estén definidos mediante SCPs y estructura organizacional. Cumplimiento indica implementación activa de SCP con control de acceso jerárquico. Incumplimiento evidenciado por SCPs faltantes, acceso organizacional no controlado o falta de gobernanza centralizada de acceso.
Definición de Acceso a Nivel de Recurso Verificar que los recursos individuales tengan requisitos de acceso claramente definidos mediante políticas basadas en recursos. Cumplimiento indica control de acceso integral basado en recursos. Incumplimiento evidenciado por políticas de recursos faltantes, acceso excesivamente permisivo o requisitos de acceso a recursos indefinidos.
Análisis y Monitoreo de Acceso Verificar que los requisitos de acceso estén continuamente analizados y monitoreados para cumplimiento. Cumplimiento indica análisis activo de acceso con procesos de revisión regulares. Incumplimiento evidenciado por análisis de acceso faltante, cambios de acceso no monitoreados o falta de verificación de cumplimiento.</t>
  </si>
  <si>
    <t xml:space="preserve">IAM Policies and Permission Boundaries
aws iam list-policies --scope Local --query 'Policies[*].[PolicyName,Arn,CreateDate]'
aws iam list-users --query 'Users[*].[UserName,PermissionsBoundary.PermissionsBoundaryArn]'
aws iam list-roles --query 'Roles[*].[RoleName,PermissionsBoundary.PermissionsBoundaryArn]'
aws iam get-policy-version --policy-arn &lt;policy-arn&gt; --version-id v1 --query 'PolicyVersion.Document'
Organizations Service Control Policies
aws organizations list-policies --filter SERVICE_CONTROL_POLICY --query 'Policies[*].[Id,Name,Type]'
aws organizations describe-policy --policy-id &lt;policy-id&gt; --query '[Policy.PolicySummary.Name,Policy.Content]'
aws organizations list-targets-for-policy --policy-id &lt;policy-id&gt; --query 'Targets[*].[TargetId,Name,Type]'
aws organizations list-organizational-units-for-parent --parent-id &lt;root-id&gt; --query 'OrganizationalUnits[*].[Id,Name]'
Resource-Based Policies Assessment
aws s3api list-buckets --query 'Buckets[*].Name' | jq -r '.[]' | while read bucket; do echo "Bucket: $bucket"; aws s3api get-bucket-policy --bucket "$bucket" 2&gt;/dev/null || echo "No policy"; done
aws kms list-keys --query 'Keys[*].KeyId' | jq -r '.[]' | while read key; do echo "Key: $key"; aws kms get-key-policy --key-id "$key" --policy-name default --query 'Policy'; done
aws lambda list-functions --query 'Functions[*].FunctionName' | jq -r '.[]' | while read func; do echo "Function: $func"; aws lambda get-policy --function-name "$func" 2&gt;/dev/null || echo "No policy"; done
IAM Access Analyzer Configuration
aws accessanalyzer list-analyzers --query 'Analyzers[*].[Name,Status,Type,CreatedAt]'
aws accessanalyzer list-findings --analyzer-arn &lt;analyzer-arn&gt; --query 'Findings[*].[Id,ResourceType,Status,CreatedAt]'
aws accessanalyzer get-finding --analyzer-arn &lt;analyzer-arn&gt; --id &lt;finding-id&gt; --query '[Finding.Id,Finding.Status,Finding.ResourceType]'
Config Rules for Access Control
aws configservice describe-config-rules --query 'ConfigRules[?contains(ConfigRuleName, `access`) || contains(ConfigRuleName, `iam`)][ConfigRuleName,ConfigRuleState]'
aws configservice get-compliance-details-by-config-rule --config-rule-name &lt;rule-name&gt; --query 'EvaluationResults[*].[ComplianceType,ConfigRuleInvokedTime]'
aws configservice get-compliance-summary-by-config-rule --query 'ComplianceSummary'
Access Requirements Implementation Status
aws iam get-account-summary --query 'SummaryMap'
aws iam list-attached-user-policies --user-name &lt;user-name&gt; --query 'AttachedPolicies[*].[PolicyName,PolicyArn]'
aws iam list-attached-role-policies --role-name &lt;role-name&gt; --query 'AttachedPolicies[*].[PolicyName,PolicyArn]'
aws iam list-attached-group-policies --group-name &lt;group-name&gt; --query 'AttachedPolicies[*].[PolicyName,PolicyArn]'
</t>
  </si>
  <si>
    <r>
      <rPr>
        <b/>
        <sz val="11"/>
        <color rgb="FF000000"/>
        <rFont val="Montserrat"/>
      </rPr>
      <t>SEC03-BP02</t>
    </r>
    <r>
      <rPr>
        <sz val="11"/>
        <color rgb="FF000000"/>
        <rFont val="Montserrat"/>
      </rPr>
      <t xml:space="preserve"> Otorgar acceso con privilegios mínimos</t>
    </r>
  </si>
  <si>
    <t>Conceda exclusivamente el acceso que las identidades necesitan para efectuar acciones concretas en recursos específicos en determinadas condiciones. Utilice atributos de grupo y de identidad para configurar dinámicamente los permisos en función de las necesidades en lugar de configurarlos para cada usuario. Por ejemplo, puede conceder acceso a un grupo de desarrolladores para que solamente puedan administrar recursos de su proyecto. De este modo, si un desarrollador abandona el proyecto, su acceso se revoca automáticamente sin cambiar las políticas de acceso subyacentes.</t>
  </si>
  <si>
    <t>IAM Access Analyzer.
IAM Policies and Permission Management
Servicio: AWS IAM
Recurso: Políticas IAM, políticas administradas, y políticas en línea
Configuración: Políticas IAM configuradas con principios de menor privilegio, usando acciones y recursos específicos en lugar de permisos comodín
Permission Boundaries Implementation
Servicio: AWS IAM
Recurso: Límites de permisos para usuarios y roles
Configuración: Límites de permisos configurados para establecer permisos máximos que las políticas basadas en identidad pueden otorgar
IAM Access Analyzer
Servicio: AWS IAM Access Analyzer
Recurso: Generación de políticas y hallazgos de acceso no utilizado
Configuración: Access Analyzer habilitado para generar políticas de menor privilegio basadas en uso real e identificar permisos no utilizados
AWS Organizations Service Control Policies
Servicio: AWS Organizations
Recurso: Políticas de Control de Servicios (SCPs) para unidades organizacionales
Configuración: SCPs configuradas para hacer cumplir límites de permisos a nivel organizacional y prevenir escalación de privilegios
Resource-Based Policies and Conditions
Servicio: Varios servicios AWS
Recurso: Políticas basadas en recursos con acceso condicional
Configuración: Políticas de recursos configuradas con condiciones para restringir acceso basado en IP, tiempo, MFA, y otros atributos</t>
  </si>
  <si>
    <t>Verificar que el acceso otorgado cubra exclusivamente las acciones necesarias y se asigne dinámicamente mediante atributos, reduciendo los privilegios al mínimo.
Evaluación de Privilegios de Políticas Verificar que las políticas IAM estén configuradas con permisos mínimos necesarios en lugar de acceso excesivamente amplio. Cumplimiento indica definiciones específicas de acciones y recursos con condiciones apropiadas. Incumplimiento evidenciado por permisos comodín, concesiones de acceso administrativo o políticas excesivamente permisivas.
Aplicación de Límites de Permisos Verificar que los límites de permisos estén implementados para limitar los permisos máximos posibles. Cumplimiento indica uso activo de límites de permisos con límites apropiados. Incumplimiento evidenciado por límites de permisos faltantes, potencial de acceso ilimitado o falta de controles de permisos máximos.
Identificación de Permisos No Utilizados Verificar que los permisos no utilizados estén regularmente identificados y removidos mediante Access Analyzer. Cumplimiento indica detección activa de acceso no utilizado con limpieza regular. Incumplimiento evidenciado por permisos no utilizados acumulados, análisis de acceso faltante o falta de optimización de permisos.
Controles de Permisos Organizacionales Verificar que los controles a nivel organizacional estén implementados mediante SCPs para prevenir permisos excesivos. Cumplimiento indica aplicación activa de SCP con límites organizacionales apropiados. Incumplimiento evidenciado por SCPs faltantes, acceso organizacional irrestricto o falta de gobernanza centralizada de permisos.
Implementación de Acceso Condicional Verificar que las políticas de acceso incluyan condiciones apropiadas para restringir aún más los permisos. Cumplimiento indica uso amplio de acceso condicional con restricciones basadas en contexto. Incumplimiento evidenciado por concesiones de acceso incondicionales, restricciones de contexto faltantes o condiciones de acceso excesivamente amplias.</t>
  </si>
  <si>
    <t>IAM Policy Privilege Analysis
aws iam list-policies --scope Local --query 'Policies[*].[PolicyName,Arn]'
aws iam get-policy-version --policy-arn &lt;policy-arn&gt; --version-id v1 --query 'PolicyVersion.Document'
aws iam list-users --query 'Users[*].[UserName,CreateDate]'
aws iam list-attached-user-policies --user-name &lt;user-name&gt; --query 'AttachedPolicies[*].[PolicyName,PolicyArn]'
Permission Boundaries Assessment
aws iam list-users --query 'Users[*].[UserName,PermissionsBoundary.PermissionsBoundaryArn]'
aws iam list-roles --query 'Roles[*].[RoleName,PermissionsBoundary.PermissionsBoundaryArn]'
aws iam get-user --user-name &lt;user-name&gt; --query '[User.UserName,User.PermissionsBoundary]'
aws iam get-role --role-name &lt;role-name&gt; --query '[Role.RoleName,Role.PermissionsBoundary]'
IAM Access Analyzer Findings
aws accessanalyzer list-analyzers --query 'Analyzers[*].[Name,Status,Type]'
aws accessanalyzer list-findings --analyzer-arn &lt;analyzer-arn&gt; --query 'Findings[*].[Id,ResourceType,Status,CreatedAt]'
aws accessanalyzer get-finding --analyzer-arn &lt;analyzer-arn&gt; --id &lt;finding-id&gt; --query '[Finding.Id,Finding.Status,Finding.ResourceType]'
aws accessanalyzer list-policy-generations --query 'PolicyGenerations[*].[JobId,Status,StartedOn]'
Service Control Policies Verification
aws organizations list-policies --filter SERVICE_CONTROL_POLICY --query 'Policies[*].[Id,Name,Type]'
aws organizations describe-policy --policy-id &lt;policy-id&gt; --query '[Policy.PolicySummary.Name,Policy.Content]'
aws organizations list-targets-for-policy --policy-id &lt;policy-id&gt; --query 'Targets[*].[TargetId,Name,Type]'
aws organizations list-accounts --query 'Accounts[*].[Id,Name,Status]'
Administrative Access Detection
aws iam list-policies --query 'Policies[?PolicyName==`AdministratorAccess`].[PolicyName,Arn]'
aws iam list-entities-for-policy --policy-arn arn:aws:iam::aws:policy/AdministratorAccess --query '[PolicyUsers,PolicyRoles,PolicyGroups]'
aws iam list-users --query 'Users[*].UserName' | jq -r '.[]' | while read user; do echo "User: $user"; aws iam list-attached-user-policies --user-name "$user" --query 'AttachedPolicies[?contains(PolicyName, `Admin`)].PolicyName'; done
Resource-Based Policy Conditions
aws s3api list-buckets --query 'Buckets[*].Name' | jq -r '.[]' | while read bucket; do echo "Bucket: $bucket"; aws s3api get-bucket-policy --bucket "$bucket" 2&gt;/dev/null | jq '.Policy | fromjson' || echo "No policy"; done
aws kms list-keys --query 'Keys[*].KeyId' | jq -r '.[]' | while read key; do echo "Key: $key"; aws kms get-key-policy --key-id "$key" --policy-name default --query 'Policy' | jq 'fromjson'; done
aws lambda list-functions --query 'Functions[*].FunctionName' | jq -r '.[]' | while read func; do echo "Function: $func"; aws lambda get-policy --function-name "$func" 2&gt;/dev/null | jq '.Policy | fromjson' || echo "No policy"; done</t>
  </si>
  <si>
    <r>
      <rPr>
        <b/>
        <sz val="11"/>
        <color rgb="FF000000"/>
        <rFont val="Montserrat"/>
      </rPr>
      <t>SEC03-BP03</t>
    </r>
    <r>
      <rPr>
        <sz val="11"/>
        <color rgb="FF000000"/>
        <rFont val="Montserrat"/>
      </rPr>
      <t xml:space="preserve"> Establecer proceso de acceso de emergencia</t>
    </r>
  </si>
  <si>
    <t>Cree un proceso que permita el acceso de emergencia a sus cargas de trabajo en el caso improbable de que se produzca un problema con su proveedor de identidades centralizado.
Debe diseñar procesos para diferentes modos de error que puedan provocar un evento de emergencia. Por ejemplo, en circunstancias normales, los usuarios de la plantilla se federan en la nube mediante un proveedor de identidades centralizado (SEC02-BP04) para administrar sus cargas de trabajo. Sin embargo, si su proveedor de identidades centralizado no responde o se modifica la configuración de la federación en la nube, es posible que los usuarios de la plantilla no puedan federarse en esta. Un proceso de acceso de emergencia permite a los administradores autorizados acceder a los recursos de la nube a través de medios alternativos (como una forma alternativa de federación o acceso directo de los usuarios) para solucionar problemas con la configuración de la federación o las cargas de trabajo. El proceso de acceso de emergencia se utiliza hasta que se restablezca el mecanismo de federación normal.</t>
  </si>
  <si>
    <t>Roles IAM de Emergencia (Break-Glass).
Emergency Access AWS Account
Servicio: AWS Organizations
Recurso: Cuenta dedicada de acceso de emergencia y roles entre cuentas
Configuración: Cuenta de acceso de emergencia configurada con usuarios IAM pre-creados, roles, y capacidades de acceso entre cuentas para escenarios de emergencia
Break-Glass IAM Users and Roles
Servicio: AWS IAM
Recurso: Usuarios IAM de emergencia y roles break-glass
Configuración: Usuarios IAM de emergencia y roles pre-creados configurados con permisos necesarios para operaciones críticas durante fallas del proveedor de identidad
AWS CloudTrail for Emergency Access Monitoring
Servicio: AWS CloudTrail
Recurso: Registros de CloudTrail y configuración de monitoreo
Configuración: CloudTrail habilitado con registro integral para actividad de cuenta de acceso de emergencia y monitoreo en tiempo real
Service Control Policies for Emergency Access
Servicio: AWS Organizations
Recurso: SCPs para gobernanza de acceso de emergencia
Configuración: SCPs configuradas para controlar el uso de acceso de emergencia y prevenir mal uso mientras permiten operaciones legítimas de emergencia
Alternative Identity Provider Configuration
Servicio: AWS IAM Identity Providers
Recurso: Proveedores SAML/OIDC de respaldo y configuración de federación
Configuración: Proveedores de identidad alternativos configurados como mecanismos de federación de respaldo para escenarios de acceso de emergencia</t>
  </si>
  <si>
    <t>Confirmar la existencia de un proceso alternativo de acceso para administradores en caso de que el proveedor de identidad centralizado presente fallos.
Preparación de Cuenta de Acceso de Emergencia Verificar que la cuenta dedicada de acceso de emergencia esté pre-creada y apropiadamente configurada para escenarios de emergencia. Cumplimiento indica cuenta de emergencia activa con recursos pre-aprovisionados y procedimientos documentados. Incumplimiento evidenciado por cuenta de emergencia faltante, recursos no preparados o falta de capacidad de acceso de emergencia.
Mecanismos de Acceso Break-Glass Verificar que los usuarios IAM break-glass y roles estén pre-creados y listos para uso inmediato durante emergencias. Cumplimiento indica mecanismos break-glass preparados con permisos apropiados. Incumplimiento evidenciado por acceso break-glass faltante, usuarios de emergencia no preparados o permisos de emergencia inadecuados.
Monitoreo y Alertas de Acceso de Emergencia Verificar que el monitoreo integral y alertas estén configurados para el uso de acceso de emergencia. Cumplimiento indica monitoreo activo con alertas en tiempo real sobre el uso de acceso de emergencia. Incumplimiento evidenciado por monitoreo de acceso de emergencia faltante, sin mecanismos de alerta o uso de emergencia no rastreado.
Gobernanza de Acceso de Emergencia Verificar que los controles de gobernanza apropiados estén en lugar para prevenir mal uso del acceso de emergencia. Cumplimiento indica controles de gobernanza activos con restricciones de uso y procesos de aprobación. Incumplimiento evidenciado por acceso de emergencia sin gobernanza, procesos de aprobación faltantes o falta de controles de uso.
Documentación y Pruebas de Acceso de Emergencia Verificar que los procedimientos de acceso de emergencia estén documentados y regularmente probados. Cumplimiento indica documentación integral con pruebas regulares y validación. Incumplimiento evidenciado por documentación faltante, procedimientos no probados o procesos de emergencia desactualizados.</t>
  </si>
  <si>
    <t>Emergency Access Account Configuration
aws organizations list-accounts --query 'Accounts[?contains(Name, `emergency`) || contains(Name, `break-glass`)][Id,Name,Status]'
aws organizations describe-account --account-id &lt;emergency-account-id&gt; --query '[Account.Id,Account.Name,Account.Status]'
aws sts assume-role --role-arn arn:aws:iam::&lt;emergency-account-id&gt;:role/&lt;emergency-role&gt; --role-session-name emergency-test --query 'Credentials.[AccessKeyId,Expiration]'
Break-Glass IAM Resources
aws iam list-users --query 'Users[?contains(UserName, `emergency`) || contains(UserName, `break-glass`)][UserName,CreateDate]'
aws iam list-roles --query 'Roles[?contains(RoleName, `emergency`) || contains(RoleName, `break-glass`)][RoleName,CreateDate]'
aws iam list-attached-user-policies --user-name &lt;emergency-user&gt; --query 'AttachedPolicies[*].[PolicyName,PolicyArn]'
aws iam list-attached-role-policies --role-name &lt;emergency-role&gt; --query 'AttachedPolicies[*].[PolicyName,PolicyArn]'
Emergency Access Monitoring Configuration
aws cloudtrail describe-trails --query 'TrailList[*].[Name,S3BucketName,IsMultiRegionTrail,IncludeGlobalServiceEvents]'
aws cloudtrail get-trail-status --name &lt;trail-name&gt; --query '[IsLogging,LatestDeliveryTime,StartLoggingTime]'
aws cloudwatch describe-alarms --query 'MetricAlarms[?contains(AlarmName, `emergency`) || contains(AlarmName, `break-glass`)][AlarmName,StateValue]'
aws sns list-topics --query 'Topics[?contains(TopicArn, `emergency`) || contains(TopicArn, `alert`)].TopicArn'
Service Control Policies for Emergency Access
aws organizations list-policies --filter SERVICE_CONTROL_POLICY --query 'Policies[*].[Id,Name,Type]'
aws organizations describe-policy --policy-id &lt;policy-id&gt; --query '[Policy.PolicySummary.Name,Policy.Content]'
aws organizations list-targets-for-policy --policy-id &lt;policy-id&gt; --query 'Targets[*].[TargetId,Name,Type]'
Alternative Identity Provider Configuration
aws iam list-saml-providers --query 'SAMLProviderList[*].[Arn,CreateDate]'
aws iam list-open-id-connect-providers --query 'OpenIDConnectProviderList[*].[Arn,CreateDate]'
aws iam get-saml-provider --saml-provider-arn &lt;provider-arn&gt; --query '[SAMLMetadataDocument,CreateDate]'
aws sso-admin list-instances --query 'Instances[*].[InstanceArn,IdentityStoreId]'
Emergency Access Usage History
aws cloudtrail lookup-events --lookup-attributes AttributeKey=Username,AttributeValue=&lt;emergency-user&gt; --start-time $(date -d '90 days ago' -I) --query 'Events[*].[EventTime,EventName,SourceIPAddress]'
aws cloudtrail lookup-events --lookup-attributes AttributeKey=EventName,AttributeValue=AssumeRole --start-time $(date -d '30 days ago' -I) --query 'Events[?contains(to_string(Resources), `emergency`) || contains(to_string(Resources), `break-glass`)][EventTime,Username,SourceIPAddress]'
aws logs describe-log-groups --log-group-name-prefix /aws/cloudtrail --query 'LogGroups[*].[LogGroupName,CreationTime]'</t>
  </si>
  <si>
    <r>
      <rPr>
        <b/>
        <sz val="11"/>
        <color rgb="FF000000"/>
        <rFont val="Montserrat"/>
      </rPr>
      <t>SEC03-BP04</t>
    </r>
    <r>
      <rPr>
        <sz val="11"/>
        <color rgb="FF000000"/>
        <rFont val="Montserrat"/>
      </rPr>
      <t xml:space="preserve"> Reducir permisos continuamente</t>
    </r>
  </si>
  <si>
    <t>A medida que los equipos determinen qué acceso es necesario, elimine los permisos innecesarios y establezca procesos de revisión para conseguir permisos con privilegios mínimos. Supervise y elimine continuamente las identidades y los permisos que no se utilicen, tanto para el acceso humano como para el de las máquinas.
Resultado deseado: las políticas de permisos deben cumplir con el principio de privilegio mínimo. A medida que se definan mejor las responsabilidades y los roles del trabajo, debe revisar sus políticas de permisos para eliminar los permisos innecesarios. Este enfoque reduce el alcance del impacto en caso de que las credenciales se expongan de forma inadvertida o se acceda a ellas sin autorización.</t>
  </si>
  <si>
    <t>IAM Access Analyzer, AWS CloudTrail.
IAM Access Analyzer Implementation
Servicio: AWS IAM Access Analyzer
Recurso: Analizadores de acceso, generación de políticas, y hallazgos de acceso no utilizado
Configuración: Access Analyzer habilitado para analizar continuamente permisos, generar políticas de menor privilegio, e identificar acceso no utilizado
Last Accessed Information Tracking
Servicio: AWS IAM
Recurso: Marcas de tiempo de último acceso de servicios y acciones
Configuración: IAM configurado para rastrear información de último acceso para usuarios, roles, y políticas para identificar permisos no utilizados
AWS CloudTrail Data Events Logging
Servicio: AWS CloudTrail
Recurso: Registro de eventos de datos para S3, DynamoDB, y otros servicios
Configuración: CloudTrail configurado con registro de eventos de datos habilitado para análisis detallado de acceso y optimización de permisos
AWS Config Rules for Permission Monitoring
Servicio: AWS Config
Recurso: Reglas de Config para detección de acceso no utilizado
Configuración: Reglas de Config configuradas para monitorear usuarios IAM no utilizados, roles, y access keys con remediación automatizada
Automated Permission Review Processes
Servicio: AWS Lambda, AWS Systems Manager
Recurso: Scripts automatizados y flujos de trabajo para análisis de permisos
Configuración: Automatización configurada para revisar regularmente y reducir permisos basados en patrones de uso</t>
  </si>
  <si>
    <t>Eliminar continuamente identidades y permisos que no se utilizan mediante procesos de revisión, para limitar el impacto en caso de exposición de credenciales.
Evaluación de Utilización de Access Analyzer Verificar que IAM Access Analyzer esté activamente usado para identificar permisos no utilizados y generar políticas de menor privilegio. Cumplimiento indica uso activo de Access Analyzer con generación regular de políticas y remediación de acceso no utilizado. Incumplimiento evidenciado por Access Analyzer deshabilitado, generación de políticas faltante o hallazgos de acceso no utilizado sin abordar.
Análisis de Información de Último Acceso Verificar que la información de último acceso esté regularmente revisada para identificar y remover permisos no utilizados. Cumplimiento indica revisión sistemática de datos de último acceso con acciones documentadas de reducción de permisos. Incumplimiento evidenciado por información de último acceso no revisada, permisos no utilizados acumulados o falta de optimización de permisos.
Limpieza de Identidades y Permisos No Utilizados Verificar que usuarios IAM no utilizados, roles, y permisos estén regularmente identificados y removidos. Cumplimiento indica procesos activos de limpieza con remoción documentada de acceso no utilizado. Incumplimiento evidenciado por identidades no utilizadas acumuladas, cuentas inactivas o acumulación excesiva de permisos.
Registro de Eventos de Datos para Análisis de Permisos Verificar que los eventos de datos de CloudTrail estén registrados para análisis detallado de permisos y optimización. Cumplimiento indica registro integral de eventos de datos con refinamiento de permisos basado en uso. Incumplimiento evidenciado por registro de eventos de datos faltante, análisis de acceso incompleto o falta de optimización detallada de permisos.
Implementación de Revisión Automatizada de Permisos Verificar que procesos automatizados estén implementados para revisión continua de permisos y reducción. Cumplimiento indica automatización activa con ciclos regulares de optimización de permisos. Incumplimiento evidenciado por procesos solo manuales, automatización faltante o revisiones de permisos infrecuentes.</t>
  </si>
  <si>
    <t xml:space="preserve">IAM Access Analyzer Configuration and Findings
aws accessanalyzer list-analyzers --query 'Analyzers[*].[Name,Status,Type,CreatedAt]'
aws accessanalyzer list-findings --analyzer-arn &lt;analyzer-arn&gt; --query 'Findings[*].[Id,ResourceType,Status,CreatedAt]'
aws accessanalyzer list-policy-generations --query 'PolicyGenerations[*].[JobId,Status,StartedOn,CompletedOn]'
aws accessanalyzer get-generated-policy --job-id &lt;job-id&gt; --query '[JobDetails.JobId,JobDetails.Status,GeneratedPolicyResult.Properties]'
Last Accessed Information Analysis
aws iam generate-service-last-accessed-details --arn &lt;user-or-role-arn&gt; --query 'JobId'
aws iam get-service-last-accessed-details --job-id &lt;job-id&gt; --query '[JobStatus,ServicesLastAccessed[*].[ServiceName,LastAuthenticated]]'
aws iam list-users --query 'Users[*].[UserName,CreateDate,PasswordLastUsed]'
aws iam list-roles --query 'Roles[*].[RoleName,CreateDate,RoleLastUsed.LastUsedDate]'
Unused Access Keys and Credentials
aws iam list-access-keys --query 'AccessKeyMetadata[*].[UserName,AccessKeyId,Status,CreateDate]'
aws iam get-access-key-last-used --access-key-id &lt;access-key-id&gt; --query '[AccessKeyLastUsed.LastUsedDate,AccessKeyLastUsed.ServiceName]'
aws iam generate-credential-report
aws iam get-credential-report --query 'Content' | base64 -d | awk -F',' 'NR&gt;1 &amp;&amp; $5=="false" &amp;&amp; $11=="N/A" {print $1}' | head -10
CloudTrail Data Events Configuration
aws cloudtrail describe-trails --query 'TrailList[*].[Name,HasCustomEventSelectors,HasInsightSelectors]'
aws cloudtrail get-event-selectors --trail-name &lt;trail-name&gt; --query '[EventSelectors,AdvancedEventSelectors]'
aws cloudtrail lookup-events --lookup-attributes AttributeKey=EventName,AttributeValue=GetObject --start-time $(date -d '30 days ago' -I) --max-items 5 --query 'Events[*].[EventTime,Username,Resources]'
Config Rules for Permission Monitoring
aws configservice describe-config-rules --query 'ConfigRules[?contains(ConfigRuleName, `unused`) || contains(ConfigRuleName, `access-key`)][ConfigRuleName,ConfigRuleState]'
aws configservice get-compliance-details-by-config-rule --config-rule-name access-keys-rotated --query 'EvaluationResults[*].[ComplianceType,ConfigRuleInvokedTime]'
aws configservice get-compliance-summary-by-config-rule --query 'ComplianceSummary'
Permission Usage Analysis
aws iam list-policies --scope Local --query 'Policies[*].[PolicyName,AttachmentCount,CreateDate]'
aws iam list-entities-for-policy --policy-arn &lt;policy-arn&gt; --query '[PolicyUsers,PolicyRoles,PolicyGroups]'
aws cloudtrail lookup-events --lookup-attributes AttributeKey=EventName,AttributeValue=CreateUser --start-time $(date -d '90 days ago' -I) --query 'Events[*].[EventTime,Username,Resources]'
aws cloudtrail lookup-events --lookup-attributes AttributeKey=EventName,AttributeValue=DeleteUser --start-time $(date -d '90 days ago' -I) --query 'Events[*].[EventTime,Username,Resources]'
</t>
  </si>
  <si>
    <r>
      <rPr>
        <b/>
        <sz val="11"/>
        <color rgb="FF000000"/>
        <rFont val="Montserrat"/>
      </rPr>
      <t>SEC03-BP05</t>
    </r>
    <r>
      <rPr>
        <sz val="11"/>
        <color rgb="FF000000"/>
        <rFont val="Montserrat"/>
      </rPr>
      <t xml:space="preserve"> Defina las barreras de permisos para su organización</t>
    </r>
  </si>
  <si>
    <t>Utilice las barreras de protección de permisos para reducir el ámbito de los permisos disponibles que se pueden conceder a las entidades principales. La cadena de evaluación de la política de permisos incluye sus barreras de protección para determinar los permisos efectivos de una entidad principal al tomar decisiones de autorización.  Puede definir barreras de protección mediante un enfoque basado en capas. Aplique algunas barreras de protección de manera generalizada en toda la organización y aplique otras de forma específica a las sesiones de acceso temporal.</t>
  </si>
  <si>
    <t>Service Control Policies (SCPs), IAM Permissions Boundaries.
AWS Organizations Service Control Policies (SCPs)
Servicio: AWS Organizations
Recurso: Políticas de Control de Servicios y estructura de unidades organizacionales
Configuración: SCPs configuradas para definir permisos máximos a través de la organización, prevenir escalación de privilegios, y hacer cumplir límites de conformidad
Multi-Account Strategy Implementation
Servicio: AWS Organizations
Recurso: Cuentas AWS y unidades organizacionales (OUs)
Configuración: Estructura multi-cuenta configurada para aislar cargas de trabajo, entornos, y equipos con propósitos y límites claros de cuentas
IAM Permission Boundaries
Servicio: AWS IAM
Recurso: Límites de permisos para usuarios y roles
Configuración: Límites de permisos configurados para establecer permisos máximos que las políticas basadas en identidad pueden otorgar a entidades IAM
AWS Control Tower Guardrails
Servicio: AWS Control Tower
Recurso: Barreras de protección preventivas y detectivas
Configuración: Control Tower habilitado con barreras de protección apropiadas configuradas para hacer cumplir políticas organizacionales de seguridad y conformidad
Resource-Based Policies and Conditions
Servicio: Varios servicios AWS
Recurso: Políticas basadas en recursos con condiciones organizacionales
Configuración: Políticas de recursos configuradas con condiciones para hacer cumplir patrones y restricciones de acceso organizacionales</t>
  </si>
  <si>
    <t>Auditar la implementación de límites de permisos organizacionales (barreras de protección) para reducir el ámbito máximo de privilegios que se pueden conceder.
Implementación de Políticas de Control de Servicios Verificar que las SCPs estén implementadas y haciendo cumplir activamente los límites de permisos organizacionales. Cumplimiento indica cobertura integral de SCP con restricciones apropiadas y gobernanza organizacional. Incumplimiento evidenciado por SCPs faltantes, políticas organizacionales excesivamente permisivas o falta de gobernanza centralizada de permisos.
Evaluación de Estructura Multi-Cuenta Verificar que las cargas de trabajo estén apropiadamente aisladas mediante estrategia multi-cuenta con límites claros. Cumplimiento indica organización de cuentas bien estructurada con separación apropiada de cargas de trabajo. Incumplimiento evidenciado por uso de cuenta única, entornos mixtos o propósitos de cuentas poco claros.
Aplicación de Límites de Permisos Verificar que los límites de permisos estén implementados para limitar permisos máximos a través de la organización. Cumplimiento indica uso amplio de límites de permisos con límites apropiados. Incumplimiento evidenciado por límites de permisos faltantes, potencial de permisos ilimitados o falta de controles de permisos máximos.
Cobertura de Barreras de Protección de Control Tower Verificar que las barreras de protección de AWS Control Tower estén habilitadas y haciendo cumplir políticas organizacionales. Cumplimiento indica despliegue activo de Control Tower con cobertura integral de barreras de protección. Incumplimiento evidenciado por Control Tower faltante, barreras de protección deshabilitadas o aplicación inadecuada de políticas.
Aplicación de Patrones de Acceso Organizacionales Verificar que patrones de acceso consistentes estén aplicados a través de la organización mediante políticas y condiciones. Cumplimiento indica patrones de acceso estandarizados con consistencia organizacional. Incumplimiento evidenciado por patrones de acceso inconsistentes, condiciones organizacionales faltantes o falta de políticas estandarizadas.</t>
  </si>
  <si>
    <t xml:space="preserve">Service Control Policies Assessment
aws organizations list-policies --filter SERVICE_CONTROL_POLICY --query 'Policies[*].[Id,Name,Type,AwsManaged]'
aws organizations describe-policy --policy-id &lt;policy-id&gt; --query '[Policy.PolicySummary.Name,Policy.Content]'
aws organizations list-targets-for-policy --policy-id &lt;policy-id&gt; --query 'Targets[*].[TargetId,Name,Type]'
aws organizations list-roots --query 'Roots[*].[Id,Name,PolicyTypes]'
Organizational Structure Analysis
aws organizations list-accounts --query 'Accounts[*].[Id,Name,Status,JoinedMethod]'
aws organizations list-organizational-units-for-parent --parent-id &lt;root-id&gt; --query 'OrganizationalUnits[*].[Id,Name]'
aws organizations describe-organization --query '[Organization.Id,Organization.MasterAccountId,Organization.FeatureSet]'
aws organizations list-accounts-for-parent --parent-id &lt;ou-id&gt; --query 'Accounts[*].[Id,Name]'
Permission Boundaries Implementation
aws iam list-users --query 'Users[*].[UserName,PermissionsBoundary.PermissionsBoundaryArn]'
aws iam list-roles --query 'Roles[*].[RoleName,PermissionsBoundary.PermissionsBoundaryArn]'
aws iam list-policies --scope Local --query 'Policies[?contains(PolicyName, `Boundary`) || contains(PolicyName, `Guardrail`)][PolicyName,Arn]'
Control Tower Configuration
aws controltower list-enabled-controls --target-identifier &lt;ou-arn&gt; --query 'EnabledControls[*].[ControlIdentifier,DriftStatus]'
aws controltower get-control-operation --operation-identifier &lt;operation-id&gt; --query '[OperationType,Status,StatusMessage]'
aws organizations list-organizational-units-for-parent --parent-id &lt;root-id&gt; --query 'OrganizationalUnits[?contains(Name, `Security`) || contains(Name, `Core`)][Id,Name]'
Cross-Account Access Patterns
aws iam list-roles --query 'Roles[?contains(AssumeRolePolicyDocument, `arn:aws:iam::`)][RoleName,CreateDate]'
aws sts get-caller-identity --query '[Account,UserId,Arn]'
aws organizations describe-account --account-id &lt;account-id&gt; --query '[Account.Id,Account.Name,Account.Status]'
Guardrail Compliance Monitoring
aws config describe-config-rules --query 'ConfigRules[?contains(ConfigRuleName, `guardrail`) || contains(ConfigRuleName, `compliance`)][ConfigRuleName,ConfigRuleState]'
aws config get-compliance-summary-by-config-rule --query 'ComplianceSummary'
aws cloudtrail lookup-events --lookup-attributes AttributeKey=EventName,AttributeValue=CreatePolicy --start-time $(date -d '30 days ago' -I) --query 'Events[*].[EventTime,Username,Resources]'
</t>
  </si>
  <si>
    <r>
      <rPr>
        <b/>
        <sz val="11"/>
        <color rgb="FF000000"/>
        <rFont val="Montserrat"/>
      </rPr>
      <t>SEC03-BP06</t>
    </r>
    <r>
      <rPr>
        <sz val="11"/>
        <color rgb="FF000000"/>
        <rFont val="Montserrat"/>
      </rPr>
      <t xml:space="preserve"> Gestionar el acceso según el ciclo de vida</t>
    </r>
  </si>
  <si>
    <t>Supervise y ajuste los permisos otorgados a sus entidades principales (usuarios, cargos y grupos) a lo largo de su ciclo de vida dentro de su organización. Ajuste la pertenencia a grupos a medida que los usuarios cambien de cargo y elimine el acceso cuando un usuario abandone la organización.</t>
  </si>
  <si>
    <t>Automatización de IdP.
AWS IAM Identity Center Lifecycle Management
Servicio: AWS IAM Identity Center
Recurso: Gestión de ciclo de vida de usuarios, conjuntos de permisos, y aprovisionamiento automatizado
Configuración: Identity Center configurado con aprovisionamiento/desaprovisionamiento automatizado de usuarios, integración SCIM, y gestión de permisos basada en ciclo de vida
SCIM Protocol Integration
Servicio: AWS IAM Identity Center
Recurso: Endpoints SCIM y sincronización de proveedores de identidad
Configuración: SCIM configurado para sincronización automática de información de usuarios y grupos desde proveedores de identidad externos
AWS Resource Access Manager (RAM)
Servicio: AWS Resource Access Manager
Recurso: Recursos compartidos y compartición basada en ciclo de vida
Configuración: RAM configurado para otorgar/revocar automáticamente acceso a recursos compartidos basado en ciclo de vida de cuenta y cambios organizacionales
IAM Access Reviews and Automation
Servicio: AWS IAM, AWS Lambda
Recurso: Procesos automatizados de revisión de acceso y políticas de ciclo de vida
Configuración: Procesos automatizados configurados para revisiones regulares de acceso, ajustes de permisos, y gestión de acceso basada en ciclo de vida
Identity Provider Integration
Servicio: Proveedores de identidad externos (Active Directory, Okta, etc.)
Recurso: Integración de sistemas HR y aprovisionamiento automatizado
Configuración: Proveedores de identidad configurados con integración de sistemas HR para gestión automática de ciclo de vida de usuarios</t>
  </si>
  <si>
    <t>Comprobar que los permisos se ajustan dinámicamente cuando un usuario cambia de cargo y se eliminan de inmediato al abandonar la organización.
Implementación de Procesos de Ciclo de Vida de Usuarios Verificar que procesos integrales de ciclo de vida de usuarios estén documentados e implementados para incorporación, cambios de rol, y desvinculación. Cumplimiento indica procesos de ciclo de vida bien definidos con aprovisionamiento y desaprovisionamiento automatizados. Incumplimiento evidenciado por gestión manual de ciclo de vida, procesos faltantes o ajustes de acceso retrasados.
Integración y Sincronización SCIM Verificar que el protocolo SCIM esté implementado para sincronización automática de información de usuarios y grupos. Cumplimiento indica sincronización SCIM activa con actualizaciones de identidad en tiempo real. Incumplimiento evidenciado por integración SCIM faltante, gestión manual de identidades o información de usuarios desactualizada.
Gestión de Ciclo de Vida de Conjuntos de Permisos Verificar que los conjuntos de permisos estén gestionados basados en roles laborales y etapas de ciclo de vida. Cumplimiento indica conjuntos de permisos basados en roles con niveles de acceso apropiados para el ciclo de vida. Incumplimiento evidenciado por asignaciones de permisos estáticas, niveles de acceso inapropiados o gestión basada en roles faltante.
Revisiones de Acceso Automatizadas Verificar que las revisiones regulares de acceso estén automatizadas e integradas en la gestión de ciclo de vida. Cumplimiento indica procesos de revisión automatizados con ajustes de acceso basados en ciclo de vida. Incumplimiento evidenciado por solo revisiones manuales, revisiones de acceso infrecuentes o integración de ciclo de vida faltante.
Gestión de Ciclo de Vida de Compartición de Recursos Verificar que los recursos compartidos estén gestionados basados en cambios organizacionales y de ciclo de vida de cuentas. Cumplimiento indica ajustes automatizados de compartición de recursos con integración de ciclo de vida. Incumplimiento evidenciado por compartición de recursos estática, gestión manual de compartición o ajustes basados en ciclo de vida faltantes.</t>
  </si>
  <si>
    <t xml:space="preserve">IAM Identity Center Lifecycle Configuration
aws sso-admin list-instances --query 'Instances[*].[InstanceArn,IdentityStoreId]'
aws identitystore list-users --identity-store-id &lt;identity-store-id&gt; --query 'Users[*].[UserId,UserName,DisplayName]'
aws identitystore list-groups --identity-store-id &lt;identity-store-id&gt; --query 'Groups[*].[GroupId,DisplayName,Description]'
aws sso-admin list-permission-sets --instance-arn &lt;instance-arn&gt; --query 'PermissionSets[*]'
SCIM Integration Status
aws sso-admin describe-instance-access-control-attribute-configuration --instance-arn &lt;instance-arn&gt; --query 'InstanceAccessControlAttributeConfiguration'
aws identitystore list-group-memberships --identity-store-id &lt;identity-store-id&gt; --group-id &lt;group-id&gt; --query 'GroupMemberships[*].[MemberId,MembershipId]'
aws sso-admin list-account-assignments --instance-arn &lt;instance-arn&gt; --account-id &lt;account-id&gt; --permission-set-arn &lt;permission-set-arn&gt; --query 'AccountAssignments[*]'
User Access and Permission Analysis
aws iam list-users --query 'Users[*].[UserName,CreateDate,PasswordLastUsed]'
aws iam generate-credential-report
aws iam get-credential-report --query 'Content' | base64 -d | head -10
aws iam list-roles --query 'Roles[*].[RoleName,CreateDate,RoleLastUsed.LastUsedDate]'
Resource Access Manager Configuration
aws ram get-resource-shares --resource-owner SELF --query 'ResourceShares[*].[Name,Status,CreationTime]'
aws ram get-resource-share-associations --association-type RESOURCE --query 'ResourceShareAssociations[*].[AssociatedEntity,Status,CreationTime]'
aws ram get-resource-share-invitations --query 'ResourceShareInvitations[*].[ResourceShareName,Status,InvitationTimestamp]'
Lifecycle Management Automation
aws lambda list-functions --query 'Functions[?contains(FunctionName, `lifecycle`) || contains(FunctionName, `access-review`)][FunctionName,LastModified]'
aws events list-rules --query 'Rules[?contains(Name, `lifecycle`) || contains(Name, `access`)][Name,State,ScheduleExpression]'
aws cloudwatch describe-alarms --query 'MetricAlarms[?contains(AlarmName, `access`) || contains(AlarmName, `lifecycle`)][AlarmName,StateValue]'
Access Review and Monitoring
aws cloudtrail lookup-events --lookup-attributes AttributeKey=EventName,AttributeValue=CreateUser --start-time $(date -d '30 days ago' -I) --query 'Events[*].[EventTime,Username,Resources]'
aws cloudtrail lookup-events --lookup-attributes AttributeKey=EventName,AttributeValue=DeleteUser --start-time $(date -d '30 days ago' -I) --query 'Events[*].[EventTime,Username,Resources]'
aws cloudtrail lookup-events --lookup-attributes AttributeKey=EventName,AttributeValue=AttachUserPolicy --start-time $(date -d '30 days ago' -I) --query 'Events[*].[EventTime,Username,Resources]'
</t>
  </si>
  <si>
    <r>
      <rPr>
        <b/>
        <sz val="11"/>
        <color rgb="FF000000"/>
        <rFont val="Montserrat"/>
      </rPr>
      <t>SEC03-BP07</t>
    </r>
    <r>
      <rPr>
        <sz val="11"/>
        <color rgb="FF000000"/>
        <rFont val="Montserrat"/>
      </rPr>
      <t xml:space="preserve"> Analizar el acceso público y entre cuentas</t>
    </r>
  </si>
  <si>
    <t>Supervise continuamente los resultados que pongan en relieve el acceso público y entre cuentas. Reduzca el acceso público y el acceso entre cuentas solo a los recursos que requieran este tipo de acceso.</t>
  </si>
  <si>
    <t>Amazon S3, IAM Access Analyzer, Configuraciones de exposición.
AWS IAM Access Analyzer
Servicio: AWS IAM Access Analyzer
Recurso: Analizadores de acceso, hallazgos, y reportes de acceso externo
Configuración: Access Analyzer habilitado para monitorear continuamente acceso público y entre cuentas a recursos con visibilidad a nivel organizacional
AWS Config Rules for Public Access Detection
Servicio: AWS Config
Recurso: Reglas de Config para monitoreo de acceso público
Configuración: Reglas de Config configuradas para detectar recursos públicamente accesibles, permisos mal configurados, y patrones de acceso no autorizados
Amazon S3 Block Public Access
Servicio: Amazon S3
Recurso: Configuraciones de acceso público a nivel de bucket y cuenta
Configuración: S3 Block Public Access habilitado para prevenir exposición pública accidental con monitoreo de cambios de configuración
AWS Security Hub and Control Tower
Servicio: AWS Security Hub, AWS Control Tower
Recurso: Estándares de seguridad, barreras de protección, y hallazgos de conformidad
Configuración: Security Hub y Control Tower configurados con barreras de protección para detectar y remediar violaciones de acceso público
Resource-Based Policies Analysis
Servicio: Varios servicios AWS
Recurso: Políticas basadas en recursos con acceso entre cuentas
Configuración: Políticas de recursos configuradas con condiciones y restricciones apropiadas para acceso entre cuentas autorizado únicamente</t>
  </si>
  <si>
    <t>1. Exposición de S3: Verificar que la función Block Public Access esté activada a nivel de cuenta y bucket. Los buckets no deben estar expuestos a Internet bajo ninguna circunstancia no justificada.
2. Exposición de IAM/Recursos: Usar Access Analyzer para garantizar que no existan políticas de recursos que permitan acceso anónimo ("Principal": "*") desde Internet.
Implementación de IAM Access Analyzer Verificar que IAM Access Analyzer esté habilitado y monitoreando activamente acceso público y entre cuentas. Cumplimiento indica despliegue integral de Access Analyzer con revisiones regulares de hallazgos y remediación. Incumplimiento evidenciado por Access Analyzer deshabilitado, hallazgos no revisados o monitoreo de acceso externo faltante.
Detección y Prevención de Acceso Público Verificar que mecanismos de detección de acceso público estén implementados y previniendo activamente exposición no autorizada. Cumplimiento indica monitoreo activo de acceso público con prevención automatizada y alertas. Incumplimiento evidenciado por controles de acceso público faltantes, recursos públicos no detectados o falta de monitoreo de exposición.
Gobernanza de Acceso Entre Cuentas Verificar que el acceso entre cuentas esté apropiadamente gobernado con procesos de aprobación documentados y monitoreo. Cumplimiento indica acceso entre cuentas controlado con autorización apropiada y monitoreo. Incumplimiento evidenciado por acceso entre cuentas sin gobernanza, procesos de aprobación faltantes o acceso externo no monitoreado.
Análisis de Políticas de Recursos Verificar que las políticas basadas en recursos estén regularmente analizadas para acceso público o entre cuentas inapropiado. Cumplimiento indica análisis sistemático de políticas con restricciones de acceso apropiadas. Incumplimiento evidenciado por políticas excesivamente permisivas, revisiones de políticas faltantes o concesiones de acceso externo inapropiadas.
Remediación Automatizada y Alertas Verificar que remediación automatizada y alertas estén configuradas para violaciones de acceso público. Cumplimiento indica respuesta automatizada activa con alertas en tiempo real y remediación. Incumplimiento evidenciado por remediación solo manual, alertas faltantes o respuesta retrasada a violaciones de acceso.</t>
  </si>
  <si>
    <t xml:space="preserve">IAM Access Analyzer Configuration and Findings
aws accessanalyzer list-analyzers --query 'Analyzers[*].[Name,Status,Type,CreatedAt]'
aws accessanalyzer list-findings --analyzer-arn &lt;analyzer-arn&gt; --query 'Findings[*].[Id,ResourceType,Status,CreatedAt]'
aws accessanalyzer get-finding --analyzer-arn &lt;analyzer-arn&gt; --id &lt;finding-id&gt; --query '[Finding.Id,Finding.Status,Finding.ResourceType,Finding.Condition]'
aws accessanalyzer list-archive-rules --analyzer-arn &lt;analyzer-arn&gt; --query 'ArchiveRules[*].[RuleName,CreatedAt]'
S3 Public Access Configuration
aws s3api get-public-access-block --bucket &lt;bucket-name&gt; --query 'PublicAccessBlockConfiguration'
aws s3api get-account-public-access-block --query 'PublicAccessBlockConfiguration'
aws s3api list-buckets --query 'Buckets[*].Name' | jq -r '.[]' | while read bucket; do echo "Bucket: $bucket"; aws s3api get-bucket-policy --bucket "$bucket" 2&gt;/dev/null | jq '.Policy | fromjson' || echo "No policy"; done
aws s3api list-buckets --query 'Buckets[*].Name' | jq -r '.[]' | while read bucket; do echo "Bucket: $bucket"; aws s3api get-bucket-acl --bucket "$bucket" --query 'Grants[?Grantee.URI==`http://acs.amazonaws.com/groups/global/AllUsers`]'; done
Config Rules for Public Access Detection
aws configservice describe-config-rules --query 'ConfigRules[?contains(ConfigRuleName, `public`) || contains(ConfigRuleName, `s3`)][ConfigRuleName,ConfigRuleState]'
aws configservice get-compliance-details-by-config-rule --config-rule-name s3-bucket-public-read-prohibited --query 'EvaluationResults[*].[ComplianceType,ConfigRuleInvokedTime]'
aws configservice get-compliance-summary-by-config-rule --query 'ComplianceSummary'
Cross-Account Access Analysis
aws iam list-roles --query 'Roles[?contains(AssumeRolePolicyDocument, `arn:aws:iam::`)][RoleName,CreateDate]'
aws kms list-keys --query 'Keys[*].KeyId' | jq -r '.[]' | while read key; do echo "Key: $key"; aws kms get-key-policy --key-id "$key" --policy-name default --query 'Policy' | jq 'fromjson | select(.Statement[].Principal | type == "object" and has("AWS"))'; done
aws lambda list-functions --query 'Functions[*].FunctionName' | jq -r '.[]' | while read func; do echo "Function: $func"; aws lambda get-policy --function-name "$func" 2&gt;/dev/null | jq '.Policy | fromjson' || echo "No policy"; done
Security Hub and Control Tower Findings
aws securityhub get-findings --filters '{"ProductName":[{"Value":"Config","Comparison":"EQUALS"}],"ComplianceStatus":[{"Value":"FAILED","Comparison":"EQUALS"}]}' --query 'Findings[*].[Id,Title,ComplianceStatus]'
aws controltower list-enabled-controls --target-identifier &lt;ou-arn&gt; --query 'EnabledControls[*].[ControlIdentifier,DriftStatus]'
aws securityhub describe-standards --query 'Standards[*].[StandardsArn,Name,EnabledByDefault]'
Resource Sharing and External Access
aws ram get-resource-shares --resource-owner SELF --query 'ResourceShares[*].[Name,Status,AllowExternalPrincipals]'
aws organizations describe-organization --query '[Organization.Id,Organization.MasterAccountId,Organization.FeatureSet]'
aws cloudtrail lookup-events --lookup-attributes AttributeKey=EventName,AttributeValue=PutBucketPolicy --start-time $(date -d '30 days ago' -I) --query 'Events[*].[EventTime,Username,SourceIPAddress]'
</t>
  </si>
  <si>
    <r>
      <rPr>
        <b/>
        <sz val="11"/>
        <color rgb="FF000000"/>
        <rFont val="Montserrat"/>
      </rPr>
      <t>SEC03-BP08</t>
    </r>
    <r>
      <rPr>
        <sz val="11"/>
        <color rgb="FF000000"/>
        <rFont val="Montserrat"/>
      </rPr>
      <t xml:space="preserve"> Comparta recursos de forma segura dentro de su organización</t>
    </r>
  </si>
  <si>
    <t>A medida que el número de cargas de trabajo va aumentando, es posible que necesite compartir el acceso a los recursos de esas cargas de trabajo o aprovisionar los recursos varias veces entre varias cuentas. Es posible que disponga de constructos para compartimentar el entorno, como, por ejemplo, entornos de desarrollo, pruebas y producción. Sin embargo, disponer de constructos de separación no le impide compartir de forma segura. Al compartir componentes que se solapan, puede reducir la sobrecarga operativa y conseguir una experiencia uniforme sin tener que adivinar qué podría haber pasado por alto al crear el mismo recurso varias veces.</t>
  </si>
  <si>
    <t>AWS Resource Access Manager (RAM).
AWS Resource Access Manager (RAM)
Servicio: AWS Resource Access Manager
Recurso: Recursos compartidos, comparticiones de recursos, y compartición entre cuentas
Configuración: RAM configurado para compartir recursos de manera segura dentro de la organización con controles de acceso apropiados y monitoreo
AWS Organizations Integration
Servicio: AWS Organizations
Recurso: Estructura organizacional y configuración de acceso confiable
Configuración: Organizations configurado con acceso confiable habilitado para servicios AWS y gobernanza centralizada de compartición de recursos
Data Perimeter Implementation
Servicio: AWS IAM, VPC Endpoints
Recurso: Políticas basadas en identidad, políticas de endpoints VPC, y controles de red
Configuración: Perímetro de datos configurado usando condiciones PrincipalOrgId, políticas de endpoints VPC, y controles de acceso de red
Cross-Account Service Integration
Servicio: AWS Security Hub, GuardDuty, Backup
Recurso: Compartición de datos entre cuentas y gestión centralizada
Configuración: Servicios configurados para compartir hallazgos, respaldos, y datos de seguridad entre cuentas dentro de la organización
Amazon S3 Secure Sharing
Servicio: Amazon S3, CloudFront
Recurso: Políticas de buckets S3, ACLs, y Control de Acceso de Origen
Configuración: S3 configurado con políticas IAM en lugar de ACLs, Control de Acceso de Origen (OAC) implementado para integración con CloudFront</t>
  </si>
  <si>
    <t>Verificar que los componentes superpuestos de la infraestructura se compartan de manera segura para evitar replicar recursos y reducir la sobrecarga.
Implementación de Resource Access Manager Verificar que AWS RAM esté configurado y usado activamente para compartición segura de recursos dentro de la organización. Cumplimiento indica uso integral de RAM con comparticiones de recursos apropiadas y controles de acceso. Incumplimiento evidenciado por implementación de RAM faltante, compartición manual de recursos o acceso entre cuentas sin gobernanza.
Establecimiento de Perímetro de Datos Verificar que el perímetro de datos esté establecido usando controles basados en identidad y de red. Cumplimiento indica perímetro de datos integral con condiciones PrincipalOrgId y políticas de endpoints VPC. Incumplimiento evidenciado por perímetro de datos faltante, acceso excesivamente permisivo o falta de controles de acceso organizacionales.
Configuración de Acceso Confiable de Organizations Verificar que el acceso confiable de AWS Organizations esté apropiadamente configurado para integración de servicios. Cumplimiento indica configuración apropiada de acceso confiable con gobernanza centralizada. Incumplimiento evidenciado por acceso confiable faltante, integración manual de servicios o gestión descentralizada de recursos.
Compartición de Servicios Entre Cuentas Verificar que los servicios AWS estén configurados para compartición segura entre cuentas dentro de la organización. Cumplimiento indica integración activa de servicios entre cuentas con gestión centralizada. Incumplimiento evidenciado por integración de servicios faltante, configuración manual entre cuentas o compartición de servicios sin gobernanza.
Implementación de Compartición Segura de S3 Verificar que los recursos S3 estén compartidos de manera segura usando políticas IAM y controles de acceso modernos. Cumplimiento indica control de acceso S3 basado en IAM con implementación OAC. Incumplimiento evidenciado por acceso basado en ACL, implementación OAC faltante o patrones de compartición S3 inseguros.</t>
  </si>
  <si>
    <t>AWS Resource Access Manager Configuration
aws ram get-resource-shares --resource-owner SELF --query 'ResourceShares[*].[Name,Status,CreationTime,AllowExternalPrincipals]'
aws ram get-resource-share-associations --association-type RESOURCE --query 'ResourceShareAssociations[*].[AssociatedEntity,Status,CreationTime]'
aws ram get-resource-share-invitations --query 'ResourceShareInvitations[*].[ResourceShareName,Status,InvitationTimestamp]'
aws ram list-resources --resource-owner SELF --query 'Resources[*].[Arn,Type,Status]'
Organizations Trusted Access Status
aws organizations list-aws-service-access-for-organization --query 'EnabledServicePrincipals[*].[ServicePrincipal,DateEnabled]'
aws organizations describe-organization --query '[Organization.Id,Organization.MasterAccountId,Organization.FeatureSet]'
aws organizations list-accounts --query 'Accounts[*].[Id,Name,Status]'
aws organizations list-organizational-units-for-parent --parent-id &lt;root-id&gt; --query 'OrganizationalUnits[*].[Id,Name]'
Data Perimeter Implementation Analysis
aws iam list-policies --scope Local --query 'Policies[*].[PolicyName,Arn]'
aws iam get-policy-version --policy-arn &lt;policy-arn&gt; --version-id v1 --query 'PolicyVersion.Document' | jq 'select(.Statement[].Condition | has("StringEquals") and .StringEquals | has("aws:PrincipalOrgID"))'
aws ec2 describe-vpc-endpoints --query 'VpcEndpoints[*].[VpcEndpointId,ServiceName,PolicyDocument]'
Cross-Account Service Integration
aws securityhub describe-hub --query '[HubArn,SubscribedAt,AutoEnableControls]'
aws securityhub list-members --query 'Members[*].[AccountId,MemberStatus,InvitedAt]'
aws guardduty list-detectors --query 'DetectorIds'
aws guardduty get-master-account --detector-id &lt;detector-id&gt; --query '[Master.AccountId,Master.RelationshipStatus]'
aws backup list-backup-vaults --query 'BackupVaultList[*].[BackupVaultName,CreationDate]'
S3 Secure Sharing Configuration
aws s3api list-buckets --query 'Buckets[*].Name' | jq -r '.[]' | while read bucket; do echo "Bucket: $bucket"; aws s3api get-bucket-ownership-controls --bucket "$bucket" 2&gt;/dev/null || echo "No ownership controls"; done
aws s3api list-buckets --query 'Buckets[*].Name' | jq -r '.[]' | while read bucket; do echo "Bucket: $bucket"; aws s3api get-bucket-policy --bucket "$bucket" 2&gt;/dev/null | jq '.Policy | fromjson | select(.Statement[].Condition | has("StringEquals") and .StringEquals | has("aws:PrincipalOrgID"))' || echo "No org condition"; done
aws cloudfront list-distributions --query 'DistributionList.Items[*].[Id,Origins.Items[0].OriginAccessControlId]'
Resource Sharing Monitoring
aws cloudtrail lookup-events --lookup-attributes AttributeKey=EventName,AttributeValue=CreateResourceShare --start-time $(date -d '30 days ago' -I) --query 'Events[*].[EventTime,Username,Resources]'
aws cloudtrail lookup-events --lookup-attributes AttributeKey=EventName,AttributeValue=AssociateResourceShare --start-time $(date -d '30 days ago' -I) --query 'Events[*].[EventTime,Username,Resources]'
aws config describe-config-rules --query 'ConfigRules[?contains(ConfigRuleName, `ram`) || contains(ConfigRuleName, `sharing`)][ConfigRuleName,ConfigRuleState]'</t>
  </si>
  <si>
    <r>
      <rPr>
        <b/>
        <sz val="11"/>
        <color rgb="FF000000"/>
        <rFont val="Montserrat"/>
      </rPr>
      <t>SEC03-BP09</t>
    </r>
    <r>
      <rPr>
        <sz val="11"/>
        <color rgb="FF000000"/>
        <rFont val="Montserrat"/>
      </rPr>
      <t xml:space="preserve"> Compartir recursos de forma segura con un tercero</t>
    </r>
  </si>
  <si>
    <t>La seguridad de su entorno en la nube no se limita a su organización. Su organización puede recurrir a terceros para administrar una parte de sus datos. La administración de permisos para el sistema administrado por terceros debe seguir la práctica del acceso justo a tiempo mediante el principio del privilegio mínimo con credenciales temporales. Si colabora estrechamente con un tercero, podrán reducir juntos el alcance del impacto y el riesgo de un acceso no intencionado.</t>
  </si>
  <si>
    <t>Roles Multi-cuenta con External ID.
IAM Cross-Account Roles with External ID
Servicio: AWS IAM
Recurso: Roles entre cuentas, políticas de confianza, y configuración de ID externo
Configuración: Roles IAM configurados con condiciones de ID externo, políticas de menor privilegio, y relaciones de confianza seguras para acceso de terceros
IAM Roles Anywhere Implementation
Servicio: AWS IAM Roles Anywhere
Recurso: Anclas de confianza, perfiles, y autenticación basada en certificados
Configuración: Roles Anywhere configurado para gestionar roles IAM para aplicaciones fuera de AWS usando autenticación basada en certificados
Third-Party Access Monitoring
Servicio: AWS CloudTrail, CloudWatch
Recurso: Registros de acceso, monitoreo, y configuración de alertas
Configuración: Monitoreo configurado para rastrear patrones de acceso de terceros, asunciones de roles, y actividades sospechosas
Temporary Credentials Management
Servicio: AWS STS
Recurso: Credenciales de seguridad temporales y gestión de sesiones
Configuración: STS configurado para proporcionar credenciales temporales en lugar de claves de acceso a largo plazo para acceso de terceros
Access Review and Governance
Servicio: AWS IAM Access Analyzer, AWS Config
Recurso: Hallazgos de acceso externo y monitoreo de conformidad
Configuración: Access Analyzer y Config configurados para monitorear acceso de terceros y asegurar conformidad con políticas de seguridad</t>
  </si>
  <si>
    <t>Auditar que el acceso a terceros se realice bajo el principio de privilegio mínimo, en formato "justo a tiempo" y utilizando exclusivamente credenciales temporales.
Implementación de Seguridad de Roles Entre Cuentas Verificar que los roles entre cuentas estén configurados con IDs externos y políticas de menor privilegio. Cumplimiento indica implementación segura de roles entre cuentas con IDs externos únicos y permisos mínimos necesarios. Incumplimiento evidenciado por IDs externos faltantes, políticas excesivamente permisivas o relaciones de confianza inseguras.
Unicidad y Gestión de ID Externos Verificar que los IDs externos estén únicos, seguros, y apropiadamente gestionados para cada relación con terceros. Cumplimiento indica generación única de ID externos con prácticas de gestión seguras. Incumplimiento evidenciado por IDs externos reutilizados, IDs predecibles o gestión deficiente de IDs externos.
Eliminación de Credenciales a Largo Plazo Verificar que las credenciales a largo plazo estén deprecadas en favor de credenciales temporales y acceso basado en roles. Cumplimiento indica eliminación de credenciales a largo plazo con implementación de acceso basado en roles. Incumplimiento evidenciado por credenciales a largo plazo activas, acceso basado en roles faltante o prácticas de credenciales inseguras.
Monitoreo de Acceso de Terceros Verificar que el monitoreo integral esté implementado para patrones y actividades de acceso de terceros. Cumplimiento indica monitoreo activo con alertas sobre actividades sospechosas. Incumplimiento evidenciado por monitoreo de acceso faltante, actividades de terceros no rastreadas o falta de detección de actividades sospechosas.
Procesos de Revisión y Revocación de Acceso Verificar que revisiones regulares de acceso y procesos de revocación estén implementados para acceso de terceros. Cumplimiento indica revisiones sistemáticas de acceso con procedimientos de revocación documentados. Incumplimiento evidenciado por revisiones de acceso faltantes, acceso permanente de terceros o falta de procesos de revocación.</t>
  </si>
  <si>
    <t>Cross-Account Roles and External ID Analysis
aws iam list-roles --query 'Roles[?contains(AssumeRolePolicyDocument, `sts:ExternalId`)][RoleName,CreateDate]'
aws iam get-role --role-name &lt;role-name&gt; --query '[Role.RoleName,Role.AssumeRolePolicyDocument]'
aws iam list-attached-role-policies --role-name &lt;role-name&gt; --query 'AttachedPolicies[*].[PolicyName,PolicyArn]'
aws iam list-role-policies --role-name &lt;role-name&gt; --query 'PolicyNames'
IAM Roles Anywhere Configuration
aws rolesanywhere list-trust-anchors --query 'TrustAnchors[*].[TrustAnchorId,Name,Enabled]'
aws rolesanywhere list-profiles --query 'Profiles[*].[ProfileId,Name,Enabled]'
aws rolesanywhere get-trust-anchor --trust-anchor-id &lt;trust-anchor-id&gt; --query '[TrustAnchor.Name,TrustAnchor.Source]'
aws rolesanywhere get-profile --profile-id &lt;profile-id&gt; --query '[Profile.Name,Profile.RoleArns]'
Third-Party Access Monitoring
aws cloudtrail lookup-events --lookup-attributes AttributeKey=EventName,AttributeValue=AssumeRole --start-time $(date -d '30 days ago' -I) --query 'Events[?contains(to_string(Resources), `external`) || contains(Username, `assumed-role`)][EventTime,Username,SourceIPAddress]'
aws cloudwatch describe-alarms --query 'MetricAlarms[?contains(AlarmName, `third-party`) || contains(AlarmName, `external`)][AlarmName,StateValue]'
aws logs describe-log-groups --log-group-name-prefix /aws/cloudtrail --query 'LogGroups[*].[LogGroupName,CreationTime]'
Access Keys and Long-Term Credentials
aws iam list-access-keys --query 'AccessKeyMetadata[*].[UserName,AccessKeyId,Status,CreateDate]'
aws iam generate-credential-report
aws iam get-credential-report --query 'Content' | base64 -d | awk -F',' 'NR&gt;1 &amp;&amp; $4=="true" {print $1,$3,$4}' | head -10
aws iam list-users --query 'Users[*].[UserName,CreateDate,PasswordLastUsed]'
External Access Analysis
aws accessanalyzer list-analyzers --query 'Analyzers[*].[Name,Status,Type]'
aws accessanalyzer list-findings --analyzer-arn &lt;analyzer-arn&gt; --filter '{"resourceType":["AWS::IAM::Role"]}' --query 'Findings[*].[Id,ResourceType,Status,CreatedAt]'
aws accessanalyzer get-finding --analyzer-arn &lt;analyzer-arn&gt; --id &lt;finding-id&gt; --query '[Finding.Id,Finding.Principal,Finding.Condition]'
STS Token Usage Analysis
aws cloudtrail lookup-events --lookup-attributes AttributeKey=EventName,AttributeValue=GetSessionToken --start-time $(date -d '30 days ago' -I) --query 'Events[*].[EventTime,Username,SourceIPAddress]'
aws cloudtrail lookup-events --lookup-attributes AttributeKey=EventName,AttributeValue=AssumeRoleWithWebIdentity --start-time $(date -d '30 days ago' -I) --query 'Events[*].[EventTime,Username,Resources]'
aws sts get-caller-identity --query '[Account,UserId,Arn]'
Third-Party Access Governance
aws config describe-config-rules --query 'ConfigRules[?contains(ConfigRuleName, `cross-account`) || contains(ConfigRuleName, `external`)][ConfigRuleName,ConfigRuleState]'
aws config get-compliance-details-by-config-rule --config-rule-name &lt;rule-name&gt; --query 'EvaluationResults[*].[ComplianceType,ConfigRuleInvokedTime]'
aws organizations list-policies --filter SERVICE_CONTROL_POLICY --query 'Policies[*].[Id,Name,Type]'</t>
  </si>
  <si>
    <t>Detección
SEC 4. ¿Cómo se detectan e investigan los eventos de seguridad?</t>
  </si>
  <si>
    <r>
      <rPr>
        <b/>
        <sz val="11"/>
        <color rgb="FF000000"/>
        <rFont val="Montserrat"/>
      </rPr>
      <t>SEC04-BP01</t>
    </r>
    <r>
      <rPr>
        <sz val="11"/>
        <color rgb="FF000000"/>
        <rFont val="Montserrat"/>
      </rPr>
      <t xml:space="preserve"> Configurar el servicio y el registro de aplicaciones</t>
    </r>
  </si>
  <si>
    <t>Retenga los registros de eventos de seguridad de servicios y aplicaciones. Se trata de un principio fundamental de seguridad en casos de uso de auditoría, investigación y uso operativo, y un requisito de seguridad común basado en las normas, políticas y procedimientos de gobernanza, riesgo y cumplimiento (GRC).</t>
  </si>
  <si>
    <t>Amazon CloudWatch Logs, AWS CloudTrail.
AWS CloudTrail Configuration
Servicio: AWS CloudTrail
Recurso: Trails de CloudTrail, eventos de datos, y eventos de gestión
Configuración: CloudTrail configurado con trails multi-región, registro de eventos de datos habilitado, y captura integral de eventos para auditoría e investigaciones de seguridad
VPC Flow Logs Implementation
Servicio: Amazon VPC
Recurso: VPC Flow Logs para subredes, VPCs, e interfaces de red
Configuración: VPC Flow Logs habilitados con formato de registro apropiado, configuración de destino, y registro integral de tráfico de red
Application and Service Logging
Servicio: Servicios AWS (ELB, WAF, Config, GuardDuty, etc.)
Recurso: Registros específicos de servicios y registros de aplicaciones
Configuración: Registro de servicios habilitado para registros de acceso ELB, registros WAF, registros de grabador Config, hallazgos GuardDuty, y registros de aplicaciones personalizadas
Amazon CloudWatch Logs Configuration
Servicio: Amazon CloudWatch Logs
Recurso: Grupos de registros, flujos de registros, y políticas de retención
Configuración: CloudWatch Logs configurado con grupos de registros apropiados, políticas de retención, y recolección centralizada de registros de aplicaciones y servicios
Log Storage and Lifecycle Management
Servicio: Amazon S3, CloudWatch Logs
Recurso: Destinos de almacenamiento de registros y políticas de ciclo de vida
Configuración: Almacenamiento de registros configurado con períodos de retención apropiados, políticas de ciclo de vida, y clases de almacenamiento costo-efectivas para retención a largo plazo</t>
  </si>
  <si>
    <t>Confirmar que se retengan los registros de eventos para habilitar procesos de auditoría, investigación y cumplimiento de políticas de gobernanza.
Cobertura Integral de CloudTrail Verificar que CloudTrail esté configurado con cobertura integral incluyendo eventos de gestión y datos. Cumplimiento indica despliegue de CloudTrail multi-región con registro de eventos de datos habilitado para recursos críticos. Incumplimiento evidenciado por CloudTrail faltante, cobertura de región única o registro de eventos de datos deshabilitado.
Implementación de VPC Flow Logs Verificar que VPC Flow Logs estén habilitados para todas las VPCs, subredes, e interfaces de red críticas. Cumplimiento indica cobertura integral de VPC Flow Logs con formato de registro apropiado y configuración de destino. Incumplimiento evidenciado por VPC Flow Logs faltantes, cobertura incompleta o configuración inadecuada de formato de registro.
Configuración de Registro Específico de Servicios Verificar que el registro específico de servicios esté habilitado para todos los servicios AWS relevantes y aplicaciones. Cumplimiento indica registro integral de servicios con destinos y formatos de registro apropiados. Incumplimiento evidenciado por registros de servicios faltantes, características de registro deshabilitadas o configuración inadecuada de registros.
Gestión de Retención y Ciclo de Vida de Registros Verificar que políticas apropiadas de retención de registros y gestión de ciclo de vida estén implementadas. Cumplimiento indica políticas de retención bien definidas con gestión de ciclo de vida costo-efectiva y cumplimiento con requisitos regulatorios. Incumplimiento evidenciado por políticas de retención faltantes, períodos de retención inapropiados o falta de gestión de ciclo de vida.
Recolección y Almacenamiento Centralizado de Registros Verificar que los registros estén recolectados centralmente y almacenados en destinos apropiados. Cumplimiento indica recolección centralizada de registros con ubicaciones y formatos de almacenamiento estandarizados. Incumplimiento evidenciado por almacenamiento disperso de registros, centralización faltante o formatos de registro inconsistentes.</t>
  </si>
  <si>
    <t xml:space="preserve">CloudTrail Configuration Assessment
aws cloudtrail describe-trails --query 'TrailList[*].[Name,S3BucketName,IsMultiRegionTrail,IncludeGlobalServiceEvents,IsLogging]'
aws cloudtrail get-trail-status --name &lt;trail-name&gt; --query '[IsLogging,LatestDeliveryTime,StartLoggingTime]'
aws cloudtrail get-event-selectors --trail-name &lt;trail-name&gt; --query '[EventSelectors,AdvancedEventSelectors]'
aws cloudtrail list-trails --query 'Trails[*].[Name,TrailARN,HomeRegion]'
VPC Flow Logs Configuration
aws ec2 describe-flow-logs --query 'FlowLogs[*].[FlowLogId,ResourceId,TrafficType,LogDestination,LogDestinationType]'
aws ec2 describe-vpcs --query 'Vpcs[*].VpcId' | jq -r '.[]' | while read vpc; do echo "VPC: $vpc"; aws ec2 describe-flow-logs --filter "Name=resource-id,Values=$vpc" --query 'FlowLogs[*].[FlowLogId,TrafficType]'; done
aws logs describe-log-groups --log-group-name-prefix /aws/vpc/flowlogs --query 'LogGroups[*].[LogGroupName,RetentionInDays]'
Service-Specific Logging Status
aws elbv2 describe-load-balancers --query 'LoadBalancers[*].LoadBalancerArn' | jq -r '.[]' | while read lb; do echo "LB: $lb"; aws elbv2 describe-load-balancer-attributes --load-balancer-arn "$lb" --query 'Attributes[?Key==`access_logs.s3.enabled`]'; done
aws wafv2 list-web-acls --scope CLOUDFRONT --query 'WebACLs[*].[Name,Id]'
aws config describe-configuration-recorders --query 'ConfigurationRecorders[*].[Name,RecordingGroup]'
aws guardduty list-detectors --query 'DetectorIds'
CloudWatch Logs Configuration
aws logs describe-log-groups --query 'LogGroups[*].[LogGroupName,RetentionInDays,StoredBytes]'
aws logs describe-metric-filters --query 'MetricFilters[*].[FilterName,LogGroupName,FilterPattern]'
aws logs describe-destinations --query 'Destinations[*].[DestinationName,TargetArn]'
Application and Custom Logging
aws lambda list-functions --query 'Functions[*].FunctionName' | jq -r '.[]' | while read func; do echo "Function: $func"; aws logs describe-log-groups --log-group-name-prefix "/aws/lambda/$func" --query 'LogGroups[*].[LogGroupName,RetentionInDays]'; done
aws ecs list-clusters --query 'ClusterArns' | jq -r '.[]' | while read cluster; do echo "Cluster: $cluster"; aws ecs describe-clusters --clusters "$cluster" --query 'Clusters[*].[ClusterName,Status]'; done
aws rds describe-db-instances --query 'DBInstances[*].[DBInstanceIdentifier,EnabledCloudwatchLogsExports]'
Log Storage and Lifecycle Analysis
aws s3api list-buckets --query 'Buckets[?contains(Name, `log`) || contains(Name, `trail`)].Name'
aws s3api list-buckets --query 'Buckets[*].Name' | jq -r '.[]' | while read bucket; do echo "Bucket: $bucket"; aws s3api get-bucket-lifecycle-configuration --bucket "$bucket" 2&gt;/dev/null || echo "No lifecycle"; done
aws s3api list-buckets --query 'Buckets[*].Name' | jq -r '.[]' | while read bucket; do echo "Bucket: $bucket"; aws s3api get-bucket-notification-configuration --bucket "$bucket" --query 'CloudWatchConfigurations'; done
</t>
  </si>
  <si>
    <r>
      <rPr>
        <b/>
        <sz val="11"/>
        <color rgb="FF000000"/>
        <rFont val="Montserrat"/>
      </rPr>
      <t>SEC04-BP02</t>
    </r>
    <r>
      <rPr>
        <sz val="11"/>
        <color rgb="FF000000"/>
        <rFont val="Montserrat"/>
      </rPr>
      <t xml:space="preserve"> Capture registros, hallazgos y métricas en ubicaciones estandarizadas</t>
    </r>
  </si>
  <si>
    <t>Los equipos de seguridad se basan en los registros y los resultados para analizar aquellos eventos que podrían indicar una actividad no autorizada o cambios no intencionados. Para agilizar este análisis, recopile los registros de seguridad y los resultados en ubicaciones estandarizadas.  Esto hace que los puntos de datos de interés estén disponibles para su correlación y puede simplificar la integración de herramientas.</t>
  </si>
  <si>
    <t>Amazon S3 (Buckets Centrales).
Amazon Security Lake Implementation
Servicio: Amazon Security Lake
Recurso: Lago de datos de seguridad, estandarización de formato OCSF, e ingesta automatizada de datos
Configuración: Security Lake configurado para ingerir automáticamente y estandarizar datos de seguridad de servicios AWS y fuentes de terceros usando Open Cybersecurity Schema Framework (OCSF)
Log Archive Account Structure
Servicio: AWS Organizations, Amazon S3
Recurso: Cuenta dedicada de Archivo de Registros y almacenamiento centralizado de registros
Configuración: Cuenta de Archivo de Registros configurada como repositorio centralizado para todos los registros de seguridad con permisos apropiados de acceso entre cuentas y gobernanza de datos
Security Tooling Account Separation
Servicio: AWS Organizations, IAM
Recurso: Cuenta de Herramientas de Seguridad y herramientas de análisis
Configuración: Cuenta de Herramientas de Seguridad configurada separadamente de la cuenta de Archivo de Registros con acceso de lectura entre cuentas para herramientas de análisis de seguridad
Centralized Log Collection Infrastructure
Servicio: Amazon CloudWatch Logs, Amazon Kinesis, AWS Lambda
Recurso: Pipelines de agregación de registros y transformación de datos
Configuración: Recolección centralizada de registros configurada con procesos automatizados de ingesta, transformación y estandarización de datos
Analytics and Visualization Tools
Servicio: Amazon Athena, Amazon QuickSight, Amazon OpenSearch
Recurso: Motores de consulta y paneles de visualización
Configuración: Herramientas de análisis configuradas para consultar datos de seguridad estandarizados con controles de acceso apropiados y capacidades de visualización</t>
  </si>
  <si>
    <t>Verificar que todos los registros y métricas de seguridad se recopilen en ubicaciones estandarizadas para simplificar su análisis e integración.
Evaluación de Implementación de Security Lake Verificar que Amazon Security Lake esté implementado para estandarizar y centralizar la recolección de datos de seguridad. Cumplimiento indica despliegue activo de Security Lake con estandarización de formato OCSF e ingesta automatizada de datos de múltiples fuentes. Incumplimiento evidenciado por Security Lake faltante, recolección manual de datos o formatos de datos inconsistentes.
Configuración de Cuenta de Archivo de Registros Verificar que la cuenta dedicada de Archivo de Registros esté configurada para almacenamiento centralizado de registros de seguridad. Cumplimiento indica cuenta de Archivo de Registros bien estructurada con permisos apropiados, gobernanza de datos, y almacenamiento centralizado. Incumplimiento evidenciado por almacenamiento disperso de registros, cuenta dedicada faltante o controles de acceso inadecuados.
Acceso Entre Cuentas y Separación Verificar que la cuenta de Herramientas de Seguridad esté apropiadamente separada de la cuenta de Archivo de Registros con acceso entre cuentas apropiado. Cumplimiento indica separación clara de responsabilidades con patrones seguros de acceso entre cuentas. Incumplimiento evidenciado por uso mixto de cuentas, patrones de acceso inapropiados o falta de separación.
Implementación de Formato de Datos Estandarizado Verificar que los datos de seguridad estén almacenados en formatos estandarizados para análisis y correlación consistentes. Cumplimiento indica formatos de datos consistentes con cumplimiento OCSF y esquemas estandarizados. Incumplimiento evidenciado por formatos de datos inconsistentes, estandarización faltante o esquemas incompatibles.
Integración de Herramientas de Análisis Verificar que las herramientas de análisis y visualización estén apropiadamente integradas con ubicaciones de datos estandarizadas. Cumplimiento indica integración perfecta de herramientas con capacidades eficientes de consulta y visualización. Incumplimiento evidenciado por integración de herramientas faltante, consultas ineficientes o capacidades de análisis limitadas.</t>
  </si>
  <si>
    <t xml:space="preserve">Amazon Security Lake Configuration
aws securitylake list-data-lakes --query 'DataLakes[*].[DataLakeArn,Region,CreateStatus]'
aws securitylake get-data-lake-sources --accounts &lt;account-id&gt; --query 'DataLakeSources[*].[Account,SourceName,SourceStatus]'
aws securitylake list-subscribers --query 'Subscribers[*].[SubscriberArn,SubscriberName,SubscriberStatus]'
aws securitylake describe-data-lake --regions &lt;region&gt; --query 'DataLakeConfigurationList[*].[Region,EncryptionConfiguration,LifecycleConfiguration]'
Log Archive Account Structure
aws organizations list-accounts --query 'Accounts[?contains(Name, `Log`) || contains(Name, `Archive`)][Id,Name,Status]'
aws s3api list-buckets --query 'Buckets[?contains(Name, `log`) || contains(Name, `security`)].Name'
aws s3api list-buckets --query 'Buckets[*].Name' | jq -r '.[]' | while read bucket; do echo "Bucket: $bucket"; aws s3api get-bucket-policy --bucket "$bucket" 2&gt;/dev/null | jq '.Policy | fromjson | select(.Statement[].Principal | type == "object")' || echo "No cross-account policy"; done
Centralized Log Collection Assessment
aws logs describe-log-groups --query 'LogGroups[*].[LogGroupName,RetentionInDays,StoredBytes]'
aws kinesis list-streams --query 'StreamNames'
aws kinesis describe-stream --stream-name &lt;stream-name&gt; --query '[StreamDescription.StreamName,StreamDescription.StreamStatus,StreamDescription.ShardCount]'
aws lambda list-functions --query 'Functions[?contains(FunctionName, `log`) || contains(FunctionName, `security`)][FunctionName,Runtime]'
Cross-Account Access Configuration
aws iam list-roles --query 'Roles[?contains(RoleName, `CrossAccount`) || contains(RoleName, `LogAccess`)][RoleName,CreateDate]'
aws iam get-role --role-name &lt;cross-account-role&gt; --query '[Role.RoleName,Role.AssumeRolePolicyDocument]'
aws sts get-caller-identity --query '[Account,UserId,Arn]'
aws organizations describe-organization --query '[Organization.Id,Organization.MasterAccountId]'
Analytics Tools Integration
aws athena list-work-groups --query 'WorkGroups[*].[Name,State,Description]'
aws athena list-databases --catalog-name AwsDataCatalog --query 'DatabaseList[*].Name'
aws quicksight list-dashboards --aws-account-id &lt;account-id&gt; --query 'DashboardSummaryList[*].[DashboardId,Name,PublishedVersionNumber]'
aws opensearch list-domain-names --query 'DomainNames[*].[DomainName,EngineType]'
Data Format and Schema Validation
aws glue get-databases --query 'DatabaseList[*].[Name,Description]'
aws glue get-tables --database-name &lt;database-name&gt; --query 'TableList[*].[Name,StorageDescriptor.InputFormat]'
aws s3api list-objects-v2 --bucket &lt;security-lake-bucket&gt; --prefix "aws-waf-logs" --query 'Contents[*].[Key,Size]' --max-items 5
aws s3api head-object --bucket &lt;security-lake-bucket&gt; --key &lt;log-file-key&gt; --query '[ContentType,Metadata]'
Security Data Standardization Monitoring
aws cloudtrail lookup-events --lookup-attributes AttributeKey=EventName,AttributeValue=CreateDataLake --start-time $(date -d '30 days ago' -I) --query 'Events[*].[EventTime,Username,Resources]'
aws cloudwatch describe-alarms --query 'MetricAlarms[?contains(AlarmName, `SecurityLake`) || contains(AlarmName, `LogArchive`)][AlarmName,StateValue]'
aws config describe-config-rules --query 'ConfigRules[?contains(ConfigRuleName, `security-lake`) || contains(ConfigRuleName, `logging`)][ConfigRuleName,ConfigRuleState]'
</t>
  </si>
  <si>
    <r>
      <rPr>
        <b/>
        <sz val="11"/>
        <color rgb="FF000000"/>
        <rFont val="Montserrat"/>
      </rPr>
      <t>SEC04-BP03</t>
    </r>
    <r>
      <rPr>
        <sz val="11"/>
        <color rgb="FF000000"/>
        <rFont val="Montserrat"/>
      </rPr>
      <t xml:space="preserve"> Correlaciona y enriquece las alertas de seguridad</t>
    </r>
  </si>
  <si>
    <t>La actividad inesperada puede generar múltiples alertas de seguridad de diferentes fuentes, lo que requiere una mayor correlación y enriquecimiento para comprender el contexto completo. Implemente la correlación y el enriquecimiento automatizados de las alertas de seguridad para ayudar a lograr una identificación y una respuesta a los incidentes más precisas.</t>
  </si>
  <si>
    <t>Amazon Detective, SIEM.
Amazon Detective Implementation
Servicio: Amazon Detective
Recurso: Fuentes de datos de Detective, gráficos de comportamiento, y capacidades de investigación
Configuración: Detective habilitado con integración integral de fuentes de datos para correlación automatizada y enriquecimiento de hallazgos de seguridad
AWS Security Hub Integration
Servicio: AWS Security Hub
Recurso: Agregación de hallazgos de seguridad, insights personalizados, y enriquecimiento automatizado
Configuración: Security Hub configurado para agregar hallazgos de múltiples fuentes con insights personalizados y reglas de correlación automatizadas
Amazon EventBridge for Alert Orchestration
Servicio: Amazon EventBridge
Recurso: Reglas de eventos, objetivos, y flujos de trabajo automatizados
Configuración: EventBridge configurado con reglas para capturar alertas de seguridad y activar flujos de trabajo de enriquecimiento automáticamente
SIEM Integration and Custom Correlation
Servicio: AWS Lambda, Amazon Athena, SIEM de terceros
Recurso: Lógica de correlación personalizada, funciones de enriquecimiento de datos, y análisis automatizado
Configuración: Soluciones de correlación personalizadas configuradas usando funciones Lambda, consultas Athena, o herramientas SIEM de terceros para correlación avanzada de alertas
Threat Intelligence Integration
Servicio: AWS Lambda, Amazon S3, APIs externas
Recurso: Feeds de inteligencia de amenazas, bases de datos IOC, y fuentes de datos de enriquecimiento
Configuración: Integración de inteligencia de amenazas configurada para enriquecer alertas con contexto externo, datos de reputación, e indicadores de amenazas</t>
  </si>
  <si>
    <t>Auditar la existencia de automatizaciones que correlacionen alertas de múltiples orígenes para brindar contexto e identificar incidentes con precisión.
Implementación del Servicio Detective Verificar que Amazon Detective esté habilitado y correlacionando activamente hallazgos de seguridad a través de múltiples fuentes de datos. Cumplimiento indica despliegue integral de Detective con análisis de gráficos de comportamiento y capacidades de investigación automatizadas. Incumplimiento evidenciado por Detective deshabilitado, fuentes de datos faltantes o capacidades de correlación limitadas.
Configuración de Correlación de Security Hub Verificar que Security Hub esté configurado para agregar y correlacionar hallazgos de múltiples servicios de seguridad. Cumplimiento indica integración integral de Security Hub con insights personalizados y reglas de correlación automatizadas. Incumplimiento evidenciado por integración de Security Hub faltante, agregación limitada de hallazgos o falta de capacidades de correlación.
Enriquecimiento Automatizado de Alertas Verificar que procesos automatizados estén implementados para enriquecer alertas de seguridad con contexto adicional y metadatos. Cumplimiento indica enriquecimiento activo de alertas con información contextual y evaluación automatizada de severidad. Incumplimiento evidenciado por enriquecimiento solo manual, datos de contexto faltantes o procesamiento estático de alertas.
Correlación Entre Servicios Verificar que alertas de diferentes servicios estén correlacionadas para identificar patrones de ataque complejos y campañas. Cumplimiento indica correlación integral entre servicios con reconocimiento de patrones y detección de campañas. Incumplimiento evidenciado por procesamiento aislado de alertas, detección de patrones faltante o falta de análisis entre servicios.
Integración de Inteligencia de Amenazas Verificar que inteligencia de amenazas externa esté integrada para enriquecer alertas con contexto de amenazas y atribución. Cumplimiento indica integración activa de inteligencia de amenazas con coincidencia de IOC y atribución de amenazas. Incumplimiento evidenciado por inteligencia de amenazas faltante, análisis estático de alertas o falta de contexto externo.</t>
  </si>
  <si>
    <t>Amazon Detective Configuration
aws detective list-graphs --query 'GraphList[*].[Arn,CreatedTime]'
aws detective get-members --graph-arn &lt;graph-arn&gt; --query 'MemberDetails[*].[AccountId,Status,InvitedTime]'
aws detective list-datasource-packages --graph-arn &lt;graph-arn&gt; --query 'DatasourcePackages[*].[DatasourcePackageIngestState,LastIngestStateChange]'
aws detective describe-organization-configuration --graph-arn &lt;graph-arn&gt; --query '[AutoEnable,OrganizationConfiguration]'
Security Hub Findings and Insights
aws securityhub describe-hub --query '[HubArn,SubscribedAt,AutoEnableControls]'
aws securityhub get-findings --max-results 10 --query 'Findings[*].[Id,Title,Severity.Label,CreatedAt]'
aws securityhub get-insights --query 'Insights[*].[InsightArn,Name,GroupByAttribute]'
aws securityhub list-members --query 'Members[*].[AccountId,MemberStatus,InvitedAt]'
EventBridge Rules for Security Alerts
aws events list-rules --query 'Rules[?contains(Name, `security`) || contains(Name, `alert`)][Name,State,ScheduleExpression]'
aws events list-targets-by-rule --rule &lt;rule-name&gt; --query 'Targets[*].[Id,Arn,RoleArn]'
aws events describe-rule --name &lt;security-rule-name&gt; --query '[Name,EventPattern,State]'
Lambda Functions for Correlation
aws lambda list-functions --query 'Functions[?contains(FunctionName, `security`) || contains(FunctionName, `correlation`)][FunctionName,Runtime,LastModified]'
aws lambda get-function --function-name &lt;correlation-function&gt; --query '[Configuration.FunctionName,Configuration.Environment,Configuration.Role]'
aws logs describe-log-groups --log-group-name-prefix /aws/lambda --query 'LogGroups[?contains(LogGroupName, `security`)][LogGroupName,RetentionInDays]'
GuardDuty and Other Security Services Integration
aws guardduty list-detectors --query 'DetectorIds'
aws guardduty get-detector --detector-id &lt;detector-id&gt; --query '[Status,ServiceRole,FindingPublishingFrequency]'
aws guardduty list-findings --detector-id &lt;detector-id&gt; --query 'FindingIds' --max-results 5
aws macie2 get-macie-session --query '[Status,ServiceRole,CreatedAt]'
Custom Correlation and Enrichment Analysis
aws athena list-work-groups --query 'WorkGroups[*].[Name,State,Description]'
aws athena list-query-executions --work-group &lt;workgroup-name&gt; --query 'QueryExecutionIds' --max-results 5
aws s3api list-objects-v2 --bucket &lt;threat-intel-bucket&gt; --prefix "indicators/" --query 'Contents[*].[Key,LastModified]' --max-items 5
aws cloudtrail lookup-events --lookup-attributes AttributeKey=EventName,AttributeValue=CreateInsight --start-time $(date -d '30 days ago' -I) --query 'Events[*].[EventTime,Username,Resources]'
Alert Correlation Monitoring
aws cloudwatch describe-alarms --query 'MetricAlarms[?contains(AlarmName, `correlation`) || contains(AlarmName, `enrichment`)][AlarmName,StateValue]'
aws sns list-topics --query 'Topics[?contains(TopicArn, `security`) || contains(TopicArn, `alert`)].TopicArn'
aws sns list-subscriptions --query 'Subscriptions[*].[TopicArn,Protocol,Endpoint]'</t>
  </si>
  <si>
    <r>
      <rPr>
        <b/>
        <sz val="11"/>
        <color rgb="FF000000"/>
        <rFont val="Montserrat"/>
      </rPr>
      <t>SEC04-BP04</t>
    </r>
    <r>
      <rPr>
        <sz val="11"/>
        <color rgb="FF000000"/>
        <rFont val="Montserrat"/>
      </rPr>
      <t xml:space="preserve"> Iniciar remediación para recursos no conformes</t>
    </r>
  </si>
  <si>
    <t>Sus controles de detección pueden alertarle sobre la presencia de recursos no conformes con sus requisitos de configuración. Puede iniciar soluciones definidas mediante programación, de forma manual o automática, para corregir estos recursos y ayudar a minimizar los posibles impactos. Al definir las correcciones mediante programación, puede tomar medidas rápidas y coherentes.
Si bien la automatización puede mejorar las operaciones de seguridad, debe implementarla y administrarla con cuidado.  Establezca mecanismos de supervisión y control adecuados para verificar que las respuestas automatizadas sean eficaces, precisas y estén alineadas con las políticas de la organización y la propensión al riesgo.</t>
  </si>
  <si>
    <t>AWS Config Rules, Hallazgos de Seguridad.
AWS Config Remediation Configuration
Servicio: AWS Config
Recurso: Reglas de Config, configuraciones de remediación, y acciones de remediación automatizadas
Configuración: Config configurado con configuraciones de remediación para corregir automáticamente recursos no conformes usando documentos de Automatización de Systems Manager
AWS Security Hub CSPM Integration
Servicio: AWS Security Hub
Recurso: Hallazgos de seguridad, acciones personalizadas, y flujos de trabajo de remediación automatizados
Configuración: Security Hub configurado con acciones personalizadas y flujos de trabajo automatizados para iniciar remediación basada en hallazgos de seguridad y violaciones de conformidad
AWS Systems Manager Automation
Servicio: AWS Systems Manager
Recurso: Documentos de automatización, roles de ejecución, y flujos de trabajo de remediación
Configuración: Systems Manager configurado con documentos de automatización para definir acciones de remediación y roles de ejecución para remediación automatizada de recursos
AWS Lambda Remediation Functions
Servicio: AWS Lambda
Recurso: Funciones de remediación, disparadores de eventos, y lógica de respuesta automatizada
Configuración: Funciones Lambda configuradas para implementar lógica de remediación personalizada activada por eventos de seguridad y violaciones de conformidad
Amazon EventBridge Orchestration
Servicio: Amazon EventBridge
Recurso: Reglas de eventos, objetivos, y orquestación de flujos de trabajo automatizados
Configuración: EventBridge configurado para orquestar flujos de trabajo de remediación y enrutar eventos de seguridad a acciones de remediación apropiadas</t>
  </si>
  <si>
    <t>1. Remediación de reportes: Comprobar que los recursos marcados como NON_COMPLIANT en AWS Config o con vulnerabilidades en Security Hub tengan una acción de remediación asignada y que no se tengan desactualizadas las remediaciones frente a los reportes de seguridad diarios.
Implementación de Remediación de Config Verificar que las configuraciones de remediación de AWS Config estén implementadas para corregir automáticamente recursos no conformes. Cumplimiento indica despliegue integral de remediación de Config con acciones de remediación automatizadas y documentos de automatización apropiados. Incumplimiento evidenciado por configuraciones de remediación faltantes, remediación solo manual o remediación automatizada deshabilitada.
Respuesta Automatizada de Security Hub Verificar que Security Hub esté configurado con capacidades de respuesta automatizada para hallazgos de seguridad y violaciones de conformidad. Cumplimiento indica integración activa de Security Hub con acciones personalizadas y flujos de trabajo de remediación automatizados. Incumplimiento evidenciado por respuesta solo manual, acciones personalizadas faltantes o falta de flujos de trabajo automatizados.
Cobertura de Automatización de Systems Manager Verificar que los documentos de Automatización de Systems Manager estén implementados para escenarios comunes de remediación. Cumplimiento indica biblioteca integral de documentos de automatización con roles de ejecución apropiados y flujos de trabajo de remediación probados. Incumplimiento evidenciado por documentos de automatización faltantes, flujos de trabajo no probados o permisos de ejecución inadecuados.
Remediación Personalizada Basada en Lambda Verificar que funciones Lambda personalizadas estén implementadas para escenarios de remediación complejos no cubiertos por automatización estándar. Cumplimiento indica funciones de remediación Lambda bien diseñadas con manejo apropiado de errores y registro. Incumplimiento evidenciado por remediación personalizada faltante, manejo deficiente de errores o registro inadecuado.
Monitoreo y Auditoría de Remediación Verificar que monitoreo integral y auditoría estén implementados para acciones y resultados de remediación. Cumplimiento indica monitoreo activo con registro detallado, seguimiento de éxito/falla, y pistas de auditoría. Incumplimiento evidenciado por monitoreo de remediación faltante, registro inadecuado o falta de capacidades de auditoría.</t>
  </si>
  <si>
    <t>AWS Config Remediation Configuration
aws configservice describe-remediation-configurations --query 'RemediationConfigurations[*].[ConfigRuleName,TargetType,TargetId,Automatic]'
aws configservice describe-config-rules --query 'ConfigRules[*].[ConfigRuleName,ConfigRuleState,Source.Owner]'
aws configservice get-compliance-summary-by-config-rule --query 'ComplianceSummary'
aws configservice describe-remediation-execution-status --config-rule-name &lt;rule-name&gt; --query 'RemediationExecutionStatuses[*].[State,StartTime,StepDetails]'
Security Hub Custom Actions and Workflows
aws securityhub describe-action-targets --query 'ActionTargets[*].[ActionTargetArn,Name,Description]'
aws securityhub get-findings --filters '{"ComplianceStatus":[{"Value":"FAILED","Comparison":"EQUALS"}]}' --query 'Findings[*].[Id,Title,ComplianceStatus]' --max-results 5
aws securityhub describe-hub --query '[HubArn,AutoEnableControls,ControlFindingGenerator]'
Systems Manager Automation Documents
aws ssm list-documents --filters Key=DocumentType,Values=Automation --query 'DocumentIdentifiers[?contains(Name, `remediat`) || contains(Name, `fix`)][Name,DocumentVersion,DocumentType]'
aws ssm describe-document --name &lt;automation-document&gt; --query '[Document.Name,Document.Status,Document.Parameters]'
aws ssm describe-automation-executions --filters Key=DocumentName,Values=&lt;document-name&gt; --query 'AutomationExecutions[*].[AutomationExecutionId,AutomationExecutionStatus,ExecutionStartTime]'
Lambda Remediation Functions
aws lambda list-functions --query 'Functions[?contains(FunctionName, `remediat`) || contains(FunctionName, `fix`)][FunctionName,Runtime,LastModified]'
aws lambda get-function --function-name &lt;remediation-function&gt; --query '[Configuration.FunctionName,Configuration.Role,Configuration.Environment]'
aws logs describe-log-groups --log-group-name-prefix /aws/lambda --query 'LogGroups[?contains(LogGroupName, `remediat`)][LogGroupName,RetentionInDays]'
EventBridge Rules for Remediation
aws events list-rules --query 'Rules[?contains(Name, `remediat`) || contains(Name, `security`)][Name,State,EventPattern]'
aws events list-targets-by-rule --rule &lt;remediation-rule&gt; --query 'Targets[*].[Id,Arn,RoleArn]'
aws events describe-rule --name &lt;security-remediation-rule&gt; --query '[Name,EventPattern,State]'
Remediation Execution Monitoring
aws cloudtrail lookup-events --lookup-attributes AttributeKey=EventName,AttributeValue=StartRemediationExecution --start-time $(date -d '30 days ago' -I) --query 'Events[*].[EventTime,Username,Resources]'
aws cloudwatch describe-alarms --query 'MetricAlarms[?contains(AlarmName, `remediation`) || contains(AlarmName, `config`)][AlarmName,StateValue]'
aws sns list-topics --query 'Topics[?contains(TopicArn, `remediation`) || contains(TopicArn, `security`)].TopicArn'
Automated Security Response Assessment
aws cloudformation list-stacks --query 'StackSummaries[?contains(StackName, `security-response`) || contains(StackName, `remediation`)][StackName,StackStatus]'
aws cloudformation describe-stacks --stack-name &lt;security-response-stack&gt; --query 'Stacks[0].[StackName,StackStatus,Parameters]'
aws iam list-roles --query 'Roles[?contains(RoleName, `Remediation`) || contains(RoleName, `SecurityResponse`)][RoleName,CreateDate]'</t>
  </si>
  <si>
    <t>Protección de infraestructura
SEC 5. ¿Cómo protege usted los recursos de su red?</t>
  </si>
  <si>
    <r>
      <rPr>
        <b/>
        <sz val="11"/>
        <color rgb="FF000000"/>
        <rFont val="Montserrat"/>
      </rPr>
      <t>SEC05-BP01</t>
    </r>
    <r>
      <rPr>
        <sz val="11"/>
        <color rgb="FF000000"/>
        <rFont val="Montserrat"/>
      </rPr>
      <t xml:space="preserve"> Crear capas de red</t>
    </r>
  </si>
  <si>
    <t>Segmente la topología de red en diferentes capas en función de las agrupaciones lógicas de los componentes de la carga de trabajo según sus requisitos de acceso y la confidencialidad de los datos. Distinga entre los componentes que requieren acceso entrante desde Internet, como los puntos de conexión web públicos, y aquellos que solo necesitan acceso interno, como las bases de datos.</t>
  </si>
  <si>
    <t>Amazon VPC, Subredes (Subnets), Arquitectura de Exposición.
Amazon VPC Multi-Tier Architecture
Servicio: Amazon VPC
Recurso: VPCs, subredes (públicas/privadas), y segmentación de red
Configuración: VPC configurado con múltiples niveles (capas de presentación, aplicación, datos) usando subredes públicas y privadas para segmentación apropiada de red
Network Access Control Lists (NACLs)
Servicio: Amazon VPC
Recurso: ACLs de red para control de tráfico a nivel de subred
Configuración: NACLs configurados para controlar flujo de tráfico entre capas de red con reglas apropiadas de permitir/denegar basadas en sensibilidad de datos
Security Groups Configuration
Servicio: Amazon EC2
Recurso: Grupos de seguridad para control de tráfico a nivel de instancia
Configuración: Grupos de seguridad configurados con reglas de acceso de menor privilegio para controlar tráfico entre componentes dentro y a través de capas de red
Load Balancers and Proxies
Servicio: Elastic Load Balancing, Application Load Balancer
Recurso: Balanceadores de carga para endpoints públicos y distribución de tráfico
Configuración: Balanceadores de carga configurados en subredes públicas para proporcionar endpoints públicos mientras mantienen componentes de aplicación en subredes privadas
VPC Endpoints and PrivateLink
Servicio: Amazon VPC Endpoints, AWS PrivateLink
Recurso: Endpoints VPC para servicios AWS y conexiones PrivateLink
Configuración: Endpoints VPC configurados para acceder servicios gestionados de AWS sobre direcciones IP privadas sin dependencia de gateway de internet</t>
  </si>
  <si>
    <t>1. Eliminación de VPC por defecto: Auditar que la Default VPC de la cuenta AWS haya sido eliminada o no se esté utilizando para desplegar recursos.
2. Tamaño de Subredes: Comprobar que el enrutamiento CIDR de las subredes no sea mayor a 128 IPs (Máscara /25 o más restrictiva: /26, /27, etc.).
3. Aislamiento de Servicios: Validar que instancias EC2, bases de datos RDS, clústeres Aurora y Contenedores (ECS/EKS) se desplieguen exclusivamente en subredes privadas sin asignación de IP Pública (sin acceso directo a Internet).
Arquitectura de Red Multi-Nivel Verificar que los componentes de carga de trabajo estén organizados en capas lógicas de red basadas en sensibilidad de datos y requisitos de acceso. Cumplimiento indica separación clara entre capas de presentación, aplicación, y datos con límites de red apropiados. Incumplimiento evidenciado por arquitectura de un solo nivel, componentes de sensibilidad mixta o falta de separación lógica.
Implementación de Subredes Privadas Verificar que los recursos de cómputo estén desplegados en subredes privadas sin acceso directo a internet. Cumplimiento indica uso integral de subredes privadas para componentes de capas de aplicación y datos. Incumplimiento evidenciado por recursos de cómputo en subredes públicas, acceso directo a internet o despliegue de subredes privadas faltante.
Seguridad de Endpoints Públicos Verificar que los componentes de cara al público usen balanceadores de carga o proxies en lugar de exposición directa de instancias. Cumplimiento indica uso apropiado de balanceadores de carga para endpoints públicos con componentes backend en subredes privadas. Incumplimiento evidenciado por exposición directa de instancias, balanceadores de carga faltantes o acceso público inapropiado.
Controles de Acceso de Red Verificar que controles apropiados de acceso de red estén implementados entre capas usando NACLs y grupos de seguridad. Cumplimiento indica controles de acceso integrales con principios de menor privilegio y restricciones apropiadas por capa. Incumplimiento evidenciado por reglas excesivamente permisivas, controles de acceso faltantes o acceso inapropiado entre capas.
Implementación de Endpoints VPC Verificar que los servicios gestionados de AWS estén accedidos a través de endpoints VPC en lugar de gateways de internet. Cumplimiento indica uso integral de endpoints VPC para servicios AWS con acceso de IP privada. Incumplimiento evidenciado por dependencia de gateway de internet, endpoints VPC faltantes o acceso público a servicios.</t>
  </si>
  <si>
    <t>VPC and Subnet Architecture Analysis
aws ec2 describe-vpcs --query 'Vpcs[*].[VpcId,CidrBlock,State,Tags[?Key==`Name`].Value|[0]]'
aws ec2 describe-subnets --query 'Subnets[*].[SubnetId,VpcId,CidrBlock,MapPublicIpOnLaunch,AvailabilityZone,Tags[?Key==`Name`].Value|[0]]'
aws ec2 describe-route-tables --query 'RouteTables[*].[RouteTableId,VpcId,Routes[?GatewayId!=`local`].[DestinationCidrBlock,GatewayId]]'
aws ec2 describe-internet-gateways --query 'InternetGateways[*].[InternetGatewayId,Attachments[*].VpcId]'
Network ACLs Configuration
aws ec2 describe-network-acls --query 'NetworkAcls[*].[NetworkAclId,VpcId,Entries[*].[RuleNumber,Protocol,RuleAction,CidrBlock]]'
aws ec2 describe-network-acls --filters Name=association.subnet-id,Values=&lt;subnet-id&gt; --query 'NetworkAcls[*].[NetworkAclId,Entries[*].[RuleNumber,Protocol,RuleAction]]'
Security Groups Analysis
aws ec2 describe-security-groups --query 'SecurityGroups[*].[GroupId,GroupName,VpcId,IpPermissions[*].[IpProtocol,FromPort,ToPort,IpRanges[*].CidrIp]]'
aws ec2 describe-instances --query 'Reservations[*].Instances[*].[InstanceId,SubnetId,SecurityGroups[*].GroupId,PublicIpAddress,PrivateIpAddress]'
Load Balancers and Public Endpoints
aws elbv2 describe-load-balancers --query 'LoadBalancers[*].[LoadBalancerArn,LoadBalancerName,Scheme,Type,Subnets]'
aws elbv2 describe-target-groups --query 'TargetGroups[*].[TargetGroupArn,TargetGroupName,Protocol,Port,VpcId]'
aws elbv2 describe-listeners --load-balancer-arn &lt;lb-arn&gt; --query 'Listeners[*].[ListenerArn,Protocol,Port,DefaultActions[*].Type]'
VPC Endpoints Configuration
aws ec2 describe-vpc-endpoints --query 'VpcEndpoints[*].[VpcEndpointId,VpcId,ServiceName,VpcEndpointType,SubnetIds]'
aws ec2 describe-vpc-endpoint-services --query 'ServiceNames' | head -10
aws ec2 describe-vpc-endpoints --filters Name=service-name,Values=com.amazonaws.us-east-1.s3 --query 'VpcEndpoints[*].[VpcEndpointId,VpcId,State]'
Network Layer Separation Assessment
aws ec2 describe-instances --filters Name=instance-state-name,Values=running --query 'Reservations[*].Instances[*].[InstanceId,SubnetId,Tags[?Key==`Name`].Value|[0],SecurityGroups[*].GroupId]'
aws rds describe-db-instances --query 'DBInstances[*].[DBInstanceIdentifier,DBSubnetGroup.VpcId,DBSubnetGroup.Subnets[*].SubnetIdentifier,PubliclyAccessible]'
aws lambda list-functions --query 'Functions[*].[FunctionName,VpcConfig.VpcId,VpcConfig.SubnetIds]'</t>
  </si>
  <si>
    <r>
      <rPr>
        <b/>
        <sz val="11"/>
        <color rgb="FF000000"/>
        <rFont val="Montserrat"/>
      </rPr>
      <t>SEC05-BP02</t>
    </r>
    <r>
      <rPr>
        <sz val="11"/>
        <color rgb="FF000000"/>
        <rFont val="Montserrat"/>
      </rPr>
      <t xml:space="preserve"> Controle el flujo de tráfico dentro de sus capas de red</t>
    </r>
  </si>
  <si>
    <t>Dentro de las capas de su red, utilice una mayor segmentación para restringir el tráfico únicamente a los flujos necesarios para cada carga de trabajo. En primer lugar, céntrese en controlar el tráfico entre Internet u otros sistemas externos a una carga de trabajo y su entorno (tráfico norte-sur). A continuación, observe los flujos entre los diferentes componentes y sistemas (tráfico de este a oeste).</t>
  </si>
  <si>
    <t>Security Groups, Route Tables, VPC Peering, Network ACLs.
Security Groups Configuration
Servicio: Amazon EC2
Recurso: Grupos de seguridad con reglas de entrada y salida
Configuración: Grupos de seguridad configurados con principios de menor privilegio, rangos de puertos específicos, y restricciones de origen/destino basadas en requisitos de negocio
Network Access Control Lists (NACLs)
Servicio: Amazon VPC
Recurso: ACLs de red con control de tráfico a nivel de subred
Configuración: NACLs configurados con reglas sin estado para proporcionar capa adicional de control de tráfico entre subredes y capas de red
AWS Network Firewall Implementation
Servicio: AWS Network Firewall
Recurso: Políticas de firewall, grupos de reglas, e inspección de tráfico
Configuración: Network Firewall configurado con reglas personalizadas para inspección profunda de paquetes, filtrado de dominios, y protección avanzada contra amenazas
Route Tables and Traffic Routing
Servicio: Amazon VPC
Recurso: Tablas de rutas, reglas de enrutamiento, y dirección de tráfico
Configuración: Tablas de rutas configuradas para controlar flujo de tráfico entre subredes, VPCs, y redes externas con políticas de enrutamiento específicas
AWS PrivateLink and VPC Endpoints
Servicio: AWS PrivateLink
Recurso: Endpoints VPC, endpoints de interfaz, y conectividad privada
Configuración: PrivateLink configurado para conexiones seguras punto a punto entre VPCs y servicios AWS sin atravesar internet</t>
  </si>
  <si>
    <t>1. Restricción de 0.0.0.0/0: Comprobar que ningún Security Group tenga origen 0.0.0.0/0 para puertos ANY (Todos los puertos).
2. Puertos Inseguros: Validar que los puertos de administración/inseguros (22 SSH, 3389 RDP, 21 FTP, 80 HTTP, 8080, 23 Telnet, 1433, 3306) NO estén abiertos hacia Internet (0.0.0.0/0) ni hacia subredes amplias (máscaras /24, /23, /22, etc.). Deben estar restringidos a IPs específicas o VPNs.
3. Tablas de Ruteo: Auditar las Route Tables asegurando que no existan rutas estáticas apuntando a redes o subredes innecesariamente amplias, limitando el enrutamiento a destinos estrictos.
4. Auditoría de VPC Peering: Registrar como ALERTA o "Hallazgo para revisión" cualquier conexión de VPC Peering detectada. Documentar la evidencia y exigir justificación/remediación, ya que expanden la superficie de ataque.
5. (Adicional) Flag Publicly Accessible: Validar que este atributo esté en False en todos los RDS y Redshift.
Implementación de Menor Privilegio en Security Groups Verificar que los grupos de seguridad estén configurados con acceso de menor privilegio, puertos específicos, y restricciones apropiadas de origen/destino. Cumplimiento indica reglas granulares de grupos de seguridad con acceso mínimo necesario y sin reglas excesivamente permisivas. Incumplimiento evidenciado por orígenes 0.0.0.0/0, rangos amplios de puertos o restricciones de tráfico faltantes.
Defensa en Capas de Network ACLs Verificar que Network ACLs estén implementados como capa adicional de defensa con control apropiado de tráfico a nivel de subred. Cumplimiento indica implementación integral de NACL con reglas sin estado complementando grupos de seguridad. Incumplimiento evidenciado por solo NACLs por defecto, protección de subred faltante o defensa en capas inadecuada.
Controles Avanzados de Firewall Verificar que servicios avanzados de firewall estén implementados para inspección profunda de paquetes y filtrado a nivel de aplicación. Cumplimiento indica despliegue de AWS Network Firewall con reglas personalizadas, filtrado de dominios, y protección contra amenazas. Incumplimiento evidenciado por firewalls avanzados faltantes, solo filtrado básico o protección inadecuada a nivel de aplicación.
Control de Flujo de Tráfico y Enrutamiento Verificar que el enrutamiento de tráfico esté controlado a través de tablas de rutas apropiadas y políticas de enrutamiento. Cumplimiento indica enrutamiento bien diseñado con restricciones de flujo de tráfico y comunicación controlada entre subredes. Incumplimiento evidenciado por enrutamiento permisivo, flujo de tráfico no controlado o restricciones de enrutamiento faltantes.
Implementación de Conectividad Privada Verificar que soluciones de conectividad privada estén usadas para comunicación segura entre componentes. Cumplimiento indica uso integral de PrivateLink con endpoints VPC y conexiones privadas. Incumplimiento evidenciado por comunicación basada en internet, conectividad privada faltante o aislamiento inadecuado.</t>
  </si>
  <si>
    <t>Security Groups Analysis
aws ec2 describe-security-groups --query 'SecurityGroups[*].[GroupId,GroupName,IpPermissions[*].[IpProtocol,FromPort,ToPort,IpRanges[*].CidrIp,UserIdGroupPairs[*].GroupId]]'
aws ec2 describe-security-groups --filters Name=ip-permission.cidr,Values=0.0.0.0/0 --query 'SecurityGroups[*].[GroupId,GroupName,IpPermissions[?contains(IpRanges[].CidrIp, `0.0.0.0/0`)]]'
aws ec2 describe-security-groups --query 'SecurityGroups[?length(IpPermissions[?FromPort==`0` &amp;&amp; ToPort==`65535`]) &gt; `0`].[GroupId,GroupName]'
Network ACLs Configuration
aws ec2 describe-network-acls --query 'NetworkAcls[*].[NetworkAclId,VpcId,Entries[*].[RuleNumber,Protocol,RuleAction,CidrBlock,PortRange]]'
aws ec2 describe-network-acls --filters Name=entry.rule-action,Values=allow --query 'NetworkAcls[*].[NetworkAclId,Entries[?RuleAction==`allow`].[RuleNumber,CidrBlock,PortRange]]'
aws ec2 describe-network-acls --filters Name=default,Values=true --query 'NetworkAcls[*].[NetworkAclId,IsDefault,Associations[*].SubnetId]'
AWS Network Firewall Assessment
aws network-firewall list-firewalls --query 'Firewalls[*].[FirewallName,FirewallArn,VpcId]'
aws network-firewall describe-firewall --firewall-name &lt;firewall-name&gt; --query '[Firewall.FirewallName,Firewall.SubnetMappings,FirewallStatus.Status]'
aws network-firewall list-firewall-policies --query 'FirewallPolicies[*].[Name,Arn]'
aws network-firewall describe-firewall-policy --firewall-policy-name &lt;policy-name&gt; --query '[FirewallPolicy.StatelessDefaultActions,FirewallPolicy.StatefulRuleGroupReferences]'
Route Tables and Traffic Control
aws ec2 describe-route-tables --query 'RouteTables[*].[RouteTableId,VpcId,Routes[*].[DestinationCidrBlock,GatewayId,InstanceId,NetworkInterfaceId]]'
aws ec2 describe-route-tables --filters Name=association.main,Values=false --query 'RouteTables[*].[RouteTableId,Associations[*].SubnetId,Routes[*].[DestinationCidrBlock,GatewayId]]'
aws ec2 describe-transit-gateways --query 'TransitGateways[*].[TransitGatewayId,State,Options.DefaultRouteTableAssociation]'
VPC Endpoints and PrivateLink
aws ec2 describe-vpc-endpoints --query 'VpcEndpoints[*].[VpcEndpointId,VpcId,ServiceName,VpcEndpointType,SubnetIds,SecurityGroupIds]'
aws ec2 describe-vpc-endpoint-services --query 'ServiceDetails[*].[ServiceName,ServiceType,Owner]' --max-items 10
aws ec2 describe-vpc-endpoints --filters Name=vpc-endpoint-type,Values=Interface --query 'VpcEndpoints[*].[VpcEndpointId,ServiceName,PolicyDocument]'
Traffic Flow Analysis
aws ec2 describe-flow-logs --query 'FlowLogs[*].[FlowLogId,ResourceId,TrafficType,LogDestination,FlowLogStatus]'
aws logs describe-log-groups --log-group-name-prefix /aws/networkfirewall --query 'LogGroups[*].[LogGroupName,RetentionInDays]'
aws ec2 describe-instances --query 'Reservations[*].Instances[*].[InstanceId,SubnetId,SecurityGroups[*].GroupId,NetworkInterfaces[*].[NetworkInterfaceId,PrivateIpAddress]]'
DNS and Application Layer Controls
aws route53resolver list-resolver-rules --query 'ResolverRules[*].[Id,DomainName,RuleType,ResolverEndpointId]'
aws route53resolver list-firewall-rule-groups --query 'FirewallRuleGroups[*].[Id,Name,RuleCount]'
aws wafv2 list-web-acls --scope REGIONAL --query 'WebACLs[*].[Name,Id,ARN]'
aws wafv2 list-web-acls --scope CLOUDFRONT --query 'WebACLs[*].[Name,Id,ARN]'</t>
  </si>
  <si>
    <r>
      <rPr>
        <b/>
        <sz val="11"/>
        <color rgb="FF000000"/>
        <rFont val="Montserrat"/>
      </rPr>
      <t>SEC05-BP03</t>
    </r>
    <r>
      <rPr>
        <sz val="11"/>
        <color rgb="FF000000"/>
        <rFont val="Montserrat"/>
      </rPr>
      <t xml:space="preserve"> Implementar protección basada en inspección</t>
    </r>
  </si>
  <si>
    <t>Configure puntos de inspección del tráfico entre las capas de la red para asegurarse de que los datos en tránsito coincidan con las categorías y los patrones esperados.  Analice los flujos de tráfico, los metadatos y los patrones para ayudar a identificar y detectar los eventos y responder a ellos de manera más eficaz.</t>
  </si>
  <si>
    <t>AWS WAF, AWS Network Firewall, Application Load Balancers (ALB).
AWS Network Firewall Implementation
Servicio: AWS Network Firewall
Recurso: Políticas de firewall, grupos de reglas, y capacidades de inspección de tráfico
Configuración: Network Firewall configurado con reglas con estado y sin estado, filtrado de dominios, prevención de intrusiones, e inspección TLS para análisis integral de tráfico
AWS WAF (Web Application Firewall)
Servicio: AWS WAF
Recurso: ACLs web, reglas, y grupos de reglas gestionadas
Configuración: WAF configurado con conjuntos de reglas integrales, limitación de velocidad, geo-bloqueo, y protección contra vulnerabilidades OWASP Top 10 para tráfico de aplicaciones web
Gateway Load Balancer (GWLB) Integration
Servicio: AWS Gateway Load Balancer
Recurso: Endpoints GWLB, grupos objetivo, e integración de dispositivos de terceros
Configuración: GWLB configurado para distribuir tráfico a dispositivos de seguridad de terceros con inspección transparente y alta disponibilidad
VPC Traffic Mirroring
Servicio: Amazon VPC
Recurso: Sesiones de duplicación de tráfico, objetivos, y filtros
Configuración: Traffic Mirroring configurado para inspección fuera de banda con filtrado apropiado y configuración de objetivos para análisis de seguridad
Third-Party Security Appliances
Servicio: Soluciones de AWS Marketplace
Recurso: Dispositivos IPS/IDS, firewalls de próxima generación, y plataformas de seguridad
Configuración: Dispositivos de terceros configurados con inteligencia de amenazas, análisis de comportamiento, y capacidades de inspección avanzadas</t>
  </si>
  <si>
    <t>1. Inspección de Capa 7: Validar que las aplicaciones web expuestas a través de ALB, CloudFront o API Gateway tengan AWS WAF adjunto con reglas básicas (OWASP Top 10, IP Reputation).
2. Inspección de Red: Comprobar la existencia de AWS Network Firewall u otros Firewalls de próxima generación (NGFW de terceros en el Marketplace) para inspeccionar el tráfico perimetral e inter-VPC.
Cobertura Integral de Network Firewall Verificar que AWS Network Firewall esté desplegado con cobertura integral de reglas y capacidades de inspección apropiadas. Cumplimiento indica despliegue activo de Network Firewall con reglas con estado/sin estado, filtrado de dominios, y prevención de intrusiones. Incumplimiento evidenciado por Network Firewall faltante, solo reglas básicas o cobertura de inspección inadecuada.
Protección de Web Application Firewall Verificar que AWS WAF esté configurado para proteger aplicaciones web con conjuntos de reglas integrales y protecciones gestionadas. Cumplimiento indica despliegue integral de WAF con protección OWASP, limitación de velocidad, y reglas personalizadas. Incumplimiento evidenciado por protección WAF faltante, solo reglas básicas o seguridad inadecuada de aplicaciones web.
Inspección En Línea vs Fuera de Banda Verificar que métodos de inspección apropiados estén implementados basados en patrones de tráfico y requisitos de seguridad. Cumplimiento indica arquitectura de inspección bien diseñada con protección en línea para rutas críticas y análisis fuera de banda donde sea apropiado. Incumplimiento evidenciado por puntos de inspección faltantes, métodos de inspección inapropiados o cobertura inadecuada.
Integración y Gestión de Terceros Verificar que dispositivos de seguridad de terceros estén apropiadamente integrados y gestionados a través de GWLB u otros mecanismos. Cumplimiento indica integración perfecta de terceros con alta disponibilidad y gestión centralizada. Incumplimiento evidenciado por integración de terceros faltante, puntos únicos de falla o integración de gestión deficiente.
Inteligencia de Amenazas y Análisis de Comportamiento Verificar que sistemas de inspección estén configurados con feeds de inteligencia de amenazas y capacidades de análisis de comportamiento. Cumplimiento indica detección avanzada de amenazas con actualizaciones de inteligencia en tiempo real y líneas base de comportamiento. Incumplimiento evidenciado por conjuntos de reglas estáticas, inteligencia de amenazas faltante o falta de análisis de comportamiento.</t>
  </si>
  <si>
    <t xml:space="preserve">AWS Network Firewall Configuration
aws network-firewall list-firewalls --query 'Firewalls[*].[FirewallName,FirewallArn,VpcId]'
aws network-firewall describe-firewall --firewall-name &lt;firewall-name&gt; --query '[Firewall.FirewallName,Firewall.SubnetMappings,FirewallStatus.Status]'
aws network-firewall list-firewall-policies --query 'FirewallPolicies[*].[Name,Arn]'
aws network-firewall describe-firewall-policy --firewall-policy-name &lt;policy-name&gt; --query '[FirewallPolicy.StatelessDefaultActions,FirewallPolicy.StatefulRuleGroupReferences]'
aws network-firewall list-rule-groups --query 'RuleGroups[*].[Name,Arn,Type]'
AWS WAF Configuration Assessment
aws wafv2 list-web-acls --scope REGIONAL --query 'WebACLs[*].[Name,Id,ARN]'
aws wafv2 list-web-acls --scope CLOUDFRONT --query 'WebACLs[*].[Name,Id,ARN]'
aws wafv2 get-web-acl --scope REGIONAL --id &lt;web-acl-id&gt; --query '[WebACL.Name,WebACL.Rules[*].[Name,Priority,Action]]'
aws wafv2 list-managed-rule-sets --scope REGIONAL --query 'ManagedRuleSets[*].[Name,Id,Description]'
Gateway Load Balancer Integration
aws elbv2 describe-load-balancers --query 'LoadBalancers[?Type==`gateway`].[LoadBalancerArn,LoadBalancerName,Scheme,VpcId]'
aws elbv2 describe-target-groups --query 'TargetGroups[?Protocol==`GENEVE`].[TargetGroupArn,TargetGroupName,Protocol,Port]'
aws ec2 describe-vpc-endpoints --filters Name=service-name,Values=com.amazonaws.vpce.*.elasticloadbalancing --query 'VpcEndpoints[*].[VpcEndpointId,ServiceName,VpcId]'
VPC Traffic Mirroring Configuration
aws ec2 describe-traffic-mirror-sessions --query 'TrafficMirrorSessions[*].[TrafficMirrorSessionId,TrafficMirrorTargetId,NetworkInterfaceId,SessionNumber]'
aws ec2 describe-traffic-mirror-targets --query 'TrafficMirrorTargets[*].[TrafficMirrorTargetId,Type,NetworkInterfaceId,NetworkLoadBalancerArn]'
aws ec2 describe-traffic-mirror-filters --query 'TrafficMirrorFilters[*].[TrafficMirrorFilterId,Description,NetworkServices]'
Third-Party Security Appliances
aws ec2 describe-instances --filters Name=instance-state-name,Values=running --query 'Reservations[*].Instances[?contains(Tags[?Key==`Name`].Value, `firewall`) || contains(Tags[?Key==`Name`].Value, `security`)][InstanceId,InstanceType,SubnetId]'
aws marketplace-catalog list-entities --catalog AWSMarketplace --entity-type AmiProduct --query 'EntitySummaryList[?contains(Name, `firewall`) || contains(Name, `security`)][Name,EntityId]' --max-items 5
Inspection Coverage Analysis
aws ec2 describe-route-tables --query 'RouteTables[*].[RouteTableId,Routes[?contains(GatewayId, `vpce-`) || contains(NatGatewayId, `nat-`)]]'
aws logs describe-log-groups --log-group-name-prefix /aws/networkfirewall --query 'LogGroups[*].[LogGroupName,RetentionInDays,StoredBytes]'
aws cloudwatch describe-alarms --query 'MetricAlarms[?contains(AlarmName, `firewall`) || contains(AlarmName, `waf`)][AlarmName,StateValue,MetricName]'
Firewall Manager Centralized Management
aws fms list-policies --query 'PolicyList[*].[PolicyId,PolicyName,ResourceType,SecurityServiceType]'
aws fms get-policy --policy-id &lt;policy-id&gt; --query '[Policy.PolicyName,Policy.SecurityServicePolicyData.Type,Policy.ResourceType]'
aws fms list-compliance-status --policy-id &lt;policy-id&gt; --query 'PolicyComplianceStatusList[*].[MemberAccount,PolicyId,EvaluationResults[*].ComplianceStatus]'
</t>
  </si>
  <si>
    <r>
      <rPr>
        <b/>
        <sz val="11"/>
        <color rgb="FF000000"/>
        <rFont val="Montserrat"/>
      </rPr>
      <t>SEC05-BP04</t>
    </r>
    <r>
      <rPr>
        <sz val="11"/>
        <color rgb="FF000000"/>
        <rFont val="Montserrat"/>
      </rPr>
      <t xml:space="preserve"> Automatice la protección de la red</t>
    </r>
  </si>
  <si>
    <t xml:space="preserve">Automatice la implementación de las protecciones de su red mediante prácticas de DevOps, como la infraestructura como código (IaC) y las canalizaciones de CI/CD.  Estas prácticas pueden ayudarle a hacer un seguimiento de los cambios en las protecciones de la red a través de un sistema de control de versiones, a reducir el tiempo necesario para implementar los cambios y a detectar si las protecciones de la red se desvían de la configuración deseada.  </t>
  </si>
  <si>
    <t>AWS CloudFormation, CI/CD.
Infrastructure as Code (IaC) Implementation
Servicio: AWS CloudFormation, AWS CDK, Terraform
Recurso: Plantillas IaC, definiciones de recursos de red, y despliegues automatizados
Configuración: IaC configurado para definir protecciones de red, grupos de seguridad, firewalls, y políticas de red con control de versiones y despliegue automatizado
Managed Rules and Threat Intelligence
Servicio: AWS WAF, AWS Network Firewall, AWS Shield
Recurso: Grupos de reglas gestionadas, actualizaciones automáticas de inteligencia de amenazas, y protección DDoS
Configuración: Reglas gestionadas configuradas para actualizaciones automáticas basadas en la última inteligencia de amenazas con reglas gestionadas de AWS WAF y grupos de reglas gestionadas de Network Firewall
CI/CD Pipeline Integration
Servicio: AWS CodePipeline, AWS CodeBuild, AWS CodeCommit
Recurso: Pipelines CI/CD, pruebas automatizadas, y automatización de despliegue
Configuración: Pipelines CI/CD configurados para pruebas automatizadas y despliegue de configuraciones de seguridad de red con validación de CloudFormation Guard
AWS Config and Compliance Automation
Servicio: AWS Config
Recurso: Reglas de Config, monitoreo de conformidad, y remediación automatizada
Configuración: Config configurado con reglas para monitorear conformidad de seguridad de red y activar remediación automatizada para desviación de configuración
AWS Firewall Manager Centralization
Servicio: AWS Firewall Manager
Recurso: Políticas centralizadas de firewall, gestión a nivel de organización, y despliegue automatizado
Configuración: Firewall Manager configurado para gestionar centralmente políticas de WAF, Network Firewall, y grupos de seguridad a través de múltiples cuentas</t>
  </si>
  <si>
    <t>Evaluar el uso de IaC para implementar reglas y controles de red, garantizando su seguimiento en el control de versiones y evitando desviaciones de la configuración.
Implementación de Infrastructure as Code Verificar que las configuraciones de seguridad de red estén definidas y gestionadas a través de plantillas IaC con control de versiones. Cumplimiento indica uso integral de IaC para recursos de red con despliegue automatizado y seguimiento de versiones. Incumplimiento evidenciado por configuración manual de red, control de versiones faltante o falta de despliegue automatizado.
Reglas Gestionadas y Actualizaciones Automáticas Verificar que sistemas de reglas gestionadas estén implementados para actualizaciones automáticas de inteligencia de amenazas. Cumplimiento indica uso activo de reglas gestionadas de AWS con actualizaciones automáticas e integración de inteligencia de amenazas. Incumplimiento evidenciado por conjuntos de reglas estáticas, actualizaciones manuales de reglas o integración de inteligencia de amenazas faltante.
Automatización de Pipeline CI/CD Verificar que pipelines CI/CD estén implementados para pruebas automatizadas y despliegue de cambios de seguridad de red. Cumplimiento indica automatización integral de pipeline con pruebas, validación, y despliegue automatizado. Incumplimiento evidenciado por procesos de despliegue manual, automatización de pruebas faltante o falta de integración de pipeline.
Detección de Desviación de Configuración Verificar que sistemas automatizados estén implementados para detectar y remediar desviación de configuración. Cumplimiento indica detección activa de desviación con remediación automatizada y monitoreo de conformidad. Incumplimiento evidenciado por detección manual de desviación, automatización de remediación faltante o falta de monitoreo de conformidad.
Gestión Centralizada y Estandarización Verificar que herramientas de gestión centralizadas estén usadas para estandarizar políticas de seguridad de red a través de cuentas. Cumplimiento indica gestión centralizada integral con políticas estandarizadas y despliegue automatizado. Incumplimiento evidenciado por gestión descentralizada, políticas inconsistentes o despliegue manual de políticas.</t>
  </si>
  <si>
    <t xml:space="preserve">CloudFormation and IaC Assessment
aws cloudformation list-stacks --query 'StackSummaries[?contains(StackName, `network`) || contains(StackName, `security`)][StackName,StackStatus,CreationTime]'
aws cloudformation describe-stacks --stack-name &lt;network-stack&gt; --query 'Stacks[0].[StackName,StackStatus,Parameters,Outputs]'
aws cloudformation list-stack-resources --stack-name &lt;network-stack&gt; --query 'StackResourceSummaries[*].[LogicalResourceId,ResourceType,ResourceStatus]'
aws cloudformation detect-stack-drift --stack-name &lt;network-stack&gt; --query 'StackDriftDetectionId'
Managed Rules Configuration
aws wafv2 list-managed-rule-sets --scope REGIONAL --query 'ManagedRuleSets[*].[Name,Id,Description]'
aws network-firewall list-rule-groups --query 'RuleGroups[?Type==`MANAGED`].[Name,Arn,Type]'
aws shield describe-subscription --query '[Subscription.SubscriptionLimits,Subscription.AutoRenew]'
aws wafv2 get-web-acl --scope REGIONAL --id &lt;web-acl-id&gt; --query 'WebACL.Rules[?Statement.ManagedRuleGroupStatement].[Name,Statement.ManagedRuleGroupStatement.VendorName]'
CI/CD Pipeline Integration
aws codepipeline list-pipelines --query 'pipelines[?contains(name, `network`) || contains(name, `security`)][name,created,updated]'
aws codepipeline get-pipeline --name &lt;pipeline-name&gt; --query '[pipeline.name,pipeline.stages[*].[name,actions[*].actionTypeId]]'
aws codebuild list-projects --query 'projects[?contains(@, `network`) || contains(@, `security`)]'
aws codecommit list-repositories --query 'repositories[?contains(repositoryName, `network`) || contains(repositoryName, `security`)][repositoryName,repositoryId]'
AWS Config Compliance Monitoring
aws configservice describe-config-rules --query 'ConfigRules[?contains(ConfigRuleName, `network`) || contains(ConfigRuleName, `security`)][ConfigRuleName,ConfigRuleState]'
aws configservice get-compliance-summary-by-config-rule --query 'ComplianceSummary'
aws configservice describe-remediation-configurations --query 'RemediationConfigurations[*].[ConfigRuleName,TargetType,Automatic]'
aws configservice describe-configuration-recorders --query 'ConfigurationRecorders[*].[name,recordingGroup]'
AWS Firewall Manager Assessment
aws fms list-policies --query 'PolicyList[*].[PolicyId,PolicyName,ResourceType,SecurityServiceType]'
aws fms get-policy --policy-id &lt;policy-id&gt; --query '[Policy.PolicyName,Policy.SecurityServicePolicyData.Type,Policy.IncludeMap]'
aws fms list-compliance-status --policy-id &lt;policy-id&gt; --query 'PolicyComplianceStatusList[*].[MemberAccount,PolicyId,EvaluationResults[*].ComplianceStatus]'
aws fms get-admin-account --query 'AdminAccount'
Automation and Orchestration
aws events list-rules --query 'Rules[?contains(Name, `network`) || contains(Name, `security`)][Name,State,EventPattern]'
aws lambda list-functions --query 'Functions[?contains(FunctionName, `network`) || contains(FunctionName, `security`)][FunctionName,Runtime,LastModified]'
aws ssm list-documents --filters Key=DocumentType,Values=Automation --query 'DocumentIdentifiers[?contains(Name, `network`) || contains(Name, `security`)][Name,DocumentVersion]'
Version Control and Change Management
aws cloudtrail lookup-events --lookup-attributes AttributeKey=EventName,AttributeValue=CreateStack --start-time $(date -d '30 days ago' -I) --query 'Events[*].[EventTime,Username,Resources]'
aws cloudtrail lookup-events --lookup-attributes AttributeKey=EventName,AttributeValue=UpdateStack --start-time $(date -d '30 days ago' -I) --query 'Events[*].[EventTime,Username,Resources]'
aws cloudwatch describe-alarms --query 'MetricAlarms[?contains(AlarmName, `drift`) || contains(AlarmName, `compliance`)][AlarmName,StateValue]'
</t>
  </si>
  <si>
    <t>Protección de infraestructura
SEC 6. ¿Cómo protege sus recursos computacionales?</t>
  </si>
  <si>
    <r>
      <rPr>
        <b/>
        <sz val="11"/>
        <color rgb="FF000000"/>
        <rFont val="Montserrat"/>
      </rPr>
      <t>SEC06-BP01</t>
    </r>
    <r>
      <rPr>
        <sz val="11"/>
        <color rgb="FF000000"/>
        <rFont val="Montserrat"/>
      </rPr>
      <t xml:space="preserve"> Realizar gestión de vulnerabilidades</t>
    </r>
  </si>
  <si>
    <t>Analice con frecuencia su código, sus dependencias y su infraestructura en busca de vulnerabilidades, y aplique parches para solucionarlas, para ayudarle a protegerse contra las nuevas amenazas.</t>
  </si>
  <si>
    <t>Amazon EC2, Amazon RDS, Amazon Inspector.
Amazon Inspector Implementation
Servicio: Amazon Inspector
Recurso: Instancias EC2, imágenes de contenedores, y escaneo de funciones Lambda
Configuración: Inspector configurado para escaneo continuo de vulnerabilidades con horarios de evaluación automatizados, priorización de hallazgos, e integración con Security Hub
AWS Systems Manager Patch Manager
Servicio: AWS Systems Manager
Recurso: Grupos de parches, ventanas de mantenimiento, y parcheo automatizado
Configuración: Patch Manager configurado con horarios de parcheo automatizados, líneas base de parches, y ventanas de mantenimiento para instancias EC2 y servidores on-premises
Source Code Security Scanning
Servicio: Amazon CodeGuru Security, AWS CodeBuild
Recurso: Análisis estático de código, escaneo de dependencias, e integración CI/CD
Configuración: Escaneo de código configurado en pipelines CI/CD con análisis de seguridad automatizado, detección de vulnerabilidades, y guía de remediación
Container Image Vulnerability Scanning
Servicio: Amazon ECR, Amazon Inspector
Recurso: Imágenes de contenedores, evaluaciones de vulnerabilidades, y escaneo de registro
Configuración: Escaneo de contenedores configurado con escaneo automatizado de imágenes al subir, reporte de vulnerabilidades, e integración con pipelines de despliegue
AWS Security Hub Integration
Servicio: AWS Security Hub
Recurso: Hallazgos de seguridad centralizados, agregación de vulnerabilidades, y monitoreo de conformidad
Configuración: Security Hub configurado para agregar hallazgos de vulnerabilidades de múltiples fuentes con priorización, gestión de flujo de trabajo, y remediación automatizada</t>
  </si>
  <si>
    <t>1. Obsolescencia de Cómputo: Verificar que no se tengan instancias EC2 con sistemas operativos al final de su vida útil (End-of-Life) ni instancias RDS con motores de bases de datos obsoletos (ej. MySQL 5.6 o PostgreSQL 10).
2. (Adicional) Protección contra SSRF en EC2: Validar que todas las instancias EC2 obliguen el uso de IMDSv2 (Instance Metadata Service v2), deshabilitando la versión 1.
Cobertura Integral de Escaneo de Vulnerabilidades Verificar que escaneo integral de vulnerabilidades esté implementado a través de todos los recursos de cómputo incluyendo EC2, contenedores, y funciones Lambda. Cumplimiento indica despliegue activo de Inspector con horarios regulares de escaneo y cobertura integral. Incumplimiento evidenciado por escaneo de vulnerabilidades faltante, cobertura limitada o horarios de escaneo infrecuentes.
Implementación de Gestión Automatizada de Parches Verificar que gestión automatizada de parches esté configurada con ventanas de mantenimiento apropiadas y líneas base de parches. Cumplimiento indica despliegue integral de Patch Manager con horarios de parcheo automatizados y ventanas de mantenimiento apropiadas. Incumplimiento evidenciado por solo parcheo manual, gestión de parches faltante o programación inadecuada de mantenimiento.
Integración de Seguridad CI/CD Verificar que escaneo de seguridad esté integrado en pipelines CI/CD para prevenir despliegue de código vulnerable. Cumplimiento indica integración integral de seguridad CI/CD con escaneo automatizado y puertas de despliegue. Incumplimiento evidenciado por integración CI/CD faltante, revisiones manuales de seguridad o despliegue de código vulnerable.
Proceso de Gestión de Vulnerabilidades Verificar que procesos formales de gestión de vulnerabilidades estén establecidos con priorización clara y cronogramas de remediación. Cumplimiento indica procesos bien definidos con remediación basada en SLA, priorización basada en riesgo, y mecanismos de seguimiento. Incumplimiento evidenciado por gestión ad-hoc de vulnerabilidades, procesos faltantes o falta de seguimiento de remediación.
Implementación de Seguridad de Contenedores Verificar que imágenes de contenedores estén escaneadas para vulnerabilidades antes del despliegue y durante tiempo de ejecución. Cumplimiento indica seguridad integral de contenedores con escaneo de imágenes, protección en tiempo de ejecución, y gestión de vulnerabilidades. Incumplimiento evidenciado por imágenes de contenedores no escaneadas, protección en tiempo de ejecución faltante o despliegues de contenedores vulnerables.</t>
  </si>
  <si>
    <t>Amazon Inspector Configuration
aws inspector2 list-findings --query 'findings[*].[findingArn,severity,title,status,firstObservedAt]' --max-results 10
aws inspector2 get-member --account-id &lt;account-id&gt; --query '[member.accountId,member.relationshipStatus,member.updatedAt]'
aws inspector2 list-coverage --query 'coveredResources[*].[resourceId,resourceType,scanStatus,scanType]' --max-results 10
aws inspector2 describe-organization-configuration --query '[organizationConfiguration.autoEnable,organizationConfiguration.maxAccountLimitReached]'
Systems Manager Patch Manager Assessment
aws ssm describe-patch-baselines --query 'BaselineIdentities[*].[BaselineId,BaselineName,DefaultBaseline,OperatingSystem]'
aws ssm describe-maintenance-windows --query 'WindowIdentities[*].[WindowId,Name,Enabled,NextExecutionTime]'
aws ssm describe-instance-patch-states --query 'InstancePatchStates[*].[InstanceId,PatchGroup,BaselineId,SnapshotId,CriticalNonCompliantCount,SecurityNonCompliantCount]' --max-results 10
aws ssm get-patch-baseline --baseline-id &lt;baseline-id&gt; --query '[BaselineId,Name,ApprovalRules,ApprovedPatches]'
Code Security Scanning Integration
aws codeguru-security list-scans --query 'summaries[*].[scanName,scanState,createdAt,analysisType]' --max-results 10
aws codebuild list-projects --query 'projects[?contains(@, `security`) || contains(@, `scan`)]'
aws codepipeline list-pipelines --query 'pipelines[*].[name,created,updated]'
aws codebuild batch-get-projects --names &lt;project-name&gt; --query 'projects[0].[name,source,artifacts,environment.image]'
Container Image Vulnerability Scanning
aws ecr describe-repositories --query 'repositories[*].[repositoryName,repositoryUri,imageScanningConfiguration]'
aws ecr describe-image-scan-findings --repository-name &lt;repo-name&gt; --image-id imageTag=latest --query '[imageScanStatus,imageScanFindings.findingCounts]'
aws ecr get-lifecycle-policy --repository-name &lt;repo-name&gt; --query 'lifecyclePolicyText'
aws inspector2 list-findings --filter-criteria '{"resourceTypes":["ECR_CONTAINER_IMAGE"]}' --query 'findings[*].[title,severity,status]' --max-results 5
Security Hub Vulnerability Aggregation
aws securityhub get-findings --filters '{"Type":[{"Value":"Software and Configuration Checks/Vulnerabilities","Comparison":"EQUALS"}]}' --query 'Findings[*].[Id,Title,Severity.Label,Compliance.Status]' --max-results 10
aws securityhub describe-hub --query '[HubArn,SubscribedAt,AutoEnableControls]'
aws securityhub list-enabled-products-for-import --query 'ProductSubscriptions'
aws securityhub get-insight-results --insight-arn &lt;insight-arn&gt; --query 'InsightResults.ResultValues[*].[GroupByAttributeValue,Count]'
Vulnerability Management Metrics
aws cloudwatch get-metric-statistics --namespace AWS/Inspector --metric-name FindingsCount --dimensions Name=RuleName,Value=&lt;rule-name&gt; --start-time $(date -d '30 days ago' -I) --end-time $(date -I) --period 86400 --statistics Sum
aws ssm describe-instance-information --query 'InstanceInformationList[*].[InstanceId,PingStatus,LastPingDateTime,PlatformName]' --max-results 10
aws logs describe-log-groups --log-group-name-prefix /aws/inspector --query 'LogGroups[*].[LogGroupName,RetentionInDays]'
Patch Compliance Assessment
aws ssm describe-instance-patch-states-for-patch-group --patch-group &lt;patch-group&gt; --query 'InstancePatchStates[*].[InstanceId,PatchGroup,BaselineId,CriticalNonCompliantCount,SecurityNonCompliantCount,NotApplicableCount]'
aws ssm get-compliance-summary --query '[ComplianceSummaryItems[*].[ComplianceType,CompliantSummary,NonCompliantSummary]]'
aws config get-compliance-summary-by-config-rule --query 'ComplianceSummary'</t>
  </si>
  <si>
    <r>
      <rPr>
        <b/>
        <sz val="11"/>
        <color rgb="FF000000"/>
        <rFont val="Montserrat"/>
      </rPr>
      <t>SEC06-BP02</t>
    </r>
    <r>
      <rPr>
        <sz val="11"/>
        <color rgb="FF000000"/>
        <rFont val="Montserrat"/>
      </rPr>
      <t xml:space="preserve"> Computación de provisión a partir de imágenes endurecidas</t>
    </r>
  </si>
  <si>
    <t>Ofrezca menos oportunidades de acceso no deseado a sus entornos en tiempo de ejecución mediante la implementación desde imágenes reforzadas. Adquiera las dependencias de tiempo de ejecución (como imágenes de contenedores y bibliotecas de aplicaciones) únicamente de registros fiables y verifique sus firmas. Cree sus propios registros privados para almacenar imágenes y bibliotecas confiables para usarlas en sus procesos de desarrollo e implementación.</t>
  </si>
  <si>
    <t>EC2 Image Builder, Amazon ECR.
EC2 Image Builder Implementation
Servicio: EC2 Image Builder
Recurso: Pipelines de imágenes, recetas, y creación automatizada de AMI
Configuración: Image Builder configurado para crear AMIs reforzadas con benchmarks CIS, conformidad STIG, y flujos de trabajo de parcheo automatizado
Amazon Machine Images (AMI) Management
Servicio: Amazon EC2
Recurso: AMIs personalizadas, imágenes base reforzadas, y versionado de imágenes
Configuración: Gestión de AMI configurada con imágenes base reforzadas, actualizaciones regulares, e integración de escaneo de vulnerabilidades
Container Image Hardening
Servicio: Amazon ECR, Docker
Recurso: Imágenes de contenedores, selección de imagen base, y escaneo de imágenes
Configuración: Imágenes de contenedores configuradas con imágenes base mínimas, parches de seguridad, y escaneo automatizado de vulnerabilidades
AWS CodeArtifact Integration
Servicio: AWS CodeArtifact
Recurso: Repositorios privados, gestión de paquetes, y verificación de dependencias
Configuración: CodeArtifact configurado para almacenar paquetes confiables con verificación de firmas y escaneo de vulnerabilidades
Lambda Layers and Code Signing
Servicio: AWS Lambda, AWS Signer
Recurso: Capas Lambda, configuraciones de firma de código, y dependencias confiables
Configuración: Lambda configurado con código firmado, capas confiables, y gestión de dependencias para cargas de trabajo serverless</t>
  </si>
  <si>
    <t>Verificar que las cargas utilicen únicamente imágenes pre-reforzadas, verificando las firmas de las bibliotecas de registros privados y fiables.
Implementación de Imagen Base Reforzada Verificar que los recursos de cómputo estén aprovisionados desde imágenes base reforzadas con configuraciones de seguridad y superficie de ataque mínima. Cumplimiento indica uso consistente de imágenes reforzadas con conformidad CIS/STIG y actualizaciones regulares. Incumplimiento evidenciado por imágenes por defecto, reforzamiento faltante o imágenes base desactualizadas.
Proceso Automatizado de Construcción de Imágenes Verificar que procesos automatizados de construcción de imágenes estén implementados con controles de seguridad y escaneo de vulnerabilidades. Cumplimiento indica despliegue integral de Image Builder con reforzamiento automatizado y pruebas. Incumplimiento evidenciado por creación manual de imágenes, automatización faltante o falta de pruebas de seguridad.
Seguridad de Imágenes de Contenedores Verificar que imágenes de contenedores estén construidas desde imágenes base mínimas y reforzadas con actualizaciones regulares de seguridad. Cumplimiento indica prácticas seguras de contenedores con imágenes base mínimas y escaneo automatizado. Incumplimiento evidenciado por imágenes infladas, actualizaciones de seguridad faltantes o imágenes base vulnerables.
Gestión y Verificación de Dependencias Verificar que dependencias externas estén gestionadas a través de repositorios confiables con verificación de firmas. Cumplimiento indica gestión integral de dependencias con fuentes confiables y procesos de verificación. Incumplimiento evidenciado por dependencias no verificadas, fuentes no confiables o validación de firmas faltante.
Firma de Código y Validación de Integridad Verificar que firma de código esté implementada para asegurar integridad del software y prevenir manipulación. Cumplimiento indica firma integral de código con validación de integridad y ejecución confiable. Incumplimiento evidenciado por código sin firmar, verificaciones de integridad faltantes o ejecución de software no verificado.</t>
  </si>
  <si>
    <t xml:space="preserve">EC2 Image Builder Assessment
aws imagebuilder list-image-pipelines --query 'imagePipelineList[*].[name,status,dateCreated,dateUpdated]'
aws imagebuilder list-images --query 'imageVersionList[*].[name,version,platform,dateCreated]' --max-results 10
aws imagebuilder get-image-pipeline --image-pipeline-arn &lt;pipeline-arn&gt; --query '[imagePipeline.name,imagePipeline.imageRecipeArn,imagePipeline.schedule]'
aws imagebuilder list-image-recipes --query 'imageRecipeSummaryList[*].[name,platform,parentImage,dateCreated]'
AMI Management and Hardening
aws ec2 describe-images --owners self --query 'Images[*].[ImageId,Name,CreationDate,State,Public]'
aws ec2 describe-images --image-ids &lt;ami-id&gt; --query 'Images[0].[ImageId,Name,Description,BlockDeviceMappings]'
aws ec2 describe-instances --query 'Reservations[*].Instances[*].[InstanceId,ImageId,InstanceType,LaunchTime]' --max-results 10
aws ssm get-parameters --names /aws/service/ami-amazon-linux-latest/amzn2-ami-hvm-x86_64-gp2 --query 'Parameters[0].Value'
Container Image Security Assessment
aws ecr describe-repositories --query 'repositories[*].[repositoryName,repositoryUri,imageScanningConfiguration.scanOnPush]'
aws ecr describe-images --repository-name &lt;repo-name&gt; --query 'imageDetails[*].[imageDigest,imageTags,imagePushedAt,imageScanFindingsSummary]' --max-results 5
aws ecr describe-image-scan-findings --repository-name &lt;repo-name&gt; --image-id imageTag=latest --query '[imageScanStatus,imageScanFindings.findingCounts]'
aws ecr get-lifecycle-policy --repository-name &lt;repo-name&gt; --query 'lifecyclePolicyText'
CodeArtifact Dependency Management
aws codeartifact list-repositories --query 'repositories[*].[name,domainName,description]'
aws codeartifact list-packages --domain &lt;domain-name&gt; --repository &lt;repo-name&gt; --query 'packages[*].[package,namespace,format]' --max-results 10
aws codeartifact describe-repository --domain &lt;domain-name&gt; --repository &lt;repo-name&gt; --query '[repository.name,repository.upstreams,repository.externalConnections]'
Lambda Code Signing Configuration
aws lambda list-functions --query 'Functions[*].[FunctionName,CodeSha256,CodeSigningConfigArn,PackageType]'
aws lambda get-function --function-name &lt;function-name&gt; --query '[Configuration.FunctionName,Configuration.CodeSigningConfigArn,Code.Location]'
aws signer list-signing-jobs --query 'jobs[*].[jobId,source,status,createdAt]' --max-results 10
aws lambda list-layers --query 'Layers[*].[LayerName,LatestMatchingVersion.Version,LatestMatchingVersion.CreatedDate]'
Image Vulnerability and Compliance Scanning
aws inspector2 list-findings --filter-criteria '{"resourceTypes":["ECR_CONTAINER_IMAGE"]}' --query 'findings[*].[title,severity,status,firstObservedAt]' --max-results 10
aws ssm describe-instance-information --query 'InstanceInformationList[*].[InstanceId,PlatformName,PlatformVersion,AgentVersion]' --max-results 10
aws config get-compliance-details-by-config-rule --config-rule-name &lt;hardening-rule&gt; --query 'EvaluationResults[*].[ComplianceType,ConfigRuleInvokedTime,EvaluationResultIdentifier.EvaluationResultQualifier.ResourceId]'
Security Baseline and Standards Compliance
aws cloudformation list-stacks --query 'StackSummaries[?contains(StackName, `hardening`) || contains(StackName, `baseline`)][StackName,StackStatus]'
aws ssm describe-association --association-id &lt;association-id&gt; --query '[AssociationDescription.Name,AssociationDescription.Targets,AssociationDescription.ComplianceSeverity]'
aws ssm list-compliance-items --resource-id &lt;instance-id&gt; --resource-type ManagedInstance --query 'ComplianceItems[*].[ComplianceType,Status,Severity]'
</t>
  </si>
  <si>
    <r>
      <rPr>
        <b/>
        <sz val="11"/>
        <color rgb="FF000000"/>
        <rFont val="Montserrat"/>
      </rPr>
      <t>SEC06-BP03</t>
    </r>
    <r>
      <rPr>
        <sz val="11"/>
        <color rgb="FF000000"/>
        <rFont val="Montserrat"/>
      </rPr>
      <t xml:space="preserve"> Reducir la gestión manual y el acceso interactivo</t>
    </r>
  </si>
  <si>
    <t>Utilice la automatización para hacer tareas de implementación, configuración, mantenimiento e investigación siempre que sea posible. Plantéese el acceso manual a los recursos de computación en casos de procedimientos de emergencia o en entornos seguros (entornos de pruebas) cuando la automatización no esté disponible.</t>
  </si>
  <si>
    <t>AWS Systems Manager Session Manager.
AWS Systems Manager Implementation
Servicio: AWS Systems Manager
Recurso: SSM Agent, Session Manager, Run Command, y documentos de Automatización
Configuración: Systems Manager configurado para reemplazar acceso SSH/RDP con sesiones cifradas, runbooks automatizados, y gestión centralizada
Session Manager Configuration
Servicio: AWS Systems Manager Session Manager
Recurso: Registro de sesiones, controles de acceso, y conexiones cifradas
Configuración: Session Manager configurado con registro integral, control de acceso basado en IAM, y canales de comunicación cifrados
Automation Documents and Runbooks
Servicio: AWS Systems Manager Automation
Recurso: Documentos de automatización, runbooks, y ejecuciones programadas
Configuración: Automatización configurada con runbooks estandarizados para tareas comunes, mantenimiento programado, y procedimientos de emergencia
IAM Roles and Policies for Automation
Servicio: AWS IAM
Recurso: Roles de servicio, perfiles de instancia, y políticas de menor privilegio
Configuración: IAM configurado con roles apropiados para acceso a Systems Manager, ejecución de automatización, y permisos granulares
Infrastructure as Code (IaC) Implementation
Servicio: AWS CloudFormation, AWS CDK
Recurso: Plantillas IaC, infraestructura inmutable, y despliegues automatizados
Configuración: IaC configurado para desplegar y gestionar infraestructura sin intervención manual, promoviendo patrones de infraestructura inmutable</t>
  </si>
  <si>
    <t>Comprobar el uso de la automatización para el mantenimiento y que el acceso manual directo a recursos computacionales esté restringido sólo a emergencias.
Despliegue de Systems Manager Agent Verificar que SSM Agent esté instalado y configurado en todas las instancias EC2 para habilitar gestión remota sin SSH/RDP. Cumplimiento indica despliegue integral de SSM Agent con roles IAM apropiados y conectividad. Incumplimiento evidenciado por SSM Agent faltante, acceso SSH/RDP habilitado o gestión manual de instancias.
Controles de Acceso de Session Manager Verificar que Session Manager esté configurado con controles de acceso apropiados y registro para acceso interactivo seguro. Cumplimiento indica despliegue integral de Session Manager con acceso basado en IAM y registro de sesiones. Incumplimiento evidenciado por acceso directo SSH/RDP, registro de sesiones faltante o controles de acceso inadecuados.
Implementación de Automatización y Runbooks Verificar que documentos de automatización y runbooks estén implementados para tareas comunes de gestión y procedimientos de mantenimiento. Cumplimiento indica cobertura integral de automatización con runbooks estandarizados y ejecuciones programadas. Incumplimiento evidenciado por ejecución manual de tareas, automatización faltante o procedimientos ad-hoc.
Deshabilitación de Servicios de Acceso Remoto Verificar que servicios tradicionales de acceso remoto (SSH, RDP) estén deshabilitados o apropiadamente asegurados cuando no sean necesarios. Cumplimiento indica servicios innecesarios deshabilitados con restricciones de grupos de seguridad y controles de acceso apropiados. Incumplimiento evidenciado por puertos SSH/RDP abiertos, acceso sin restricciones o controles de seguridad faltantes.
Prácticas de Infraestructura Inmutable Verificar que prácticas de infraestructura inmutable estén implementadas para reducir necesidad de acceso interactivo y cambios manuales. Cumplimiento indica uso integral de IaC con despliegues inmutables y actualizaciones automatizadas. Incumplimiento evidenciado por infraestructura mutable, cambios manuales de configuración o automatización faltante.</t>
  </si>
  <si>
    <t xml:space="preserve">Systems Manager Agent Status
aws ssm describe-instance-information --query 'InstanceInformationList[*].[InstanceId,PingStatus,LastPingDateTime,PlatformName,AgentVersion]'
aws ssm get-connection-status --target &lt;instance-id&gt; --query '[Status,Target]'
aws ec2 describe-instances --query 'Reservations[*].Instances[*].[InstanceId,State.Name,IamInstanceProfile.Arn]'
aws iam list-instance-profiles --query 'InstanceProfiles[?contains(InstanceProfileName, `SSM`) || contains(InstanceProfileName, `SystemsManager`)][InstanceProfileName,CreateDate]'
Session Manager Configuration
aws ssm describe-sessions --session-state Active --query 'Sessions[*].[SessionId,Target,Status,StartDate]'
aws ssm get-document --name SSM-SessionManagerRunShell --query '[Name,Status,DocumentVersion]'
aws logs describe-log-groups --log-group-name-prefix /aws/ssm --query 'LogGroups[*].[LogGroupName,RetentionInDays]'
aws ssm describe-document-permission --name SSM-SessionManagerRunShell --permission-type Share --query 'AccountIds'
Automation Documents Assessment
aws ssm list-documents --filters Key=DocumentType,Values=Automation --query 'DocumentIdentifiers[*].[Name,DocumentVersion,DocumentType,Owner]' --max-results 10
aws ssm describe-automation-executions --query 'AutomationExecutions[*].[AutomationExecutionId,DocumentName,AutomationExecutionStatus,ExecutionStartTime]' --max-results 10
aws ssm list-associations --query 'Associations[*].[Name,InstanceId,AssociationId,LastExecutionDate]' --max-results 10
Security Group and Network Access
aws ec2 describe-security-groups --query 'SecurityGroups[?IpPermissions[?FromPort==`22` || FromPort==`3389`]].[GroupId,GroupName,IpPermissions[?FromPort==`22` || FromPort==`3389`]]'
aws ec2 describe-instances --query 'Reservations[*].Instances[*].[InstanceId,SecurityGroups[*].GroupId,PublicIpAddress,PrivateIpAddress]'
aws ec2 describe-network-acls --query 'NetworkAcls[*].[NetworkAclId,Entries[?RuleAction==`allow` &amp;&amp; (PortRange.From==`22` || PortRange.From==`3389`)]]'
IAM Roles and Permissions
aws iam list-roles --query 'Roles[?contains(RoleName, `SSM`) || contains(RoleName, `SystemsManager`)][RoleName,CreateDate]'
aws iam get-role --role-name &lt;ssm-role&gt; --query '[Role.RoleName,Role.AssumeRolePolicyDocument]'
aws iam list-attached-role-policies --role-name &lt;ssm-role&gt; --query 'AttachedPolicies[*].[PolicyName,PolicyArn]'
aws iam list-role-policies --role-name &lt;ssm-role&gt; --query 'PolicyNames'
Infrastructure as Code Assessment
aws cloudformation list-stacks --query 'StackSummaries[?StackStatus!=`DELETE_COMPLETE`][StackName,StackStatus,CreationTime]'
aws cloudformation describe-stacks --stack-name &lt;stack-name&gt; --query 'Stacks[0].[StackName,StackStatus,Parameters]'
aws ec2 describe-instances --query 'Reservations[*].Instances[*].[InstanceId,Tags[?Key==`aws:cloudformation:stack-name`].Value|[0],LaunchTime]'
Remote Access Monitoring
aws cloudtrail lookup-events --lookup-attributes AttributeKey=EventName,AttributeValue=StartSession --start-time $(date -d '7 days ago' -I) --query 'Events[*].[EventTime,Username,SourceIPAddress]'
aws cloudtrail lookup-events --lookup-attributes AttributeKey=EventName,AttributeValue=TerminateSession --start-time $(date -d '7 days ago' -I) --query 'Events[*].[EventTime,Username,Resources]'
aws logs filter-log-events --log-group-name /aws/ssm/sessions --start-time $(date -d '7 days ago' +%s)000 --query 'events[*].[eventTime,message]' --max-items 5
</t>
  </si>
  <si>
    <r>
      <rPr>
        <b/>
        <sz val="11"/>
        <color rgb="FF000000"/>
        <rFont val="Montserrat"/>
      </rPr>
      <t>SEC06-BP04</t>
    </r>
    <r>
      <rPr>
        <sz val="11"/>
        <color rgb="FF000000"/>
        <rFont val="Montserrat"/>
      </rPr>
      <t xml:space="preserve"> Validar la integridad del software</t>
    </r>
  </si>
  <si>
    <t>Utilice la verificación criptográfica para validar la integridad de los artefactos de software (incluidas las imágenes) que utiliza su carga de trabajo.  Firme criptográficamente su software como protección contra los cambios no autorizados que se ejecuten en sus entornos de computación.</t>
  </si>
  <si>
    <t>AWS Signer, Certificados.
AWS Signer Implementation
Servicio: AWS Signer
Recurso: Perfiles de firma, certificados de firma de código, y firmas digitales
Configuración: Signer configurado para gestionar ciclo de vida de firma de código con certificados confiables, procesos de firma automatizados, y verificación de firmas
Lambda Code Signing Configuration
Servicio: AWS Lambda
Recurso: Configuraciones de firma de código, firmantes confiables, y validación de firmas
Configuración: Lambda configurado con aplicación de firma de código, perfiles de firmantes confiables, y verificación automática de firmas antes de la ejecución
Container Image Signing
Servicio: Amazon ECR, AWS Signer
Recurso: Imágenes de contenedores, artefactos OCI, y firmas digitales
Configuración: Firma de contenedores configurada con integración ECR, pipelines de firma automatizados, y verificación de firmas durante el despliegue
Certificate and Key Management
Servicio: AWS Certificate Manager, AWS KMS
Recurso: Certificados de firma de código, claves privadas, y autoridades de certificación
Configuración: Gestión de certificados configurada con almacenamiento seguro de claves, gestión del ciclo de vida de certificados, y autoridades de certificación confiables
CI/CD Pipeline Integration
Servicio: AWS CodePipeline, AWS CodeBuild
Recurso: Procesos de construcción, etapas de firma, y pasos de verificación
Configuración: CI/CD configurado con firma automatizada, verificación de firmas, y puertas de despliegue basadas en validación de firmas</t>
  </si>
  <si>
    <t>Auditar que los artefactos de software desplegados estén firmados criptográficamente para prevenir la ejecución de cambios no autorizados.
Implementación de Firma de Código Verificar que firma de código esté implementada para todos los artefactos de software incluyendo funciones Lambda, imágenes de contenedores, y binarios de aplicación. Cumplimiento indica firma integral de código con integración de AWS Signer y procesos de firma automatizados. Incumplimiento evidenciado por código sin firmar, procesos de firma faltantes o gestión manual de firmas.
Verificación de Firma Digital Verificar que verificación de firma digital esté implementada para validar integridad y procedencia del software. Cumplimiento indica verificación automática de firmas con validación de certificados confiables y verificaciones de integridad. Incumplimiento evidenciado por verificación de firmas faltante, certificados no confiables o verificaciones de integridad omitidas.
Aplicación de Firma de Código Lambda Verificar que funciones Lambda estén configuradas con aplicación de firma de código para prevenir ejecución de código sin firmar. Cumplimiento indica firma integral de código Lambda con configuraciones de firmantes confiables y políticas de aplicación. Incumplimiento evidenciado por firma de código deshabilitada, aplicación faltante o despliegues Lambda sin firmar.
Validación de Integridad de Imágenes de Contenedores Verificar que imágenes de contenedores estén firmadas y verificadas antes del despliegue para asegurar integridad y autenticidad. Cumplimiento indica firma integral de contenedores con integración ECR y verificación de despliegue. Incumplimiento evidenciado por imágenes de contenedores sin firmar, verificación faltante o despliegues no verificados.
Gestión de Certificados y Cadena de Confianza Verificar que gestión de certificados esté apropiadamente implementada con autoridades de certificación confiables y almacenamiento seguro de claves. Cumplimiento indica gestión apropiada del ciclo de vida de certificados con CAs confiables y manejo seguro de claves. Incumplimiento evidenciado por certificados auto-firmados, almacenamiento inseguro de claves o validación de certificados faltante.</t>
  </si>
  <si>
    <t xml:space="preserve">AWS Signer Configuration
aws signer list-signing-platforms --query 'platforms[*].[platformId,displayName,signingConfiguration]'
aws signer list-signing-profiles --query 'profiles[*].[profileName,status,platformId]'
aws signer describe-signing-job --job-id &lt;job-id&gt; --query '[jobId,source,status,createdAt,completedAt]'
aws signer list-signing-jobs --query 'jobs[*].[jobId,source,status,createdAt]' --max-results 10
Lambda Code Signing Assessment
aws lambda list-functions --query 'Functions[*].[FunctionName,CodeSigningConfigArn,PackageType]'
aws lambda get-function --function-name &lt;function-name&gt; --query '[Configuration.CodeSigningConfigArn,Configuration.CodeSha256]'
aws lambda list-code-signing-configs --query 'CodeSigningConfigs[*].[CodeSigningConfigId,CodeSigningConfigArn,AllowedPublishers]'
aws lambda get-code-signing-config --code-signing-config-arn &lt;config-arn&gt; --query '[CodeSigningConfig.AllowedPublishers,CodeSigningConfig.CodeSigningPolicies]'
Container Image Signing Verification
aws ecr describe-repositories --query 'repositories[*].[repositoryName,repositoryUri,imageScanningConfiguration]'
aws ecr describe-images --repository-name &lt;repo-name&gt; --query 'imageDetails[*].[imageDigest,imageTags,imagePushedAt]' --max-results 5
aws ecr get-repository-policy --repository-name &lt;repo-name&gt; --query 'policyText'
aws signer list-signing-jobs --platform-id AWSLambda-SHA384-ECDSA --query 'jobs[*].[jobId,source,status]' --max-results 5
Certificate and Key Management
aws acm list-certificates --query 'CertificateSummaryList[*].[CertificateArn,DomainName,Status]'
aws kms list-keys --query 'Keys[*].KeyId' | head -5
aws kms describe-key --key-id &lt;key-id&gt; --query '[KeyMetadata.KeyId,KeyMetadata.KeyUsage,KeyMetadata.KeySpec]'
aws acm describe-certificate --certificate-arn &lt;cert-arn&gt; --query '[Certificate.DomainName,Certificate.Status,Certificate.KeyUsages]'
CI/CD Pipeline Signing Integration
aws codepipeline list-pipelines --query 'pipelines[*].[name,created,updated]'
aws codepipeline get-pipeline --name &lt;pipeline-name&gt; --query 'pipeline.stages[*].[name,actions[*].[name,actionTypeId]]'
aws codebuild list-projects --query 'projects[?contains(@, `sign`) || contains(@, `integrity`)]'
aws codebuild batch-get-projects --names &lt;project-name&gt; --query 'projects[0].[name,source,artifacts,environment]'
Software Integrity Monitoring
aws cloudtrail lookup-events --lookup-attributes AttributeKey=EventName,AttributeValue=StartSigningJob --start-time $(date -d '30 days ago' -I) --query 'Events[*].[EventTime,Username,Resources]'
aws cloudtrail lookup-events --lookup-attributes AttributeKey=EventName,AttributeValue=PutCodeSigningConfig --start-time $(date -d '30 days ago' -I) --query 'Events[*].[EventTime,Username,Resources]'
aws logs describe-log-groups --log-group-name-prefix /aws/lambda --query 'LogGroups[*].[LogGroupName,RetentionInDays]' | head -5
Signature Verification Status
aws lambda invoke --function-name &lt;function-name&gt; --payload '{}' /tmp/response.json &amp;&amp; cat /tmp/response.json
aws ecs describe-services --cluster &lt;cluster-name&gt; --services &lt;service-name&gt; --query 'services[0].[serviceName,taskDefinition,status]'
aws eks describe-cluster --name &lt;cluster-name&gt; --query '[cluster.name,cluster.status,cluster.version]'
</t>
  </si>
  <si>
    <r>
      <rPr>
        <b/>
        <sz val="11"/>
        <color rgb="FF000000"/>
        <rFont val="Montserrat"/>
      </rPr>
      <t>SEC06-BP05</t>
    </r>
    <r>
      <rPr>
        <sz val="11"/>
        <color rgb="FF000000"/>
        <rFont val="Montserrat"/>
      </rPr>
      <t xml:space="preserve"> Automatice la protección informática</t>
    </r>
  </si>
  <si>
    <t>Automatice las operaciones de protección de computación para reducir la necesidad de intervención humana. Utilice el análisis automatizado para detectar posibles problemas en sus recursos de computación y use respuestas programáticas automatizadas u operaciones de administración de flotas para solucionarlos.  Incorpore la automatización en sus procesos de CI/CD para implementar cargas de trabajo fiables con dependencias actualizadas.</t>
  </si>
  <si>
    <t>AWS Systems Manager.
Amazon Inspector Automation
Servicio: Amazon Inspector
Recurso: Escaneo continuo de vulnerabilidades, evaluaciones automatizadas, e integración CI/CD
Configuración: Inspector configurado para escaneo automatizado de vulnerabilidades con evaluaciones programadas, integración de hallazgos, y automatización de pipelines CI/CD
AWS Systems Manager Automation
Servicio: AWS Systems Manager
Recurso: Patch Manager, documentos de Automatización, y gestión de flota
Configuración: Systems Manager configurado con parcheo automatizado, ejecución de runbooks, y gestión de configuración a nivel de flota
EC2 Image Builder Automation
Servicio: EC2 Image Builder
Recurso: Creación automatizada de AMI, pipelines de reforzamiento, y pruebas de imágenes
Configuración: Image Builder configurado con flujos de trabajo de reforzamiento automatizado, pruebas de seguridad, y actualizaciones regulares de imágenes
AWS Security Hub Integration
Servicio: AWS Security Hub
Recurso: Hallazgos de seguridad centralizados, remediación automatizada, y monitoreo de conformidad
Configuración: Security Hub configurado con agregación automatizada de hallazgos, flujos de trabajo de remediación, y seguimiento de conformidad
Container Security Automation
Servicio: Amazon ECR, Amazon ECS/EKS
Recurso: Escaneo de imágenes de contenedores, despliegues automatizados, y protección en tiempo de ejecución
Configuración: Seguridad de contenedores configurada con escaneo automatizado de imágenes, evaluación de vulnerabilidades, y pipelines de despliegue seguro</t>
  </si>
  <si>
    <t>Evaluar el uso de análisis automáticos y de operaciones de flota en procesos CI/CD para detectar y responder proactivamente a fallos en el parque computacional.
Gestión Automatizada de Vulnerabilidades Verificar que escaneo automatizado de vulnerabilidades y remediación estén implementados a través de todos los recursos de cómputo. Cumplimiento indica automatización integral con integración de Inspector, parcheo automatizado, y flujos de trabajo de remediación. Incumplimiento evidenciado por gestión manual de vulnerabilidades, automatización faltante o procesos de remediación retrasados.
Automatización de Gestión de Parches Verificar que gestión automatizada de parches esté configurada con programación apropiada y procedimientos de prueba. Cumplimiento indica automatización integral de parches con integración de Systems Manager, ventanas de mantenimiento, y capacidades de rollback automatizado. Incumplimiento evidenciado por parcheo manual, automatización faltante o procedimientos de prueba inadecuados.
Automatización de Gestión de Configuración Verificar que gestión automatizada de configuración esté implementada para asegurar configuraciones de seguridad consistentes. Cumplimiento indica automatización integral de configuración con detección de desviación, remediación automatizada, y monitoreo de conformidad. Incumplimiento evidenciado por configuración manual, desviación de configuración o automatización de conformidad faltante.
Integración de Escaneo de Seguridad Verificar que escaneo automatizado de seguridad esté integrado en pipelines CI/CD y entornos de tiempo de ejecución. Cumplimiento indica automatización integral de escaneo con integración de pipeline, puertas automatizadas, y monitoreo continuo. Incumplimiento evidenciado por escaneo manual, integración CI/CD faltante o monitoreo de tiempo de ejecución inadecuado.
Automatización de Respuesta a Incidentes Verificar que capacidades automatizadas de respuesta a incidentes y remediación estén implementadas para eventos de seguridad. Cumplimiento indica automatización integral de respuesta con contención automatizada, acciones de remediación, y procedimientos de escalación. Incumplimiento evidenciado por respuesta manual a incidentes, automatización faltante o tiempos de respuesta retrasados.</t>
  </si>
  <si>
    <t xml:space="preserve">Amazon Inspector Automation Assessment
aws inspector2 list-findings --query 'findings[*].[findingArn,severity,title,status,firstObservedAt]' --max-results 10
aws inspector2 describe-organization-configuration --query '[organizationConfiguration.autoEnable,organizationConfiguration.maxAccountLimitReached]'
aws inspector2 list-coverage --query 'coveredResources[*].[resourceId,resourceType,scanStatus,scanType]' --max-results 10
aws inspector2 batch-get-account-status --query 'accounts[*].[accountId,state,resourceState]'
Systems Manager Automation Configuration
aws ssm describe-automation-executions --query 'AutomationExecutions[*].[AutomationExecutionId,DocumentName,AutomationExecutionStatus,ExecutionStartTime]' --max-results 10
aws ssm describe-patch-baselines --query 'BaselineIdentities[*].[BaselineId,BaselineName,DefaultBaseline,OperatingSystem]'
aws ssm describe-maintenance-windows --query 'WindowIdentities[*].[WindowId,Name,Enabled,NextExecutionTime]'
aws ssm list-associations --query 'Associations[*].[Name,InstanceId,AssociationId,LastExecutionDate]' --max-results 10
EC2 Image Builder Automation
aws imagebuilder list-image-pipelines --query 'imagePipelineList[*].[name,status,dateCreated,schedule.scheduleExpression]'
aws imagebuilder list-images --query 'imageVersionList[*].[name,version,platform,dateCreated]' --max-results 10
aws imagebuilder get-image-pipeline --image-pipeline-arn &lt;pipeline-arn&gt; --query '[imagePipeline.name,imagePipeline.schedule,imagePipeline.status]'
aws imagebuilder list-infrastructure-configurations --query 'infrastructureConfigurationSummaryList[*].[name,instanceTypes,dateCreated]'
Security Hub Automation Integration
aws securityhub describe-hub --query '[HubArn,SubscribedAt,AutoEnableControls]'
aws securityhub get-findings --filters '{"ComplianceStatus":[{"Value":"FAILED","Comparison":"EQUALS"}]}' --query 'Findings[*].[Id,Title,ComplianceStatus,Severity.Label]' --max-results 10
aws securityhub list-enabled-products-for-import --query 'ProductSubscriptions'
aws securityhub describe-action-targets --query 'ActionTargets[*].[ActionTargetArn,Name,Description]'
Container Security Automation
aws ecr describe-repositories --query 'repositories[*].[repositoryName,imageScanningConfiguration.scanOnPush,lifecyclePolicyText]'
aws ecr describe-image-scan-findings --repository-name &lt;repo-name&gt; --image-id imageTag=latest --query '[imageScanStatus,imageScanFindings.findingCounts]'
aws ecs list-services --cluster &lt;cluster-name&gt; --query 'serviceArns'
aws eks list-clusters --query 'clusters'
Automation Monitoring and Metrics
aws cloudwatch describe-alarms --query 'MetricAlarms[?contains(AlarmName, `automation`) || contains(AlarmName, `patch`)][AlarmName,StateValue,MetricName]'
aws logs describe-log-groups --log-group-name-prefix /aws/ssm --query 'LogGroups[*].[LogGroupName,RetentionInDays]'
aws events list-rules --query 'Rules[?contains(Name, `automation`) || contains(Name, `security`)][Name,State,ScheduleExpression]'
aws lambda list-functions --query 'Functions[?contains(FunctionName, `automation`) || contains(FunctionName, `remediation`)][FunctionName,Runtime,LastModified]'
Compliance and Configuration Drift
aws config get-compliance-summary-by-config-rule --query 'ComplianceSummary'
aws config describe-configuration-recorders --query 'ConfigurationRecorders[*].[name,recordingGroup,roleARN]'
aws ssm get-compliance-summary --query '[ComplianceSummaryItems[*].[ComplianceType,CompliantSummary,NonCompliantSummary]]'
aws ssm describe-instance-patch-states --query 'InstancePatchStates[*].[InstanceId,PatchGroup,CriticalNonCompliantCount,SecurityNonCompliantCount]' --max-results 10
</t>
  </si>
  <si>
    <t>Protección de datos
SEC 7. ¿Cómo clasifica sus datos?</t>
  </si>
  <si>
    <r>
      <rPr>
        <b/>
        <sz val="11"/>
        <color rgb="FF000000"/>
        <rFont val="Montserrat"/>
      </rPr>
      <t>SEC07-BP01</t>
    </r>
    <r>
      <rPr>
        <sz val="11"/>
        <color rgb="FF000000"/>
        <rFont val="Montserrat"/>
      </rPr>
      <t xml:space="preserve"> Comprenda su esquema de clasificación de datos</t>
    </r>
  </si>
  <si>
    <t>Comprenda la clasificación de los datos que procesa su carga de trabajo, los requisitos de su tratamiento, los procesos empresariales asociados, dónde se almacenan los datos y quién es su propietario.  Su esquema de clasificación y tratamiento de datos debe tener en cuenta los requisitos legales y de cumplimiento aplicables a su carga de trabajo y los controles de datos necesarios. La comprensión de los datos es el primer paso en el proceso de clasificación de los datos.</t>
  </si>
  <si>
    <t>S3, Amazon S3 Lifecycle Policies, Amazon Macie, Matrices de Clasificación.
Data Classification Policy Implementation
Servicio: AWS Organizations, AWS Config
Recurso: Políticas de etiquetas, estándares de clasificación de datos, y políticas organizacionales
Configuración: Organizations configurado con políticas formales de clasificación de datos, esquemas de etiquetado estandarizados, y mecanismos de aplicación
Amazon Macie Data Discovery
Servicio: Amazon Macie
Recurso: Descubrimiento de datos sensibles, trabajos de clasificación, y gestión de hallazgos
Configuración: Macie configurado para descubrimiento automatizado de datos sensibles en S3, RDS, y DynamoDB con identificadores de datos personalizados y reglas de clasificación
Resource Tagging Strategy
Servicio: AWS Resource Groups, AWS Tag Editor
Recurso: Etiquetas de recursos, políticas de etiquetado, y gestión de metadatos
Configuración: Etiquetado configurado con niveles de sensibilidad, propiedad de datos, y metadatos operacionales para habilitar monitoreo y respuesta a incidentes
Data Catalog Implementation
Servicio: AWS Glue Data Catalog, AWS Lake Formation
Recurso: Catálogo de datos, gestión de metadatos, y linaje de datos
Configuración: Catálogo de datos configurado para proporcionar vista centralizada de activos de datos con clasificaciones de sensibilidad y controles de protección
Compliance and Monitoring Tools
Servicio: AWS Config, AWS CloudTrail
Recurso: Reglas de conformidad, pistas de auditoría, y configuraciones de monitoreo
Configuración: Monitoreo configurado para rastrear acceso a datos, conformidad de clasificación, y violaciones de políticas</t>
  </si>
  <si>
    <t>Validar tipos de almacenamiento en S3, ciclos de vida en S3, políticas S3, Encripción S3, configuración de Amazon Macie, que la organización comprenda la sensibilidad de sus datos y los requisitos legales/de cumplimiento que rigen dónde se almacenan y quién los gestiona.
Documentación de Política de Clasificación de Datos Verificar que política formal de clasificación de datos esté documentada e implementada a través de la organización. Cumplimiento indica documentación integral de políticas con niveles claros de clasificación, requisitos de manejo, y controles de protección. Incumplimiento evidenciado por política faltante, clasificaciones poco claras o implementación inconsistente.
Cobertura de Identificación de Datos Sensibles Verificar que tipos de datos sensibles estén identificados y catalogados a través de todas las cargas de trabajo y almacenes de datos. Cumplimiento indica descubrimiento integral de datos con integración de Macie, inventario completo, y escaneo regular. Incumplimiento evidenciado por ubicaciones de datos desconocidas, descubrimiento de datos sensibles faltante o catalogación incompleta.
Implementación de Estándares de Etiquetado Verificar que estándares consistentes de etiquetado estén implementados para clasificar datos basados en sensibilidad y requisitos operacionales. Cumplimiento indica estrategia integral de etiquetado con estándares aplicados, verificación automatizada de conformidad, y aplicación consistente. Incumplimiento evidenciado por etiquetado inconsistente, etiquetas de sensibilidad faltantes o estándares no aplicados.
Completitud del Catálogo de Datos Verificar que catálogo integral de datos esté mantenido con metadatos precisos, clasificaciones de sensibilidad, y controles de protección. Cumplimiento indica catálogo completo de datos con información actual, clasificaciones apropiadas, y mapeos de controles. Incumplimiento evidenciado por catálogo incompleto, información desactualizada o mapeos de controles faltantes.
Monitoreo de Conformidad de Clasificación Verificar que monitoreo y verificación de conformidad estén implementados para asegurar adherencia a políticas de clasificación de datos. Cumplimiento indica monitoreo activo con verificaciones automatizadas de conformidad, detección de violaciones, y procesos de remediación. Incumplimiento evidenciado por monitoreo faltante, violaciones no detectadas o falta de procesos de remediación.</t>
  </si>
  <si>
    <t xml:space="preserve">AWS Organizations Tag Policies
aws organizations list-policies --filter Service=TAG_POLICY --query 'Policies[*].[Id,Name,Description,Type]'
aws organizations describe-policy --policy-id &lt;policy-id&gt; --query '[Policy.PolicySummary.Name,Policy.Content]'
aws organizations list-targets-for-policy --policy-id &lt;policy-id&gt; --query 'Targets[*].[TargetId,Name,Type]'
aws organizations list-accounts --query 'Accounts[*].[Id,Name,Status]'
Amazon Macie Data Discovery
aws macie2 get-macie-session --query '[status,serviceRole,createdAt,updatedAt]'
aws macie2 list-classification-jobs --query 'items[*].[jobId,name,jobStatus,createdAt]' --max-items 10
aws macie2 get-findings-statistics --group-by severity --query '[countsByGroup[*].[groupKey,count]]'
aws macie2 list-findings --query 'findingIds' --max-items 5
aws macie2 describe-buckets --query 'buckets[*].[bucketName,classifiableObjectCount,sensitiveDataDiscoveryResult]' --max-items 10
Resource Tagging Assessment
aws resourcegroupstaggingapi get-resources --query 'ResourceTagMappingList[*].[ResourceARN,Tags[?Key==`DataClassification`].Value|[0]]' --max-items 10
aws resourcegroupstaggingapi get-tag-keys --query 'TagKeys[?contains(@, `Data`) || contains(@, `Sensitivity`)]'
aws resourcegroupstaggingapi get-tag-values --key DataClassification --query 'TagValues'
aws config describe-compliance-by-config-rule --config-rule-names required-tags --query 'ComplianceByConfigRules[*].[ConfigRuleName,Compliance.ComplianceType]'
Data Catalog and Metadata
aws glue get-databases --query 'DatabaseList[*].[Name,Description,CreateTime]'
aws glue get-tables --database-name &lt;database-name&gt; --query 'TableList[*].[Name,StorageDescriptor.Location,Parameters]' --max-items 5
aws lakeformation list-permissions --query 'PrincipalResourcePermissions[*].[Principal,Resource,Permissions]' --max-items 10
aws lakeformation describe-resource --resource-arn &lt;resource-arn&gt; --query '[ResourceInfo.ResourceArn,ResourceInfo.RoleArn]'
S3 Data Classification and Protection
aws s3api list-buckets --query 'Buckets[*].[Name,CreationDate]'
aws s3api get-bucket-tagging --bucket &lt;bucket-name&gt; --query 'TagSet[?Key==`DataClassification`].[Key,Value]'
aws s3api get-bucket-encryption --bucket &lt;bucket-name&gt; --query 'ServerSideEncryptionConfiguration.Rules[*].[ApplyServerSideEncryptionByDefault.SSEAlgorithm]'
aws s3api get-public-access-block --bucket &lt;bucket-name&gt; --query 'PublicAccessBlockConfiguration'
Compliance and Monitoring Configuration
aws config describe-config-rules --query 'ConfigRules[?contains(ConfigRuleName, `tag`) || contains(ConfigRuleName, `classification`)][ConfigRuleName,ConfigRuleState]'
aws config get-compliance-summary-by-config-rule --query 'ComplianceSummary'
aws cloudtrail describe-trails --query 'trailList[*].[Name,S3BucketName,IncludeGlobalServiceEvents]'
aws logs describe-log-groups --log-group-name-prefix /aws/macie --query 'LogGroups[*].[LogGroupName,RetentionInDays]'
Data Access and Usage Monitoring
aws cloudtrail lookup-events --lookup-attributes AttributeKey=EventName,AttributeValue=GetObject --start-time $(date -d '7 days ago' -I) --query 'Events[*].[EventTime,Username,Resources[0].ResourceName]' --max-items 5
aws cloudtrail lookup-events --lookup-attributes AttributeKey=EventName,AttributeValue=PutBucketTagging --start-time $(date -d '30 days ago' -I) --query 'Events[*].[EventTime,Username,Resources]'
aws cloudwatch describe-alarms --query 'MetricAlarms[?contains(AlarmName, `data`) || contains(AlarmName, `classification`)][AlarmName,StateValue]'
</t>
  </si>
  <si>
    <r>
      <rPr>
        <b/>
        <sz val="11"/>
        <color rgb="FF000000"/>
        <rFont val="Montserrat"/>
      </rPr>
      <t>SEC07-BP02</t>
    </r>
    <r>
      <rPr>
        <sz val="11"/>
        <color rgb="FF000000"/>
        <rFont val="Montserrat"/>
      </rPr>
      <t xml:space="preserve"> Aplicar controles de protección de datos basados en la sensibilidad de datos</t>
    </r>
  </si>
  <si>
    <t>Aplique controles de protección de datos que proporcionen un nivel de control adecuado para cada clase de datos definida en su política de clasificación.  Esta práctica puede permitirle proteger los datos confidenciales ante el acceso y el uso no autorizados y, al mismo tiempo, preservar la disponibilidad y el uso de los datos.</t>
  </si>
  <si>
    <t>Controles de protección (IAM/KMS).
AWS Key Management Service (KMS)
Servicio: AWS KMS
Recurso: Claves gestionadas por el cliente, políticas de claves, y configuraciones de cifrado
Configuración: KMS configurado con políticas de claves apropiadas basadas en sensibilidad de datos, claves separadas para diferentes niveles de clasificación, y rotación apropiada de claves
AWS Organizations and SCPs
Servicio: AWS Organizations
Recurso: Políticas de Control de Servicios, separación de cuentas, y unidades organizacionales
Configuración: Organizations configurado con SCPs para aplicar controles de protección de datos, aislamiento de cuentas basado en sensibilidad de datos, y acceso restringido a servicios
IAM Policies and Access Controls
Servicio: AWS IAM
Recurso: Políticas, roles, y controles de acceso basados en clasificación de datos
Configuración: IAM configurado con acceso de menor privilegio, separación de roles sensibles a datos, y control de acceso basado en atributos (ABAC) usando etiquetas de recursos
Data Encryption Implementation
Servicio: Amazon S3, Amazon RDS, Amazon EBS
Recurso: Cifrado en reposo, cifrado en tránsito, y gestión de claves
Configuración: Cifrado configurado apropiadamente basado en niveles de sensibilidad de datos con diferentes estándares de cifrado para diferentes niveles de clasificación
Data Loss Prevention (DLP) Controls
Servicio: Amazon Macie, AWS CloudTrail
Recurso: Políticas DLP, monitoreo de acceso a datos, y detección de anomalías
Configuración: DLP configurado con monitoreo basado en sensibilidad, análisis de patrones de acceso, y alertas automatizadas para acceso no autorizado</t>
  </si>
  <si>
    <t>Comprobar que a cada clase de datos identificada se le asignen medidas de protección y acceso proporcionales a su nivel de confidencialidad.
Implementación de Protección Basada en Sensibilidad de Datos Verificar que controles de protección de datos estén implementados basados en clasificaciones de sensibilidad de datos con límites de aislamiento apropiados. Cumplimiento indica niveles diferenciados de protección con controles más fuertes para datos más sensibles y mecanismos de aislamiento apropiados. Incumplimiento evidenciado por protección uniforme a través de todos los datos, controles basados en sensibilidad faltantes o aislamiento inadecuado.
Estándares de Cifrado por Nivel de Clasificación Verificar que estándares de cifrado estén aplicados apropiadamente basados en niveles de clasificación de datos con cifrado más fuerte para datos más sensibles. Cumplimiento indica implementación apropiada de cifrado con diferentes estrategias de gestión de claves y estándares de cifrado basados en sensibilidad. Incumplimiento evidenciado por cifrado uniforme, gestión inapropiada de claves o cifrado faltante para datos sensibles.
Implementación de Control de Acceso Verificar que controles de acceso estén implementados basados en sensibilidad de datos con principios de menor privilegio y acceso basado en roles. Cumplimiento indica control de acceso integral con permisos basados en sensibilidad, separación apropiada de roles, y control de acceso basado en atributos. Incumplimiento evidenciado por acceso excesivamente permisivo, separación de roles faltante o controles de acceso inadecuados.
Aislamiento de Cuentas y Recursos Verificar que límites de aislamiento apropiados estén implementados usando cuentas AWS, SCPs, y separación de recursos basada en sensibilidad de datos. Cumplimiento indica arquitectura apropiada de aislamiento con separación de cuentas, aplicación de SCP, y aislamiento a nivel de recursos. Incumplimiento evidenciado por datos de sensibilidad mixta en la misma cuenta, SCPs faltantes o límites de aislamiento inadecuados.
Controles de Monitoreo y Auditoría Verificar que controles de monitoreo y auditoría estén implementados apropiadamente basados en niveles de sensibilidad de datos con monitoreo mejorado para datos sensibles. Cumplimiento indica monitoreo integral con alertas basadas en sensibilidad, pistas de auditoría, y detección de anomalías. Incumplimiento evidenciado por monitoreo uniforme, pistas de auditoría faltantes o detección inadecuada de anomalías.</t>
  </si>
  <si>
    <t xml:space="preserve">AWS KMS Key Management Assessment
aws kms list-keys --query 'Keys[*].KeyId' | head -10
aws kms describe-key --key-id &lt;key-id&gt; --query '[KeyMetadata.KeyId,KeyMetadata.KeyUsage,KeyMetadata.KeySpec,KeyMetadata.Description]'
aws kms get-key-policy --key-id &lt;key-id&gt; --policy-name default --query 'Policy'
aws kms list-resource-tags --key-id &lt;key-id&gt; --query 'Tags[?Key==`DataClassification`].[Key,Value]'
AWS Organizations and SCPs
aws organizations list-policies --filter Service=SERVICE_CONTROL_POLICY --query 'Policies[*].[Id,Name,Description]'
aws organizations describe-policy --policy-id &lt;policy-id&gt; --query '[Policy.PolicySummary.Name,Policy.Content]'
aws organizations list-accounts --query 'Accounts[*].[Id,Name,Status]'
aws organizations list-organizational-units-for-parent --parent-id &lt;root-id&gt; --query 'OrganizationalUnits[*].[Id,Name]'
IAM Access Control Analysis
aws iam list-roles --query 'Roles[?contains(RoleName, `Data`) || contains(RoleName, `Sensitive`)][RoleName,CreateDate]'
aws iam get-role --role-name &lt;role-name&gt; --query '[Role.RoleName,Role.AssumeRolePolicyDocument]'
aws iam list-attached-role-policies --role-name &lt;role-name&gt; --query 'AttachedPolicies[*].[PolicyName,PolicyArn]'
aws iam simulate-principal-policy --policy-source-arn &lt;role-arn&gt; --action-names s3:GetObject --resource-arns &lt;resource-arn&gt; --query 'EvaluationResults[*].[EvalActionName,EvalDecision]'
S3 Data Protection Configuration
aws s3api list-buckets --query 'Buckets[*].[Name,CreationDate]'
aws s3api get-bucket-encryption --bucket &lt;bucket-name&gt; --query 'ServerSideEncryptionConfiguration.Rules[*].[ApplyServerSideEncryptionByDefault.SSEAlgorithm,ApplyServerSideEncryptionByDefault.KMSMasterKeyID]'
aws s3api get-bucket-policy --bucket &lt;bucket-name&gt; --query 'Policy'
aws s3api get-bucket-tagging --bucket &lt;bucket-name&gt; --query 'TagSet[?Key==`DataClassification`].[Key,Value]'
RDS and Database Encryption
aws rds describe-db-instances --query 'DBInstances[*].[DBInstanceIdentifier,StorageEncrypted,KmsKeyId,PubliclyAccessible]'
aws rds describe-db-snapshots --query 'DBSnapshots[*].[DBSnapshotIdentifier,Encrypted,KmsKeyId]' --max-items 5
aws dynamodb list-tables --query 'TableNames' | head -5
aws dynamodb describe-table --table-name &lt;table-name&gt; --query '[Table.TableName,Table.SSEDescription.Status,Table.SSEDescription.KMSMasterKeyArn]'
Macie Data Protection Monitoring
aws macie2 get-macie-session --query '[status,serviceRole,createdAt]'
aws macie2 list-findings --query 'findingIds' --max-items 5
aws macie2 get-findings-statistics --group-by severity --query '[countsByGroup[*].[groupKey,count]]'
aws macie2 describe-buckets --query 'buckets[*].[bucketName,sensitiveDataDiscoveryResult,classifiableObjectCount]' --max-items 5
CloudTrail Data Access Monitoring
aws cloudtrail describe-trails --query 'trailList[*].[Name,S3BucketName,KMSKeyId,IncludeGlobalServiceEvents]'
aws cloudtrail lookup-events --lookup-attributes AttributeKey=EventName,AttributeValue=GetObject --start-time $(date -d '7 days ago' -I) --query 'Events[*].[EventTime,Username,Resources[0].ResourceName]' --max-items 5
aws logs describe-log-groups --log-group-name-prefix /aws/cloudtrail --query 'LogGroups[*].[LogGroupName,RetentionInDays,KmsKeyId]'
</t>
  </si>
  <si>
    <r>
      <rPr>
        <b/>
        <sz val="11"/>
        <color rgb="FF000000"/>
        <rFont val="Montserrat"/>
      </rPr>
      <t>SEC07-BP03</t>
    </r>
    <r>
      <rPr>
        <sz val="11"/>
        <color rgb="FF000000"/>
        <rFont val="Montserrat"/>
      </rPr>
      <t xml:space="preserve"> Automatizar la identificación y clasificación</t>
    </r>
  </si>
  <si>
    <t>La automatización de la identificación y clasificación de datos puede ayudarle a implementar los controles correctos. El uso de la automatización para aumentar la determinación manual reduce el riesgo de errores humanos y exposiciones.</t>
  </si>
  <si>
    <t>Amazon Macie.
Amazon Macie Implementation
Servicio: Amazon Macie
Recurso: Trabajos de descubrimiento de datos sensibles, hallazgos de clasificación, y escaneo automatizado
Configuración: Macie configurado para descubrimiento automatizado de datos sensibles en S3, RDS, y DynamoDB con identificadores de datos personalizados, escaneos programados, y gestión de hallazgos
Amazon Comprehend and Comprehend Medical
Servicio: Amazon Comprehend, Amazon Comprehend Medical
Recurso: Análisis de texto, reconocimiento de entidades, y clasificación de datos médicos
Configuración: Comprehend configurado para clasificación automatizada de texto, detección de entidades, e identificación de datos médicos con modelos personalizados y procesamiento por lotes
AWS Glue Data Quality and Cataloging
Servicio: AWS Glue
Recurso: Catálogo de datos, crawlers, y reglas de calidad de datos
Configuración: Glue configurado con descubrimiento automatizado de datos, catalogación, y reglas de detección de datos sensibles con integración a flujos de trabajo de clasificación de datos
Automated Tagging and Metadata Management
Servicio: AWS Config, AWS Lambda
Recurso: Reglas de etiquetado automatizado, extracción de metadatos, y flujos de trabajo de clasificación
Configuración: Etiquetado automatizado configurado con funciones Lambda, reglas de Config, e integración EventBridge para clasificación y etiquetado en tiempo real
CI/CD Integration for Data Classification
Servicio: AWS CodePipeline, AWS CodeBuild
Recurso: Procesos de construcción, etapas de escaneo de datos, y clasificación automatizada
Configuración: CI/CD configurado con escaneo automatizado de datos, validación de clasificación, y puertas de despliegue basadas en hallazgos de sensibilidad de datos</t>
  </si>
  <si>
    <t>Verificar que existan mecanismos automatizados que escaneen y clasifiquen la información para minimizar riesgos y errores manuales.
Cobertura de Descubrimiento Automatizado de Datos Verificar que descubrimiento automatizado de datos esté implementado a través de todos los almacenes de datos con capacidades integrales de escaneo. Cumplimiento indica despliegue integral de Macie con horarios regulares de escaneo, cobertura completa de almacenes de datos, y gestión automatizada de hallazgos. Incumplimiento evidenciado por descubrimiento manual de datos, cobertura limitada de escaneo o automatización faltante.
Precisión y Consistencia de Clasificación Verificar que herramientas de clasificación automatizada estén apropiadamente configuradas con identificadores de datos precisos y resultados de clasificación consistentes. Cumplimiento indica alta precisión de clasificación con identificadores de datos personalizados, reglas de clasificación validadas, y resultados consistentes a través de entornos. Incumplimiento evidenciado por clasificación inexacta, identificadores personalizados faltantes o resultados inconsistentes.
Clasificación y Monitoreo en Tiempo Real Verificar que clasificación de datos en tiempo real y monitoreo estén implementados para detectar manejo no autorizado de datos. Cumplimiento indica monitoreo integral en tiempo real con alertas automatizadas, clasificación inmediata de datos nuevos, y capacidades de respuesta rápida. Incumplimiento evidenciado por procesamiento solo por lotes, clasificación retrasada o monitoreo en tiempo real faltante.
Integración con Controles de Protección de Datos Verificar que clasificación automatizada esté integrada con controles de protección de datos y sistemas de gestión de acceso. Cumplimiento indica integración perfecta con aplicación automatizada de políticas, actualizaciones de control de acceso, y aplicación de controles de protección. Incumplimiento evidenciado por aplicación manual de políticas, integración faltante o implementación retrasada de controles.
Mejora Continua y Validación Verificar que procesos de mejora continua estén implementados para validar y mejorar la precisión de clasificación. Cumplimiento indica procesos regulares de validación con bucles de retroalimentación, métricas de precisión, y mejora continua de modelos. Incumplimiento evidenciado por reglas de clasificación estáticas, validación faltante o falta de procesos de mejora.</t>
  </si>
  <si>
    <t xml:space="preserve">Amazon Macie Configuration Assessment
aws macie2 get-macie-session --query '[status,serviceRole,createdAt,updatedAt]'
aws macie2 list-classification-jobs --query 'items[*].[jobId,name,jobStatus,jobType,createdAt]' --max-items 10
aws macie2 describe-classification-job --job-id &lt;job-id&gt; --query '[jobId,name,jobStatus,statistics,createdAt]'
aws macie2 list-custom-data-identifiers --query 'items[*].[id,name,description,createdAt]' --max-items 10
aws macie2 get-findings-statistics --group-by severity --query '[countsByGroup[*].[groupKey,count]]'
Macie Findings and Discovery Results
aws macie2 list-findings --query 'findingIds' --max-items 10
aws macie2 get-findings --finding-ids &lt;finding-id&gt; --query 'findings[0].[id,type,severity,title,description]'
aws macie2 describe-buckets --query 'buckets[*].[bucketName,classifiableObjectCount,sensitiveDataDiscoveryResult]' --max-items 10
aws macie2 list-managed-data-identifiers --query 'items[*].[id,name,category]' --max-items 10
Amazon Comprehend Integration
aws comprehend list-document-classifiers --query 'DocumentClassifierPropertiesList[*].[DocumentClassifierArn,Status,SubmitTime]'
aws comprehend list-entities-detection-jobs --query 'EntitiesDetectionJobPropertiesList[*].[JobId,JobStatus,SubmitTime]' --max-items 5
aws comprehend list-pii-entities-detection-jobs --query 'PiiEntitiesDetectionJobPropertiesList[*].[JobId,JobStatus,SubmitTime]' --max-items 5
aws comprehendmedical list-phi-detection-jobs --query 'ComprehendMedicalAsyncJobPropertiesList[*].[JobId,JobStatus,SubmitTime]' --max-items 5
AWS Glue Data Catalog and Classification
aws glue get-databases --query 'DatabaseList[*].[Name,Description,CreateTime]'
aws glue get-tables --database-name &lt;database-name&gt; --query 'TableList[*].[Name,StorageDescriptor.Location,Parameters]' --max-items 5
aws glue list-crawlers --query 'CrawlerNames' | head -5
aws glue get-crawler --name &lt;crawler-name&gt; --query '[Crawler.Name,Crawler.State,Crawler.LastCrawl.Status]'
Automated Tagging and Classification Rules
aws config describe-config-rules --query 'ConfigRules[?contains(ConfigRuleName, `tag`) || contains(ConfigRuleName, `classification`)][ConfigRuleName,ConfigRuleState]'
aws lambda list-functions --query 'Functions[?contains(FunctionName, `classification`) || contains(FunctionName, `tagging`)][FunctionName,Runtime,LastModified]'
aws events list-rules --query 'Rules[?contains(Name, `classification`) || contains(Name, `data`)][Name,State,EventPattern]'
CI/CD Data Classification Integration
aws codepipeline list-pipelines --query 'pipelines[?contains(name, `data`) || contains(name, `classification`)][name,created]'
aws codebuild list-projects --query 'projects[?contains(@, `data`) || contains(@, `classification`)]'
aws codebuild batch-get-projects --names &lt;project-name&gt; --query 'projects[0].[name,source,environment.environmentVariables]'
Classification Monitoring and Alerting
aws cloudwatch describe-alarms --query 'MetricAlarms[?contains(AlarmName, `macie`) || contains(AlarmName, `classification`)][AlarmName,StateValue,MetricName]'
aws sns list-topics --query 'Topics[?contains(TopicArn, `classification`) || contains(TopicArn, `data`)].TopicArn'
aws logs describe-log-groups --log-group-name-prefix /aws/macie --query 'LogGroups[*].[LogGroupName,RetentionInDays]'
aws logs describe-log-groups --log-group-name-prefix /aws/lambda --query 'LogGroups[?contains(LogGroupName, `classification`)][LogGroupName,RetentionInDays]'
</t>
  </si>
  <si>
    <r>
      <rPr>
        <b/>
        <sz val="11"/>
        <color rgb="FF000000"/>
        <rFont val="Montserrat"/>
      </rPr>
      <t>SEC07-BP04</t>
    </r>
    <r>
      <rPr>
        <sz val="11"/>
        <color rgb="FF000000"/>
        <rFont val="Montserrat"/>
      </rPr>
      <t xml:space="preserve"> Definir la gestión escalable del ciclo de vida de los datos</t>
    </r>
  </si>
  <si>
    <t>Comprenda los requisitos del ciclo de vida de sus datos en relación con sus diferentes niveles de clasificación y gestión de datos.  Entre ellos pueden estar la forma de gestionar los datos cuando entran por primera vez en su entorno, la manera de transformarlos y las reglas para su destrucción. Tenga en cuenta factores como los periodos de retención, el acceso, la auditoría y el seguimiento de la procedencia.</t>
  </si>
  <si>
    <t>Amazon S3 Lifecycle Policies.
Amazon S3 Lifecycle Policies
Servicio: Amazon S3
Recurso: Configuraciones de ciclo de vida, transiciones de clases de almacenamiento, y eliminación automatizada
Configuración: S3 configurado con políticas integrales de ciclo de vida basadas en clasificación de datos, transiciones automatizadas a clases de almacenamiento apropiadas, y eliminación programada basada en requisitos de retención
Amazon Data Lifecycle Manager (DLM)
Servicio: Amazon Data Lifecycle Manager
Recurso: Políticas de ciclo de vida de snapshots EBS, horarios automatizados de respaldo, y gestión de retención
Configuración: DLM configurado con creación automatizada de snapshots, políticas de retención basadas en sensibilidad de datos, y replicación entre regiones para datos críticos
AWS Backup Service
Servicio: AWS Backup
Recurso: Planes de respaldo, políticas de bóveda, y gestión de respaldos entre servicios
Configuración: AWS Backup configurado con estrategias integrales de respaldo, políticas de retención alineadas con clasificación de datos, y almacenamiento seguro de respaldos con controles de acceso apropiados
Data Provenance and Lineage Tracking
Servicio: AWS Glue, Amazon Neptune
Recurso: Seguimiento de linaje de datos, gestión de metadatos, y registros de procedencia
Configuración: Linaje de datos configurado para rastrear orígenes de datos, transformaciones, y propiedad a lo largo del ciclo de vida de datos con pistas de auditoría integrales
Automated Data Retention and Destruction
Servicio: AWS Lambda, Amazon EventBridge
Recurso: Flujos de trabajo automatizados de retención, destrucción programada de datos, y monitoreo de conformidad
Configuración: Flujos de trabajo automatizados configurados para aplicar políticas de retención, destrucción segura de datos, y reportes de conformidad basados en requisitos regulatorios</t>
  </si>
  <si>
    <t>Auditar la retención de los datos asegurando que se transforman o destruyen sistemáticamente conforme a su categoría y plazo de vida útil exigido.
Implementación Integral de Políticas de Ciclo de Vida Verificar que políticas integrales de ciclo de vida de datos estén implementadas basadas en clasificación de datos y requisitos regulatorios. Cumplimiento indica políticas bien definidas de ciclo de vida con transiciones automatizadas, períodos apropiados de retención, y procesos seguros de eliminación. Incumplimiento evidenciado por políticas de ciclo de vida faltantes, gestión manual de datos o prácticas inconsistentes de retención.
Automatización de Retención y Destrucción de Datos Verificar que procesos automatizados de retención y destrucción de datos estén implementados con controles apropiados y pistas de auditoría. Cumplimiento indica automatización integral con eliminación segura, seguimiento de conformidad, y documentación apropiada de auditoría. Incumplimiento evidenciado por gestión manual de retención, procesos de destrucción faltantes o pistas de auditoría inadecuadas.
Implementación de Estrategia de Respaldo y Recuperación Verificar que estrategias integrales de respaldo y recuperación estén implementadas basadas en criticidad de datos y requisitos de negocio. Cumplimiento indica estrategias robustas de respaldo con retención apropiada, replicación entre regiones, y procedimientos de recuperación probados. Incumplimiento evidenciado por estrategias de respaldo faltantes, retención inadecuada o procesos de recuperación no probados.
Seguimiento de Procedencia y Linaje de Datos Verificar que seguimiento de procedencia y linaje de datos estén implementados para mantener integridad de datos y apoyar requisitos de conformidad. Cumplimiento indica seguimiento integral de linaje con pistas completas de auditoría, registros de transformación, y documentación de propiedad. Incumplimiento evidenciado por seguimiento de procedencia faltante, registros incompletos de linaje o documentación inadecuada.
Alineación de Conformidad y Regulatoria Verificar que prácticas de gestión de ciclo de vida de datos estén alineadas con requisitos regulatorios y políticas organizacionales. Cumplimiento indica alineación integral de conformidad con auditorías regulares, actualizaciones de políticas, y capacidades de reporte regulatorio. Incumplimiento evidenciado por prácticas no conformes, alineación regulatoria faltante o reporte inadecuado.</t>
  </si>
  <si>
    <t xml:space="preserve">Amazon S3 Lifecycle Configuration
aws s3api list-buckets --query 'Buckets[*].[Name,CreationDate]'
aws s3api get-bucket-lifecycle-configuration --bucket &lt;bucket-name&gt; --query 'Rules[*].[ID,Status,Filter,Transitions,Expiration]'
aws s3api get-bucket-versioning --bucket &lt;bucket-name&gt; --query '[Status,MfaDelete]'
aws s3api get-bucket-tagging --bucket &lt;bucket-name&gt; --query 'TagSet[?Key==`DataClassification` || Key==`RetentionPeriod`].[Key,Value]'
Amazon Data Lifecycle Manager Assessment
aws dlm get-lifecycle-policies --query 'Policies[*].[PolicyId,Description,State,DateCreated]'
aws dlm get-lifecycle-policy --policy-id &lt;policy-id&gt; --query '[Policy.Description,Policy.State,Policy.PolicyDetails.Schedules[*].[Name,CreateRule,RetainRule]]'
aws ec2 describe-snapshots --owner-ids self --query 'Snapshots[*].[SnapshotId,Description,StartTime,State]' --max-items 5
AWS Backup Configuration
aws backup list-backup-plans --query 'BackupPlansList[*].[BackupPlanId,BackupPlanName,CreationDate]'
aws backup get-backup-plan --backup-plan-id &lt;plan-id&gt; --query '[BackupPlan.BackupPlanName,BackupPlan.Rules[*].[RuleName,TargetBackupVault,Lifecycle]]'
aws backup list-backup-vaults --query 'BackupVaultList[*].[BackupVaultName,CreationDate,EncryptionKeyArn]'
aws backup list-recovery-points-by-backup-vault --backup-vault-name &lt;vault-name&gt; --query 'RecoveryPoints[*].[RecoveryPointArn,CreationDate,Status]' --max-items 5
Data Lineage and Provenance Tracking
aws glue get-databases --query 'DatabaseList[*].[Name,Description,CreateTime]'
aws glue get-tables --database-name &lt;database-name&gt; --query 'TableList[*].[Name,StorageDescriptor.Location,Parameters]' --max-items 5
aws neptune describe-db-clusters --query 'DBClusters[*].[DBClusterIdentifier,Status,Engine,DatabaseName]'
aws logs describe-log-groups --log-group-name-prefix /aws/glue --query 'LogGroups[*].[LogGroupName,RetentionInDays]'
Automated Retention and Destruction Workflows
aws lambda list-functions --query 'Functions[?contains(FunctionName, `retention`) || contains(FunctionName, `lifecycle`)][FunctionName,Runtime,LastModified]'
aws events list-rules --query 'Rules[?contains(Name, `retention`) || contains(Name, `lifecycle`)][Name,State,ScheduleExpression]'
aws stepfunctions list-state-machines --query 'stateMachines[?contains(name, `retention`) || contains(name, `lifecycle`)][name,status,creationDate]'
Compliance and Audit Trail Monitoring
aws cloudtrail describe-trails --query 'trailList[*].[Name,S3BucketName,IncludeGlobalServiceEvents]'
aws cloudtrail lookup-events --lookup-attributes AttributeKey=EventName,AttributeValue=DeleteObject --start-time $(date -d '30 days ago' -I) --query 'Events[*].[EventTime,Username,Resources[0].ResourceName]' --max-items 5
aws config describe-config-rules --query 'ConfigRules[?contains(ConfigRuleName, `retention`) || contains(ConfigRuleName, `lifecycle`)][ConfigRuleName,ConfigRuleState]'
aws config get-compliance-summary-by-config-rule --query 'ComplianceSummary'
Storage and Cost Optimization Monitoring
aws s3api list-objects-v2 --bucket &lt;bucket-name&gt; --query 'Contents[*].[Key,StorageClass,LastModified,Size]' --max-keys 5
aws cloudwatch get-metric-statistics --namespace AWS/S3 --metric-name BucketSizeBytes --dimensions Name=BucketName,Value=&lt;bucket-name&gt; Name=StorageType,Value=StandardStorage --start-time $(date -d '30 days ago' -I) --end-time $(date -I) --period 86400 --statistics Average
aws ce get-cost-and-usage --time-period Start=$(date -d '30 days ago' -I),End=$(date -I) --granularity MONTHLY --metrics BlendedCost --group-by Type=DIMENSION,Key=SERVICE --query 'ResultsByTime[*].Groups[?Keys[0]==`Amazon Simple Storage Service`].[Keys[0],Metrics.BlendedCost.Amount]'
</t>
  </si>
  <si>
    <t>Protección de datos
SEC 8. ¿Cómo protege sus datos en reposo?</t>
  </si>
  <si>
    <r>
      <rPr>
        <b/>
        <sz val="11"/>
        <color rgb="FF000000"/>
        <rFont val="Montserrat"/>
      </rPr>
      <t>SEC08-BP01</t>
    </r>
    <r>
      <rPr>
        <sz val="11"/>
        <color rgb="FF000000"/>
        <rFont val="Montserrat"/>
      </rPr>
      <t xml:space="preserve"> Implementar la gestión segura de claves</t>
    </r>
  </si>
  <si>
    <t>La administración segura de claves incluye el almacenamiento, la rotación, el control de acceso y la supervisión del material de claves necesario para proteger los datos en reposo para su carga de trabajo.</t>
  </si>
  <si>
    <t>AWS KMS.
AWS Key Management Service (KMS)
Servicio: AWS KMS
Recurso: Claves gestionadas por el cliente, claves gestionadas por AWS, y políticas de claves
Configuración: KMS configurado con políticas de claves apropiadas, acceso de menor privilegio, rotación automatizada de claves, y protección apropiada de material de claves usando HSMs validados FIPS 140-3 Nivel 3
AWS Certificate Manager (ACM)
Servicio: AWS Certificate Manager
Recurso: Certificados SSL/TLS, renovación automatizada, y despliegue de certificados
Configuración: ACM configurado con aprovisionamiento automatizado de certificados, renovación, y despliegue a través de servicios AWS con gestión apropiada del ciclo de vida de certificados
AWS Private Certificate Authority (Private CA)
Servicio: AWS Private Certificate Authority
Recurso: Jerarquía de CA privada, emisión de certificados, y revocación de certificados
Configuración: Private CA configurado con diseño apropiado de jerarquía CA, cuentas separadas para diferentes niveles de CA, y gestión automatizada de certificados
AWS CloudHSM
Servicio: AWS CloudHSM
Recurso: Módulos de seguridad de hardware, generación de claves, y operaciones criptográficas
Configuración: CloudHSM configurado para requisitos de gestión de claves de alta seguridad con instancias HSM dedicadas y procedimientos apropiados de respaldo de claves
Key Access Control and Monitoring
Servicio: AWS IAM, AWS CloudTrail
Recurso: Políticas de claves, políticas IAM, y registro de acceso
Configuración: Control de acceso configurado con principios de menor privilegio, registro integral del uso de claves, y monitoreo para patrones de acceso inusuales</t>
  </si>
  <si>
    <t>Evaluar que el almacenamiento, rotación, monitoreo y políticas de control de acceso a las claves criptográficas sean estrictos y seguros.
Almacenamiento y Protección Segura de Claves Verificar que claves de cifrado estén almacenadas de forma segura usando AWS KMS con protección apropiada de módulos de seguridad de hardware. Cumplimiento indica uso integral de KMS con HSMs validados FIPS 140-3 Nivel 3, sin exportación de claves en texto plano, y protección apropiada de material de claves. Incumplimiento evidenciado por implementaciones criptográficas personalizadas, almacenamiento de claves en texto plano o protección inadecuada de claves.
Implementación de Control de Acceso a Claves Verificar que acceso a claves esté controlado a través de políticas de menor privilegio con implementación apropiada de IAM y políticas de claves. Cumplimiento indica políticas restrictivas de claves con acceso de menor privilegio, separación apropiada de roles, y control de acceso basado en atributos. Incumplimiento evidenciado por permisos de claves excesivamente amplios, acceso compartido de claves o controles de acceso inadecuados.
Rotación Automatizada de Claves y Gestión del Ciclo de Vida Verificar que rotación automatizada de claves esté implementada con procedimientos apropiados de gestión del ciclo de vida de claves. Cumplimiento indica rotación automatizada de claves habilitada, versionado apropiado de claves, y gestión integral del ciclo de vida. Incumplimiento evidenciado por rotación manual de claves, políticas de ciclo de vida faltantes o uso estático de claves.
Automatización de Gestión de Certificados Verificar que gestión de certificados esté automatizada usando ACM con procesos apropiados de renovación y despliegue. Cumplimiento indica uso integral de ACM con renovación automatizada, despliegue apropiado de certificados, y gestión del ciclo de vida. Incumplimiento evidenciado por gestión manual de certificados, certificados expirados o automatización faltante.
Monitoreo y Auditoría del Uso de Claves Verificar que monitoreo y auditoría integrales estén implementados para uso de claves y patrones de acceso. Cumplimiento indica registro integral de CloudTrail, monitoreo del uso de claves, y capacidades de detección de anomalías. Incumplimiento evidenciado por registros de uso de claves faltantes, monitoreo inadecuado o falta de detección de anomalías.</t>
  </si>
  <si>
    <t xml:space="preserve">AWS KMS Key Management Assessment
aws kms list-keys --query 'Keys[*].KeyId' | head -10
aws kms describe-key --key-id &lt;key-id&gt; --query '[KeyMetadata.KeyId,KeyMetadata.KeyUsage,KeyMetadata.KeySpec,KeyMetadata.KeyRotationStatus]'
aws kms get-key-policy --key-id &lt;key-id&gt; --policy-name default --query 'Policy'
aws kms list-resource-tags --key-id &lt;key-id&gt; --query 'Tags[*].[Key,Value]'
aws kms get-key-rotation-status --key-id &lt;key-id&gt; --query 'KeyRotationEnabled'
AWS Certificate Manager Configuration
aws acm list-certificates --query 'CertificateSummaryList[*].[CertificateArn,DomainName,Status]'
aws acm describe-certificate --certificate-arn &lt;cert-arn&gt; --query '[Certificate.DomainName,Certificate.Status,Certificate.RenewalEligibility,Certificate.KeyUsages]'
aws acm list-tags-for-certificate --certificate-arn &lt;cert-arn&gt; --query 'Tags[*].[Key,Value]'
AWS Private Certificate Authority Assessment
aws acm-pca list-certificate-authorities --query 'CertificateAuthorities[*].[Arn,Status,Type,CreatedAt]'
aws acm-pca describe-certificate-authority --certificate-authority-arn &lt;ca-arn&gt; --query '[CertificateAuthority.Arn,CertificateAuthority.Status,CertificateAuthority.Type]'
aws acm-pca get-certificate-authority-csr --certificate-authority-arn &lt;ca-arn&gt; --query 'Csr'
aws acm-pca list-permissions --certificate-authority-arn &lt;ca-arn&gt; --query 'Permissions[*].[Principal,Actions,Policy]'
Key Access Control and Policies
aws iam list-roles --query 'Roles[?contains(RoleName, `KMS`) || contains(RoleName, `Key`)][RoleName,CreateDate]'
aws iam get-role-policy --role-name &lt;role-name&gt; --policy-name &lt;policy-name&gt; --query 'PolicyDocument'
aws iam list-attached-role-policies --role-name &lt;role-name&gt; --query 'AttachedPolicies[*].[PolicyName,PolicyArn]'
aws kms list-grants --key-id &lt;key-id&gt; --query 'Grants[*].[GrantId,Operations,GranteePrincipal]'
CloudHSM Configuration (if applicable)
aws cloudhsmv2 describe-clusters --query 'Clusters[*].[ClusterId,State,HsmType,CreateTimestamp]'
aws cloudhsmv2 describe-backups --query 'Backups[*].[BackupId,BackupState,ClusterId,CreateTimestamp]' --max-items 5
Key Usage Monitoring and Logging
aws cloudtrail lookup-events --lookup-attributes AttributeKey=EventName,AttributeValue=Decrypt --start-time $(date -d '7 days ago' -I) --query 'Events[*].[EventTime,Username,Resources[0].ResourceName]' --max-items 5
aws cloudtrail lookup-events --lookup-attributes AttributeKey=EventName,AttributeValue=GenerateDataKey --start-time $(date -d '7 days ago' -I) --query 'Events[*].[EventTime,Username,Resources]' --max-items 5
aws logs describe-log-groups --log-group-name-prefix /aws/kms --query 'LogGroups[*].[LogGroupName,RetentionInDays]'
Security Hub and Access Analyzer Integration
aws securityhub get-findings --filters '{"ProductName":[{"Value":"AWS Key Management Service","Comparison":"EQUALS"}]}' --query 'Findings[*].[Id,Title,Severity.Label]' --max-items 5
aws accessanalyzer list-findings --analyzer-arn &lt;analyzer-arn&gt; --query 'findings[?resourceType==`AWS::KMS::Key`].[id,resourceType,status]' --max-items 5
aws config describe-compliance-by-config-rule --config-rule-names kms-cmk-not-scheduled-for-deletion --query 'ComplianceByConfigRules[*].[ConfigRuleName,Compliance.ComplianceType]'
Certificate Renewal and Lifecycle Monitoring
aws acm list-certificates --certificate-statuses PENDING_VALIDATION EXPIRED --query 'CertificateSummaryList[*].[CertificateArn,DomainName,Status]'
aws cloudwatch describe-alarms --query 'MetricAlarms[?contains(AlarmName, `ACM`) || contains(AlarmName, `Certificate`)][AlarmName,StateValue]'
aws events list-rules --query 'Rules[?contains(Name, `certificate`) || contains(Name, `acm`)][Name,State,ScheduleExpression]'
</t>
  </si>
  <si>
    <r>
      <rPr>
        <b/>
        <sz val="11"/>
        <color rgb="FF000000"/>
        <rFont val="Montserrat"/>
      </rPr>
      <t>SEC08-BP02</t>
    </r>
    <r>
      <rPr>
        <sz val="11"/>
        <color rgb="FF000000"/>
        <rFont val="Montserrat"/>
      </rPr>
      <t xml:space="preserve"> Hacer cumplir el cifrado en reposo</t>
    </r>
  </si>
  <si>
    <t>Cifre los datos privados en reposo para mantener la confidencialidad y proporcionar una capa adicional de protección contra la divulgación o exfiltración de datos no deseada. El cifrado protege los datos para que no sea posible leerlos ni acceder a ellos sin antes descifrarlos. Haga un inventario y lleve un control de los datos no cifrados para mitigar los riesgos asociados a la exposición de los datos.</t>
  </si>
  <si>
    <t>Amazon EBS, AWS KMS, Amazon RDS Storage.
Amazon S3 Encryption Configuration
Servicio: Amazon S3
Recurso: Cifrado por defecto de buckets, cifrado a nivel de objeto, y cifrado del lado del servidor
Configuración: S3 configurado con cifrado por defecto habilitado usando claves AWS KMS, algoritmos de cifrado apropiados (AES-256 o KMS), y políticas de buckets que aplican cifrado
Amazon EBS Encryption Implementation
Servicio: Amazon EBS
Recurso: Cifrado de volúmenes, cifrado de snapshots, y configuraciones de cifrado por defecto
Configuración: EBS configurado con cifrado por defecto habilitado para nuevos volúmenes, AMIs cifradas, y cifrado automático de snapshots
Amazon RDS Encryption Configuration
Servicio: Amazon RDS
Recurso: Cifrado de base de datos, cifrado de snapshots, y cifrado de respaldos
Configuración: RDS configurado con cifrado en reposo habilitado, snapshots cifrados, y gestión apropiada de claves para cifrado de base de datos
DynamoDB Encryption Settings
Servicio: Amazon DynamoDB
Recurso: Cifrado de tablas, cifrado de respaldos, y cifrado de recuperación point-in-time
Configuración: DynamoDB configurado con cifrado en reposo usando claves KMS gestionadas por AWS o gestionadas por el cliente
AWS Config Rules for Encryption Compliance
Servicio: AWS Config
Recurso: Reglas de conformidad, monitoreo de cifrado, y remediación automatizada
Configuración: Config configurado con reglas para monitorear conformidad de cifrado a través de servicios y remediación automatizada para recursos no conformes</t>
  </si>
  <si>
    <t>1. Cifrado de Volúmenes: Identificar mediante AWS Config o revisión manual si existe cualquier volumen EBS sin cifrar. Documentar como hallazgo crítico.
2. Cifrado por defecto: Validar que en la configuración de la región de EC2 esté habilitada la opción "EBS Encryption by default".
Configuración de Cifrado por Defecto Verificar que cifrado por defecto esté habilitado a través de todos los servicios de almacenamiento con claves de cifrado y algoritmos apropiados. Cumplimiento indica cifrado por defecto integral con integración AWS KMS, selección apropiada de claves, y políticas de cifrado consistentes. Incumplimiento evidenciado por cifrado por defecto faltante, almacenamiento sin cifrar o configuraciones de cifrado inconsistentes.
Gestión y Clasificación de Claves de Cifrado Verificar que claves de cifrado estén mapeadas a clasificaciones de datos con políticas de claves apropiadas y controles de acceso. Cumplimiento indica mapeo apropiado de clave-a-datos con diferentes claves para diferentes niveles de sensibilidad y restricciones de acceso apropiadas. Incumplimiento evidenciado por uso de clave única, acceso inapropiado a claves o mapeo de clasificación de claves faltante.
Cobertura Integral de Servicios Verificar que cifrado en reposo esté implementado a través de todos los servicios AWS que almacenan datos con estándares de cifrado consistentes. Cumplimiento indica cobertura integral de cifrado con todos los servicios de almacenamiento cifrados e implementación consistente de cifrado. Incumplimiento evidenciado por servicios sin cifrar, cifrado inconsistente o cobertura de servicios faltante.
Monitoreo de Conformidad de Cifrado Verificar que monitoreo automatizado y verificación de conformidad estén implementados para asegurar que se cumplan los requisitos de cifrado. Cumplimiento indica monitoreo integral con reglas AWS Config, verificación automatizada de conformidad, y capacidades de remediación. Incumplimiento evidenciado por monitoreo faltante, verificación manual de conformidad o falta de remediación.
Implementación de Cifrado del Lado del Cliente Verificar que cifrado del lado del cliente esté implementado donde sea apropiado usando AWS Encryption SDK o herramientas similares. Cumplimiento indica implementación apropiada de cifrado del lado del cliente con gestión apropiada de claves y prácticas seguras de cifrado. Incumplimiento evidenciado por cifrado del lado del cliente faltante, implementación insegura o gestión inadecuada de claves.</t>
  </si>
  <si>
    <t xml:space="preserve">Amazon S3 Encryption Assessment
aws s3api list-buckets --query 'Buckets[*].[Name,CreationDate]'
aws s3api get-bucket-encryption --bucket &lt;bucket-name&gt; --query 'ServerSideEncryptionConfiguration.Rules[*].[ApplyServerSideEncryptionByDefault.SSEAlgorithm,ApplyServerSideEncryptionByDefault.KMSMasterKeyID]'
aws s3api get-bucket-policy --bucket &lt;bucket-name&gt; --query 'Policy'
aws s3api head-object --bucket &lt;bucket-name&gt; --key &lt;object-key&gt; --query '[ServerSideEncryption,SSEKMSKeyId]'
Amazon EBS Encryption Configuration
aws ec2 get-ebs-encryption-by-default --query 'EbsEncryptionByDefault'
aws ec2 get-ebs-default-kms-key-id --query 'KmsKeyId'
aws ec2 describe-volumes --query 'Volumes[*].[VolumeId,Encrypted,KmsKeyId,State]' --max-items 10
aws ec2 describe-snapshots --owner-ids self --query 'Snapshots[*].[SnapshotId,Encrypted,KmsKeyId,State]' --max-items 5
Amazon RDS Encryption Assessment
aws rds describe-db-instances --query 'DBInstances[*].[DBInstanceIdentifier,StorageEncrypted,KmsKeyId,Engine]'
aws rds describe-db-snapshots --query 'DBSnapshots[*].[DBSnapshotIdentifier,Encrypted,KmsKeyId,Engine]' --max-items 5
aws rds describe-db-clusters --query 'DBClusters[*].[DBClusterIdentifier,StorageEncrypted,KmsKeyId,Engine]'
DynamoDB Encryption Configuration
aws dynamodb list-tables --query 'TableNames' | head -10
aws dynamodb describe-table --table-name &lt;table-name&gt; --query '[Table.TableName,Table.SSEDescription.Status,Table.SSEDescription.SSEType,Table.SSEDescription.KMSMasterKeyArn]'
aws dynamodb describe-backup --backup-arn &lt;backup-arn&gt; --query '[BackupDescription.BackupDetails.BackupName,BackupDescription.BackupDetails.BackupStatus]'
AWS Config Encryption Compliance
aws config describe-config-rules --query 'ConfigRules[?contains(ConfigRuleName, `encrypt`) || contains(ConfigRuleName, `encryption`)][ConfigRuleName,ConfigRuleState]'
aws config get-compliance-details-by-config-rule --config-rule-name encrypted-volumes --query 'EvaluationResults[*].[ComplianceType,ConfigRuleInvokedTime,EvaluationResultIdentifier.EvaluationResultQualifier.ResourceId]'
aws config get-compliance-summary-by-config-rule --query 'ComplianceSummary'
Additional AWS Services Encryption
aws efs describe-file-systems --query 'FileSystems[*].[FileSystemId,Encrypted,KmsKeyId,LifeCycleState]'
aws redshift describe-clusters --query 'Clusters[*].[ClusterIdentifier,Encrypted,KmsKeyId,ClusterStatus]'
aws elasticache describe-cache-clusters --query 'CacheClusters[*].[CacheClusterId,AtRestEncryptionEnabled,TransitEncryptionEnabled]' --max-items 5
aws secretsmanager list-secrets --query 'SecretList[*].[Name,KmsKeyId,LastChangedDate]' --max-items 5
Encryption Key Usage Monitoring
aws cloudtrail lookup-events --lookup-attributes AttributeKey=EventName,AttributeValue=Decrypt --start-time $(date -d '7 days ago' -I) --query 'Events[*].[EventTime,Username,Resources[0].ResourceName]' --max-items 5
aws cloudtrail lookup-events --lookup-attributes AttributeKey=EventName,AttributeValue=GenerateDataKey --start-time $(date -d '7 days ago' -I) --query 'Events[*].[EventTime,Username,Resources]' --max-items 5
aws kms describe-key --key-id &lt;key-id&gt; --query '[KeyMetadata.KeyUsage,KeyMetadata.KeySpec,KeyMetadata.KeyRotationStatus]'
Unencrypted Resource Detection
aws s3api list-buckets --query 'Buckets[*].Name' | xargs -I {} sh -c 'aws s3api get-bucket-encryption --bucket {} 2&gt;/dev/null || echo "Bucket {} not encrypted"'
aws ec2 describe-volumes --filters Name=encrypted,Values=false --query 'Volumes[*].[VolumeId,State,Size]'
aws rds describe-db-instances --query 'DBInstances[?StorageEncrypted==`false`].[DBInstanceIdentifier,Engine,DBInstanceStatus]'
</t>
  </si>
  <si>
    <r>
      <rPr>
        <b/>
        <sz val="11"/>
        <color rgb="FF000000"/>
        <rFont val="Montserrat"/>
      </rPr>
      <t>SEC08-BP03</t>
    </r>
    <r>
      <rPr>
        <sz val="11"/>
        <color rgb="FF000000"/>
        <rFont val="Montserrat"/>
      </rPr>
      <t xml:space="preserve"> Automatice los datos en reposo protección</t>
    </r>
  </si>
  <si>
    <t>Utilice la automatización para validar y aplicar los controles de datos en reposo.  Utilice el análisis automatizado para detectar errores de configuración de sus soluciones de almacenamiento de datos y, en la medida de lo posible, aplique las correcciones mediante una respuesta programática automatizada.  Incorpore la automatización en sus procesos de CI/CD para detectar errores de configuración del almacenamiento de datos antes de que se implementen en producción.</t>
  </si>
  <si>
    <t>AWS Config, AWS CodePipeline.
AWS Config Rules for Encryption Compliance
Servicio: AWS Config
Recurso: Reglas de config gestionadas, reglas personalizadas, y remediación automatizada
Configuración: Config configurado con reglas integrales de conformidad de cifrado (encrypted-volumes, s3-bucket-server-side-encryption-enabled, rds-storage-encrypted), acciones de remediación automatizada, y monitoreo continuo
AWS CloudFormation Guard Integration
Servicio: AWS CloudFormation, AWS CloudFormation Guard
Recurso: Plantillas IaC, reglas guard, e integración CI/CD
Configuración: CloudFormation configurado con reglas Guard para prevenir creación de recursos sin cifrar, validación de plantillas en pipelines CI/CD, y verificación proactiva de conformidad
Amazon Macie Automated Monitoring
Servicio: Amazon Macie
Recurso: Descubrimiento de datos sensibles, escaneo automatizado, y violaciones de políticas
Configuración: Macie configurado para monitoreo automatizado de buckets S3, detección de datos sensibles, y alertas para ubicaciones no autorizadas de almacenamiento de datos
AWS Backup Automation
Servicio: AWS Backup
Recurso: Planes de respaldo, programación automatizada, y replicación entre regiones
Configuración: AWS Backup configurado con horarios automatizados de respaldo, almacenamiento cifrado de respaldos, y copias inmutables de respaldo almacenadas fuera del entorno original
IAM Access Analyzer for Permissions
Servicio: IAM Access Analyzer
Recurso: Análisis de permisos, detección de acceso no utilizado, y optimización de políticas
Configuración: Access Analyzer configurado para monitoreo continuo de permisos de acceso a datos, alertas automatizadas para acceso excesivamente permisivo, y recomendaciones de políticas</t>
  </si>
  <si>
    <t>Revisar el uso de integraciones de CI/CD para descubrir fallos en la configuración de cifrado antes del paso a producción e implementar corrección automatizada.
Monitoreo Automatizado de Conformidad de Cifrado Verificar que sistemas automatizados estén monitoreando y aplicando conformidad de cifrado a través de todos los servicios de almacenamiento de datos. Cumplimiento indica despliegue integral de reglas Config con remediación automatizada, monitoreo continuo, y verificación proactiva de conformidad. Incumplimiento evidenciado por verificación manual de conformidad, automatización faltante o remediación retrasada.
Integración de Seguridad de Infraestructura como Código Verificar que plantillas IaC estén integradas con herramientas de validación de seguridad para prevenir creación de recursos no conformes. Cumplimiento indica integración integral de CloudFormation Guard con validación de pipeline CI/CD, escaneo de seguridad de plantillas, y aplicación automatizada de políticas. Incumplimiento evidenciado por validación de seguridad IaC faltante, revisión manual de plantillas o despliegues no validados.
Descubrimiento y Clasificación Automatizada de Datos Verificar que sistemas automatizados de descubrimiento y clasificación de datos estén implementados para monitorear ubicaciones de datos sensibles. Cumplimiento indica despliegue integral de Macie con escaneo automatizado, detección de datos sensibles, y alertas de violación de políticas. Incumplimiento evidenciado por descubrimiento manual de datos, automatización de clasificación faltante o ubicaciones de datos no monitoreadas.
Protección Automatizada de Respaldo y Recuperación Verificar que sistemas automatizados de respaldo estén implementados con capacidades de cifrado y almacenamiento inmutable. Cumplimiento indica despliegue integral de AWS Backup con respaldos cifrados, programación automatizada, y copias inmutables. Incumplimiento evidenciado por procesos manuales de respaldo, respaldos sin cifrar o almacenamiento inmutable faltante.
Monitoreo y Optimización Continua de Permisos Verificar que monitoreo automatizado de permisos y optimización estén implementados para mantener acceso de menor privilegio. Cumplimiento indica despliegue integral de Access Analyzer con monitoreo continuo, alertas automatizadas, y recomendaciones de optimización de permisos. Incumplimiento evidenciado por revisiones manuales de permisos, acceso excesivamente permisivo o monitoreo faltante.</t>
  </si>
  <si>
    <t xml:space="preserve">AWS Config Rules Assessment
aws config describe-config-rules --query 'ConfigRules[?contains(ConfigRuleName, `encrypt`) || contains(ConfigRuleName, `encryption`)][ConfigRuleName,ConfigRuleState,Source.Owner]'
aws config get-compliance-summary-by-config-rule --query 'ComplianceSummary'
aws config describe-remediation-configurations --config-rule-names encrypted-volumes --query 'RemediationConfigurations[*].[ConfigRuleName,TargetType,TargetId,Automatic]'
aws config get-compliance-details-by-config-rule --config-rule-name s3-bucket-server-side-encryption-enabled --query 'EvaluationResults[*].[ComplianceType,ConfigRuleInvokedTime]' --max-items 5
CloudFormation Guard Integration
aws cloudformation list-stacks --query 'StackSummaries[?StackStatus!=`DELETE_COMPLETE`][StackName,StackStatus,CreationTime]' --max-items 10
aws cloudformation describe-stacks --stack-name &lt;stack-name&gt; --query 'Stacks[0].[StackName,StackStatus,Parameters]'
aws codepipeline list-pipelines --query 'pipelines[*].[name,created]'
aws codebuild list-projects --query 'projects[?contains(@, `guard`) || contains(@, `security`)]'
Amazon Macie Automation Assessment
aws macie2 get-macie-session --query '[status,serviceRole,createdAt]'
aws macie2 list-classification-jobs --query 'items[*].[jobId,name,jobStatus,jobType,createdAt]' --max-items 10
aws macie2 get-findings-statistics --group-by severity --query '[countsByGroup[*].[groupKey,count]]'
aws macie2 describe-buckets --query 'buckets[*].[bucketName,sensitiveDataDiscoveryResult,publicAccess.effectivePermission]' --max-items 10
AWS Backup Automation Configuration
aws backup list-backup-plans --query 'BackupPlansList[*].[BackupPlanId,BackupPlanName,CreationDate]'
aws backup get-backup-plan --backup-plan-id &lt;plan-id&gt; --query '[BackupPlan.BackupPlanName,BackupPlan.Rules[*].[RuleName,TargetBackupVault,Lifecycle]]'
aws backup list-backup-vaults --query 'BackupVaultList[*].[BackupVaultName,EncryptionKeyArn,CreationDate]'
aws backup list-recovery-points-by-backup-vault --backup-vault-name &lt;vault-name&gt; --query 'RecoveryPoints[*].[RecoveryPointArn,CreationDate,Status,IsEncrypted]' --max-items 5
IAM Access Analyzer Monitoring
aws accessanalyzer list-analyzers --query 'analyzers[*].[name,arn,status,type]'
aws accessanalyzer list-findings --analyzer-arn &lt;analyzer-arn&gt; --query 'findings[*].[id,resourceType,status,createdAt]' --max-items 10
aws accessanalyzer get-finding --analyzer-arn &lt;analyzer-arn&gt; --id &lt;finding-id&gt; --query '[finding.id,finding.resourceType,finding.condition]'
Automated Remediation Monitoring
aws ssm list-associations --query 'Associations[?contains(Name, `remediat`) || contains(Name, `encrypt`)][Name,InstanceId,AssociationId]'
aws lambda list-functions --query 'Functions[?contains(FunctionName, `remediat`) || contains(FunctionName, `encrypt`)][FunctionName,Runtime,LastModified]'
aws events list-rules --query 'Rules[?contains(Name, `remediat`) || contains(Name, `encrypt`)][Name,State,EventPattern]'
Security Automation Monitoring
aws cloudwatch describe-alarms --query 'MetricAlarms[?contains(AlarmName, `encrypt`) || contains(AlarmName, `backup`)][AlarmName,StateValue,MetricName]'
aws sns list-topics --query 'Topics[?contains(TopicArn, `security`) || contains(TopicArn, `encrypt`)].TopicArn'
aws logs describe-log-groups --log-group-name-prefix /aws/config --query 'LogGroups[*].[LogGroupName,RetentionInDays]'
aws cloudtrail lookup-events --lookup-attributes AttributeKey=EventName,AttributeValue=PutConfigRule --start-time $(date -d '30 days ago' -I) --query 'Events[*].[EventTime,Username,Resources]' --max-items 5
</t>
  </si>
  <si>
    <r>
      <rPr>
        <b/>
        <sz val="11"/>
        <color rgb="FF000000"/>
        <rFont val="Montserrat"/>
      </rPr>
      <t>SEC08-BP04</t>
    </r>
    <r>
      <rPr>
        <sz val="11"/>
        <color rgb="FF000000"/>
        <rFont val="Montserrat"/>
      </rPr>
      <t xml:space="preserve"> Hacer cumplir el control de acceso</t>
    </r>
  </si>
  <si>
    <t>Para ayudarlo a proteger sus datos en reposo, aplique el control de acceso mediante mecanismos como el aislamiento y el control de versiones. Aplique controles de acceso condicional y de privilegios mínimos. Impida que se conceda acceso público a sus datos.</t>
  </si>
  <si>
    <t>S3 Block Public Access, S3 Versioning.
AWS IAM Access Control Implementation
Servicio: AWS IAM
Recurso: Políticas, roles, usuarios, y acceso de menor privilegio
Configuración: IAM configurado con políticas de menor privilegio, control de acceso basado en roles, y control de acceso basado en atributos (ABAC) usando etiquetas de recursos para clasificación de datos
Amazon S3 Access Control Configuration
Servicio: Amazon S3
Recurso: Políticas de buckets, ACLs, permisos a nivel de objeto, y bloques de acceso público
Configuración: S3 configurado con políticas restrictivas de buckets, bloques de acceso público habilitados, permisos a nivel de objeto basados en sensibilidad de datos, y S3 Object Lock para almacenamiento inmutable
AWS KMS Key Access Policies
Servicio: AWS KMS
Recurso: Políticas de claves, grants, y acceso entre cuentas
Configuración: KMS configurado con políticas restrictivas de claves alineadas con clasificación de datos, claves separadas para diferentes niveles de sensibilidad, y gestión apropiada de grants
Account Separation Strategy
Servicio: AWS Organizations
Recurso: Unidades organizacionales, separación de cuentas, y políticas de control de servicios
Configuración: Organizations configurado con cuentas separadas para diferentes niveles de clasificación de datos, SCPs para aplicar restricciones de acceso, y gestión centralizada
IAM Access Analyzer Integration
Servicio: IAM Access Analyzer
Recurso: Análisis de acceso, detección de acceso no utilizado, y validación de políticas
Configuración: Access Analyzer configurado para monitoreo continuo de permisos de acceso a datos, detección de acceso externo, y recomendaciones de optimización de políticas</t>
  </si>
  <si>
    <t>Auditar los permisos a nivel de recurso y versión para confirmar que el acceso a datos internos no pueda hacerse público bajo ninguna circunstancia.
Implementación de Acceso de Menor Privilegio Verificar que principios de acceso de menor privilegio estén implementados a través de todos los controles de acceso a datos con revisión y optimización regular. Cumplimiento indica implementación integral de menor privilegio con acceso basado en roles, permisos mínimos, y revisiones regulares de acceso. Incumplimiento evidenciado por permisos excesivamente permisivos, concesiones amplias de acceso o revisiones de acceso faltantes.
Control de Acceso Basado en Clasificación de Datos Verificar que controles de acceso estén alineados con niveles de clasificación de datos con mecanismos apropiados de separación y aislamiento. Cumplimiento indica alineación apropiada de control de acceso con diferentes permisos para diferentes niveles de sensibilidad, separación de cuentas, y políticas basadas en clasificación. Incumplimiento evidenciado por acceso uniforme a través de clasificaciones, acceso a datos de sensibilidad mixta o alineación de clasificación faltante.
Control de Acceso S3 y Prevención de Acceso Público Verificar que controles de acceso S3 estén apropiadamente configurados con bloques de acceso público y políticas apropiadas de buckets. Cumplimiento indica seguridad integral de S3 con bloques de acceso público habilitados, políticas restrictivas de buckets, y permisos a nivel de objeto. Incumplimiento evidenciado por buckets públicos, políticas excesivamente permisivas o controles de acceso faltantes.
Implementación de Versionado y Almacenamiento Inmutable Verificar que mecanismos de versionado y almacenamiento inmutable estén implementados para prevenir modificación o eliminación no autorizada de datos. Cumplimiento indica protección integral de datos con versionado S3 habilitado, Object Lock configurado, y políticas de retención de respaldos. Incumplimiento evidenciado por versionado faltante, sin almacenamiento inmutable o protección inadecuada de respaldos.
Auditoría y Monitoreo de Acceso Verificar que auditoría integral de acceso y monitoreo estén implementados usando CloudTrail y registros a nivel de servicio. Cumplimiento indica pistas de auditoría integrales con registro CloudTrail, registros de acceso a nivel de servicio, y análisis regular de patrones de acceso. Incumplimiento evidenciado por pistas de auditoría faltantes, registro inadecuado o falta de monitoreo de acceso.</t>
  </si>
  <si>
    <t>IAM Access Control Assessment
aws iam list-roles --query 'Roles[?contains(RoleName, `Data`) || contains(RoleName, `S3`)][RoleName,CreateDate]'
aws iam get-role --role-name &lt;role-name&gt; --query '[Role.RoleName,Role.AssumeRolePolicyDocument]'
aws iam list-attached-role-policies --role-name &lt;role-name&gt; --query 'AttachedPolicies[*].[PolicyName,PolicyArn]'
aws iam simulate-principal-policy --policy-source-arn &lt;role-arn&gt; --action-names s3:GetObject --resource-arns &lt;s3-resource-arn&gt; --query 'EvaluationResults[*].[EvalActionName,EvalDecision]'
Amazon S3 Access Control Configuration
aws s3api list-buckets --query 'Buckets[*].[Name,CreationDate]'
aws s3api get-bucket-policy --bucket &lt;bucket-name&gt; --query 'Policy'
aws s3api get-public-access-block --bucket &lt;bucket-name&gt; --query 'PublicAccessBlockConfiguration'
aws s3api get-bucket-acl --bucket &lt;bucket-name&gt; --query '[Owner,Grants[*].[Grantee,Permission]]'
aws s3api get-object-lock-configuration --bucket &lt;bucket-name&gt; --query '[ObjectLockConfiguration.ObjectLockEnabled,ObjectLockConfiguration.Rule]'
AWS KMS Key Access Policies
aws kms list-keys --query 'Keys[*].KeyId' | head -10
aws kms get-key-policy --key-id &lt;key-id&gt; --policy-name default --query 'Policy'
aws kms list-grants --key-id &lt;key-id&gt; --query 'Grants[*].[GrantId,Operations,GranteePrincipal]'
aws kms describe-key --key-id &lt;key-id&gt; --query '[KeyMetadata.KeyId,KeyMetadata.Description,KeyMetadata.KeyUsage]'
Account Separation and Organizations
aws organizations list-accounts --query 'Accounts[*].[Id,Name,Status]'
aws organizations list-organizational-units-for-parent --parent-id &lt;root-id&gt; --query 'OrganizationalUnits[*].[Id,Name]'
aws organizations list-policies --filter Service=SERVICE_CONTROL_POLICY --query 'Policies[*].[Id,Name,Description]'
aws organizations describe-policy --policy-id &lt;policy-id&gt; --query '[Policy.PolicySummary.Name,Policy.Content]'
IAM Access Analyzer Assessment
aws accessanalyzer list-analyzers --query 'analyzers[*].[name,arn,status,type]'
aws accessanalyzer list-findings --analyzer-arn &lt;analyzer-arn&gt; --query 'findings[*].[id,resourceType,status,createdAt]' --max-items 10
aws accessanalyzer get-finding --analyzer-arn &lt;analyzer-arn&gt; --id &lt;finding-id&gt; --query '[finding.id,finding.resourceType,finding.condition]'
S3 Versioning and Object Lock
aws s3api get-bucket-versioning --bucket &lt;bucket-name&gt; --query '[Status,MfaDelete]'
aws s3api list-object-versions --bucket &lt;bucket-name&gt; --query 'Versions[*].[Key,VersionId,IsLatest,LastModified]' --max-keys 5
aws s3api get-object-retention --bucket &lt;bucket-name&gt; --key &lt;object-key&gt; --query '[Retention.Mode,Retention.RetainUntilDate]'
aws s3api get-bucket-inventory-configuration --bucket &lt;bucket-name&gt; --id &lt;inventory-id&gt; --query 'InventoryConfiguration'
Access Auditing and Monitoring
aws cloudtrail describe-trails --query 'trailList[*].[Name,S3BucketName,IncludeGlobalServiceEvents]'
aws cloudtrail lookup-events --lookup-attributes AttributeKey=EventName,AttributeValue=GetObject --start-time $(date -d '7 days ago' -I) --query 'Events[*].[EventTime,Username,Resources[0].ResourceName]' --max-items 5
aws s3api get-bucket-logging --bucket &lt;bucket-name&gt; --query 'LoggingEnabled'
aws logs describe-log-groups --log-group-name-prefix /aws/s3 --query 'LogGroups[*].[LogGroupName,RetentionInDays]'
Resource Sharing and Cross-Account Access
aws ram get-resource-shares --resource-owner SELF --query 'resourceShares[*].[name,arn,status,creationTime]'
aws ec2 describe-snapshot-attribute --snapshot-id &lt;snapshot-id&gt; --attribute createVolumePermission --query 'CreateVolumePermissions[*].[UserId,Group]'
aws ec2 describe-image-attribute --image-id &lt;ami-id&gt; --attribute launchPermission --query 'LaunchPermissions[*].[UserId,Group]'</t>
  </si>
  <si>
    <t>Protección de datos
SEC 9. ¿Cómo protege sus datos en tránsito?</t>
  </si>
  <si>
    <r>
      <rPr>
        <b/>
        <sz val="11"/>
        <color rgb="FF000000"/>
        <rFont val="Montserrat"/>
      </rPr>
      <t>SEC09-BP01</t>
    </r>
    <r>
      <rPr>
        <sz val="11"/>
        <color rgb="FF000000"/>
        <rFont val="Montserrat"/>
      </rPr>
      <t xml:space="preserve"> Implementar la gestión segura de claves y certificados</t>
    </r>
  </si>
  <si>
    <t>Los certificados de seguridad de la capa de transporte (TLS) se utilizan para proteger las comunicaciones de red y establecer la identidad de los sitios web, los recursos y las cargas de trabajo a través de Internet, así como de las redes privadas.</t>
  </si>
  <si>
    <t>AWS Certificate Manager (ACM).
AWS Certificate Manager (ACM)
Servicio: AWS Certificate Manager
Recurso: Certificados SSL/TLS, renovación automatizada, y despliegue de certificados
Configuración: ACM configurado con aprovisionamiento automatizado de certificados, renovación, y despliegue a través de servicios AWS con gestión apropiada del ciclo de vida de certificados e integración con load balancers, CloudFront, y API Gateway
AWS Private Certificate Authority (Private CA)
Servicio: AWS Private Certificate Authority
Recurso: Jerarquía de CA privada, CA raíz, CAs intermedias, y emisión de certificados
Configuración: Private CA configurado con diseño apropiado de jerarquía CA, cuentas AWS separadas para diferentes niveles de CA, emisión automatizada de certificados, y gestión segura de CA raíz
Certificate Authority Hierarchy Design
Servicio: AWS Organizations, AWS Accounts
Recurso: Separación de cuentas, estructura de jerarquía CA, y control de acceso
Configuración: Organizations configurado con cuentas separadas para CA raíz y CAs intermedias, aislamiento apropiado de cuentas, y gestión centralizada a través de Organizations
Certificate Lifecycle Management
Servicio: AWS Certificate Manager, AWS Private CA
Recurso: Renovación de certificados, monitoreo de expiración, y gestión de revocación
Configuración: Ciclo de vida de certificados configurado con procesos automatizados de renovación, alertas de expiración, listas de revocación de certificados (CRL), y rotación apropiada de certificados
Audit and Monitoring Infrastructure
Servicio: AWS CloudTrail, Amazon S3
Recurso: Registros de acceso de autoridad de certificados, pistas de auditoría, y almacenamiento CRL
Configuración: Monitoreo configurado con registro integral CloudTrail, bucket S3 para almacenamiento CRL, generación de reportes de auditoría, y seguimiento de acceso a autoridad de certificados</t>
  </si>
  <si>
    <t>Validar la existencia, renovación automática y el uso de certificados de capa de transporte (TLS) para proteger comunicaciones seguras por la red.
Implementación de Gestión Automatizada de Certificados Verificar que gestión automatizada de certificados esté implementada usando ACM con procesos apropiados de renovación y despliegue. Cumplimiento indica uso integral de ACM con aprovisionamiento automatizado de certificados, renovación, y despliegue a través de servicios AWS. Incumplimiento evidenciado por gestión manual de certificados, certificados expirados o automatización faltante.
Diseño e Implementación de Jerarquía de CA Privada Verificar que jerarquía de CA privada esté apropiadamente diseñada con cuentas separadas y mecanismos apropiados de aislamiento. Cumplimiento indica jerarquía CA bien diseñada con CA raíz en cuenta separada, CAs intermedias apropiadamente configuradas, y aislamiento a nivel de cuenta. Incumplimiento evidenciado por jerarquía CA inapropiada, niveles CA mixtos en la misma cuenta o aislamiento inadecuado.
Automatización del Ciclo de Vida y Renovación de Certificados Verificar que gestión del ciclo de vida de certificados esté automatizada con procesos apropiados de renovación, monitoreo, y revocación. Cumplimiento indica gestión integral del ciclo de vida con renovación automatizada, monitoreo de expiración, y manejo apropiado de revocación. Incumplimiento evidenciado por gestión manual del ciclo de vida, automatización de renovación faltante o monitoreo inadecuado.
Implementación de Seguridad y Control de Acceso Verificar que seguridad apropiada y controles de acceso estén implementados para autoridades de certificados y material de claves. Cumplimiento indica controles de seguridad integrales con acceso restringido a CA, protección apropiada de claves, y políticas de acceso de menor privilegio. Incumplimiento evidenciado por acceso excesivamente permisivo a CA, protección inadecuada de claves o controles de acceso faltantes.
Pista de Auditoría y Monitoreo de Conformidad Verificar que pistas de auditoría integrales y monitoreo de conformidad estén implementados para operaciones de autoridad de certificados. Cumplimiento indica capacidades integrales de auditoría con registro CloudTrail, generación de reportes de auditoría, y seguimiento de conformidad. Incumplimiento evidenciado por pistas de auditoría faltantes, registro inadecuado o falta de monitoreo de conformidad.</t>
  </si>
  <si>
    <t xml:space="preserve">AWS Certificate Manager Assessment
aws acm list-certificates --query 'CertificateSummaryList[*].[CertificateArn,DomainName,Status]'
aws acm describe-certificate --certificate-arn &lt;cert-arn&gt; --query '[Certificate.DomainName,Certificate.Status,Certificate.RenewalEligibility,Certificate.KeyUsages]'
aws acm list-tags-for-certificate --certificate-arn &lt;cert-arn&gt; --query 'Tags[*].[Key,Value]'
aws acm get-certificate --certificate-arn &lt;cert-arn&gt; --query '[Certificate,CertificateChain]'
AWS Private Certificate Authority Configuration
aws acm-pca list-certificate-authorities --query 'CertificateAuthorities[*].[Arn,Status,Type,CreatedAt]'
aws acm-pca describe-certificate-authority --certificate-authority-arn &lt;ca-arn&gt; --query '[CertificateAuthority.Arn,CertificateAuthority.Status,CertificateAuthority.Type,CertificateAuthority.CertificateAuthorityConfiguration]'
aws acm-pca get-certificate-authority-certificate --certificate-authority-arn &lt;ca-arn&gt; --query '[Certificate,CertificateChain]'
aws acm-pca list-permissions --certificate-authority-arn &lt;ca-arn&gt; --query 'Permissions[*].[Principal,Actions,Policy]'
Certificate Authority Hierarchy and Account Separation
aws organizations list-accounts --query 'Accounts[*].[Id,Name,Status]'
aws organizations describe-account --account-id &lt;account-id&gt; --query '[Account.Id,Account.Name,Account.Status]'
aws acm-pca describe-certificate-authority-audit-report --certificate-authority-arn &lt;ca-arn&gt; --audit-report-id &lt;report-id&gt; --query '[AuditReportStatus,S3BucketName,S3Key]'
Certificate Lifecycle and Renewal Monitoring
aws acm list-certificates --certificate-statuses PENDING_VALIDATION EXPIRED --query 'CertificateSummaryList[*].[CertificateArn,DomainName,Status]'
aws acm-pca list-certificates --certificate-authority-arn &lt;ca-arn&gt; --query 'Certificates[*].[CertificateArn,Status,CreatedAt,NotBefore,NotAfter]' --max-items 10
aws events list-rules --query 'Rules[?contains(Name, `certificate`) || contains(Name, `acm`)][Name,State,ScheduleExpression]'
Certificate Revocation and CRL Management
aws acm-pca get-certificate-authority-crl --certificate-authority-arn &lt;ca-arn&gt; --query 'CrlConfiguration'
aws s3api list-objects-v2 --bucket &lt;crl-bucket-name&gt; --prefix crl/ --query 'Contents[*].[Key,LastModified,Size]'
aws acm-pca revoke-certificate --certificate-authority-arn &lt;ca-arn&gt; --certificate-serial &lt;serial&gt; --revocation-reason KEY_COMPROMISE --query 'RevocationConfiguration'
Audit Trail and Monitoring Configuration
aws cloudtrail describe-trails --query 'trailList[*].[Name,S3BucketName,IncludeGlobalServiceEvents]'
aws cloudtrail lookup-events --lookup-attributes AttributeKey=EventSource,AttributeValue=acm.amazonaws.com --start-time $(date -d '30 days ago' -I) --query 'Events[*].[EventTime,EventName,Username]' --max-items 10
aws cloudtrail lookup-events --lookup-attributes AttributeKey=EventSource,AttributeValue=acm-pca.amazonaws.com --start-time $(date -d '30 days ago' -I) --query 'Events[*].[EventTime,EventName,Username]' --max-items 10
aws logs describe-log-groups --log-group-name-prefix /aws/acm --query 'LogGroups[*].[LogGroupName,RetentionInDays]'
Certificate Integration with AWS Services
aws elbv2 describe-load-balancers --query 'LoadBalancers[*].[LoadBalancerArn,DNSName,State.Code]'
aws elbv2 describe-listeners --load-balancer-arn &lt;lb-arn&gt; --query 'Listeners[*].[ListenerArn,Protocol,Port,Certificates[0].CertificateArn]'
aws cloudfront list-distributions --query 'DistributionList.Items[*].[Id,DomainName,ViewerCertificate.CertificateSource]'
aws apigateway get-domain-names --query 'items[*].[domainName,certificateArn,securityPolicy]'
Certificate Compliance and Security Monitoring
aws cloudwatch describe-alarms --query 'MetricAlarms[?contains(AlarmName, `ACM`) || contains(AlarmName, `Certificate`)][AlarmName,StateValue,MetricName]'
aws config describe-compliance-by-config-rule --config-rule-names acm-certificate-expiration-check --query 'ComplianceByConfigRules[*].[ConfigRuleName,Compliance.ComplianceType]'
aws sns list-topics --query 'Topics[?contains(TopicArn, `certificate`) || contains(TopicArn, `acm`)].TopicArn'
</t>
  </si>
  <si>
    <r>
      <rPr>
        <b/>
        <sz val="11"/>
        <color rgb="FF000000"/>
        <rFont val="Montserrat"/>
      </rPr>
      <t>SEC09-BP02</t>
    </r>
    <r>
      <rPr>
        <sz val="11"/>
        <color rgb="FF000000"/>
        <rFont val="Montserrat"/>
      </rPr>
      <t xml:space="preserve"> Hacer cumplir el cifrado en tránsito</t>
    </r>
  </si>
  <si>
    <t>Aplique los requisitos de cifrado definidos en función de las políticas, las obligaciones reglamentarias y las normas de su organización para ayudarle a cumplir los requisitos organizativos, legales y de cumplimiento. Utilice únicamente protocolos con cifrado cuando transmita datos confidenciales fuera de su nube privada virtual (VPC). El cifrado ayuda a mantener la confidencialidad de los datos incluso cuando transitan por redes que no son de confianza.</t>
  </si>
  <si>
    <t>Políticas de TLS en Balanceadores/CloudFront.
Application Load Balancer (ALB) Security Configuration
Servicio: Elastic Load Balancing
Recurso: Listeners HTTPS, políticas de seguridad, y cipher suites
Configuración: ALB configurado con listeners HTTPS únicamente, políticas de seguridad fuertes (ELBSecurityPolicy-TLS-1-2-2017-01 o más reciente), y redirección HTTP a HTTPS
Amazon CloudFront Security Settings
Servicio: Amazon CloudFront
Recurso: Aplicación HTTPS, políticas de seguridad, y política de protocolo de visualizador
Configuración: CloudFront configurado con HTTPS requerido, políticas de seguridad apropiadas, política de protocolo de visualizador establecida en redirect-to-https o https-only
VPC Security Groups Configuration
Servicio: Amazon VPC
Recurso: Grupos de seguridad, ACLs de red, y filtrado de tráfico
Configuración: Grupos de seguridad configurados para permitir solo tráfico HTTPS (puerto 443), bloquear HTTP (puerto 80) para recursos públicos, y aplicar protocolos cifrados
Amazon S3 Bucket Policies for HTTPS
Servicio: Amazon S3
Recurso: Políticas de buckets, controles de acceso, y restricciones de carga
Configuración: S3 configurado con políticas de buckets que niegan solicitudes no-HTTPS, aplican SSL/TLS para todas las llamadas API, y requieren transferencia segura
VPN and Network Connectivity
Servicio: AWS VPN, AWS Direct Connect
Recurso: Conexiones VPN IPsec, túneles cifrados, y seguridad red-a-red
Configuración: VPN configurado con cifrado IPsec, cipher suites fuertes, y conectividad segura para redes externas</t>
  </si>
  <si>
    <t>Verificar la aplicación estricta de protocolos cifrados, asegurándose de su uso sobre todo cuando datos críticos salen fuera de la red (VPC).
Aplicación HTTPS a Través de Servicios Verificar que aplicación HTTPS esté implementada a través de todos los servicios públicos con mecanismos apropiados de redirección. Cumplimiento indica aplicación integral HTTPS con listeners HTTPS ALB, requisitos HTTPS CloudFront, y redirecciones automáticas HTTP a HTTPS. Incumplimiento evidenciado por endpoints HTTP expuestos, aplicación HTTPS faltante o uso de protocolos inseguros.
Cipher Suites Fuertes y Versiones TLS Verificar que cipher suites fuertes y versiones TLS modernas estén configuradas a través de todos los servicios. Cumplimiento indica uso de TLS 1.2 o superior, cipher suites fuertes, y depreciación de algoritmos de cifrado débiles. Incumplimiento evidenciado por versiones TLS desactualizadas, cipher suites débiles o protocolos SSL depreciados.
Grupos de Seguridad y Controles de Red Verificar que grupos de seguridad y controles de red estén configurados para aplicar solo tráfico cifrado. Cumplimiento indica grupos de seguridad restrictivos con reglas solo HTTPS, tráfico HTTP bloqueado para recursos públicos, y segmentación apropiada de red. Incumplimiento evidenciado por grupos de seguridad permisivos, tráfico HTTP permitido o controles de red faltantes.
Aplicación de Políticas de Buckets S3 Verificar que políticas de buckets S3 estén configuradas para negar solicitudes no-HTTPS y aplicar transferencia segura. Cumplimiento indica políticas integrales de buckets con requisitos SSL/TLS, solicitudes HTTP negadas, y aplicación de acceso API seguro. Incumplimiento evidenciado por políticas de buckets faltantes, acceso HTTP permitido o permisos de transferencia inseguros.
Seguridad de VPN y Conectividad Externa Verificar que VPN y conectividad externa estén configuradas con cifrado fuerte y protocolos seguros. Cumplimiento indica uso de VPN IPsec, algoritmos de cifrado fuertes, y conexiones seguras red-a-red. Incumplimiento evidenciado por conexiones sin cifrar, configuraciones VPN débiles o conectividad externa insegura.</t>
  </si>
  <si>
    <t xml:space="preserve">Application Load Balancer Security Assessment
aws elbv2 describe-load-balancers --query 'LoadBalancers[*].[LoadBalancerArn,DNSName,Scheme,Type]'
aws elbv2 describe-listeners --load-balancer-arn &lt;lb-arn&gt; --query 'Listeners[*].[ListenerArn,Protocol,Port,SslPolicy,Certificates[0].CertificateArn]'
aws elbv2 describe-listener-certificates --listener-arn &lt;listener-arn&gt; --query 'Certificates[*].[CertificateArn,IsDefault]'
aws elbv2 describe-rules --listener-arn &lt;listener-arn&gt; --query 'Rules[*].[RuleArn,Priority,Actions[0].Type]'
Amazon CloudFront Security Configuration
aws cloudfront list-distributions --query 'DistributionList.Items[*].[Id,DomainName,ViewerCertificate.CertificateSource]'
aws cloudfront get-distribution --id &lt;distribution-id&gt; --query '[Distribution.DistributionConfig.DefaultCacheBehavior.ViewerProtocolPolicy,Distribution.DistributionConfig.ViewerCertificate]'
aws cloudfront get-distribution-config --id &lt;distribution-id&gt; --query 'DistributionConfig.CacheBehaviors.Items[*].ViewerProtocolPolicy'
VPC Security Groups Analysis
aws ec2 describe-security-groups --query 'SecurityGroups[*].[GroupId,GroupName,IpPermissions[?FromPort==`80`]]' --output table
aws ec2 describe-security-groups --query 'SecurityGroups[*].[GroupId,GroupName,IpPermissions[?FromPort==`443`]]' --output table
aws ec2 describe-security-groups --filters Name=ip-permission.from-port,Values=80 --query 'SecurityGroups[*].[GroupId,GroupName,IpPermissions[0].IpRanges[0].CidrIp]'
Amazon S3 HTTPS Enforcement
aws s3api list-buckets --query 'Buckets[*].[Name,CreationDate]'
aws s3api get-bucket-policy --bucket &lt;bucket-name&gt; --query 'Policy'
aws s3api get-bucket-policy-status --bucket &lt;bucket-name&gt; --query 'PolicyStatus.IsPublic'
aws s3api get-public-access-block --bucket &lt;bucket-name&gt; --query 'PublicAccessBlockConfiguration'
VPN and Network Connectivity Assessment
aws ec2 describe-vpn-connections --query 'VpnConnections[*].[VpnConnectionId,State,Type,CustomerGatewayConfiguration]'
aws ec2 describe-vpn-gateways --query 'VpnGateways[*].[VpnGatewayId,State,Type]'
aws directconnect describe-connections --query 'connections[*].[connectionId,connectionName,connectionState,bandwidth]'
Certificate and TLS Configuration Monitoring
aws acm list-certificates --query 'CertificateSummaryList[*].[CertificateArn,DomainName,Status]'
aws acm describe-certificate --certificate-arn &lt;cert-arn&gt; --query '[Certificate.DomainName,Certificate.Status,Certificate.KeyUsages]'
aws elbv2 describe-ssl-policies --query 'SslPolicies[*].[Name,SslProtocols,Ciphers[0].Name]' --max-items 5
API Gateway HTTPS Configuration
aws apigateway get-domain-names --query 'items[*].[domainName,certificateArn,securityPolicy]'
aws apigateway get-rest-apis --query 'items[*].[id,name,endpointConfiguration.types]'
aws apigateway get-stages --rest-api-id &lt;api-id&gt; --query 'item[*].[stageName,methodSettings]'
RDS and Database Encryption in Transit
aws rds describe-db-instances --query 'DBInstances[*].[DBInstanceIdentifier,Engine,CACertificateIdentifier]'
aws rds describe-certificates --query 'Certificates[*].[CertificateIdentifier,CertificateType,ValidFrom,ValidTill]' --max-items 5
aws redshift describe-clusters --query 'Clusters[*].[ClusterIdentifier,Encrypted,TransitEncryptionEnabled]'
Compliance and Monitoring Configuration
aws config describe-config-rules --query 'ConfigRules[?contains(ConfigRuleName, `https`) || contains(ConfigRuleName, `ssl`)][ConfigRuleName,ConfigRuleState]'
aws cloudwatch describe-alarms --query 'MetricAlarms[?contains(AlarmName, `HTTPS`) || contains(AlarmName, `SSL`)][AlarmName,StateValue]'
aws cloudtrail lookup-events --lookup-attributes AttributeKey=EventName,AttributeValue=CreateListener --start-time $(date -d '30 days ago' -I) --query 'Events[*].[EventTime,Username,Resources]' --max-items 5
</t>
  </si>
  <si>
    <r>
      <rPr>
        <b/>
        <u/>
        <sz val="11"/>
        <color rgb="FF000000"/>
        <rFont val="Montserrat"/>
      </rPr>
      <t>SEC09-BP03</t>
    </r>
    <r>
      <rPr>
        <u/>
        <sz val="11"/>
        <color rgb="FF000000"/>
        <rFont val="Montserrat"/>
      </rPr>
      <t xml:space="preserve"> Autenticar las comunicaciones de red</t>
    </r>
  </si>
  <si>
    <t>Verifique la identidad de las comunicaciones mediante el uso de protocolos que admiten la autenticación, como la seguridad de la capa de transporte (TLS) o IPsec.
Diseñe su carga de trabajo para utilizar protocolos de red seguros y autenticados siempre que haya una comunicación entre servicios, aplicaciones o usuarios. El uso de protocolos de red que admiten autenticación y autorización proporciona un mayor control sobre los flujos de red y reduce la repercusión del acceso no autorizado.</t>
  </si>
  <si>
    <t>Mutual TLS, AWS App Mesh.
Amazon VPC Lattice Authentication
Servicio: Amazon VPC Lattice
Recurso: Redes de servicios, servicios, y políticas de autenticación
Configuración: VPC Lattice configurado con autenticación SigV4, autenticación servicio-a-servicio, y políticas de acceso apropiadas para tráfico este-oeste seguro
TLS Mutual Authentication (mTLS)
Servicio: Application Load Balancer, API Gateway
Recurso: Certificados de cliente, autoridades de certificados, y configuración mTLS
Configuración: mTLS configurado con validación de certificados de cliente, cadenas de confianza CA apropiadas, y autenticación basada en certificados para comunicaciones de servicios
API Gateway Authentication Integration
Servicio: Amazon API Gateway
Recurso: Autorizadores, OAuth 2.0, OpenID Connect, e integración IAM
Configuración: API Gateway configurado con mecanismos de autenticación apropiados (OAuth 2.0, OIDC, IAM), autorizadores personalizados, y controles de acceso API seguros
AWS PrivateLink Configuration
Servicio: AWS PrivateLink
Recurso: Endpoints VPC, endpoints de interfaz, y conectividad privada
Configuración: PrivateLink configurado para comunicación segura servicio-a-servicio, acceso de red privada, y conexiones autenticadas sin exposición a internet
Security Groups and Network Controls
Servicio: Amazon VPC
Recurso: Grupos de seguridad, NACLs, y segmentación de red
Configuración: Controles de red configurados con grupos de seguridad restrictivos, segmentación apropiada de red, y flujos de tráfico autenticados entre servicios</t>
  </si>
  <si>
    <t>Revisar que la comunicación red-a-red entre microservicios o sistemas integre autorización además del tráfico seguro, previniendo accesos no autorizados.
Documentación de Flujos de Red y Autenticación Verificar que flujos de red estén apropiadamente documentados con mecanismos de autenticación implementados para todas las comunicaciones de servicios. Cumplimiento indica diagramas integrales de flujo de datos con canales autenticados, autenticación apropiada servicio-a-servicio, y patrones de comunicación documentados. Incumplimiento evidenciado por flujos no documentados, comunicaciones no autenticadas o mecanismos de autenticación faltantes.
Implementación de Autenticación Servicio-a-Servicio Verificar que autenticación servicio-a-servicio esté implementada usando protocolos apropiados como SigV4, mTLS, u OAuth 2.0. Cumplimiento indica implementación integral de autenticación con uso apropiado de protocolos, gestión de certificados, y comunicaciones seguras de servicios. Incumplimiento evidenciado por llamadas de servicios no autenticadas, mecanismos de autenticación débiles o protocolos de autenticación faltantes.
Autenticación y Autorización de API Gateway Verificar que autenticación y autorización de API Gateway estén apropiadamente configuradas con métodos de autenticación apropiados. Cumplimiento indica seguridad integral de API con autorizadores apropiados, integración OAuth/OIDC, y autenticación basada en IAM. Incumplimiento evidenciado por APIs no autenticadas, mecanismos de autorización débiles o controles de autenticación faltantes.
Controles de Red y Segmentación Verificar que controles de red y segmentación estén implementados para soportar comunicaciones autenticadas. Cumplimiento indica configuración apropiada de grupos de seguridad con reglas restrictivas, segmentación de red, y aplicación de tráfico autenticado. Incumplimiento evidenciado por reglas de red excesivamente permisivas, segmentación faltante o acceso de red no autenticado.
Monitoreo y Registro de Eventos de Autenticación Verificar que monitoreo integral y registro estén implementados para rastrear eventos de autenticación e intentos de acceso no autorizado. Cumplimiento indica registro integral con VPC Flow Logs, seguimiento de eventos de autenticación, y monitoreo apropiado de patrones de comunicación. Incumplimiento evidenciado por registros de autenticación faltantes, monitoreo inadecuado o falta de seguimiento de acceso.</t>
  </si>
  <si>
    <t xml:space="preserve">Amazon VPC Lattice Configuration
aws vpc-lattice list-service-networks --query 'items[*].[id,name,arn,status]'
aws vpc-lattice list-services --query 'items[*].[id,name,arn,status]'
aws vpc-lattice get-auth-policy --resource-identifier &lt;service-network-id&gt; --query '[policy,state]'
aws vpc-lattice list-access-log-subscriptions --query 'items[*].[id,resourceArn,destinationArn]'
API Gateway Authentication Assessment
aws apigateway get-rest-apis --query 'items[*].[id,name,endpointConfiguration.types]'
aws apigateway get-authorizers --rest-api-id &lt;api-id&gt; --query 'items[*].[id,name,type,authorizerUri]'
aws apigateway get-method --rest-api-id &lt;api-id&gt; --resource-id &lt;resource-id&gt; --http-method GET --query '[authorizationType,authorizerId]'
aws apigateway get-domain-names --query 'items[*].[domainName,certificateArn,securityPolicy]'
Application Load Balancer mTLS Configuration
aws elbv2 describe-load-balancers --query 'LoadBalancers[*].[LoadBalancerArn,DNSName,Type]'
aws elbv2 describe-listeners --load-balancer-arn &lt;lb-arn&gt; --query 'Listeners[*].[ListenerArn,Protocol,Port,SslPolicy]'
aws elbv2 describe-listener-certificates --listener-arn &lt;listener-arn&gt; --query 'Certificates[*].[CertificateArn,IsDefault]'
aws elbv2 describe-trust-stores --query 'TrustStores[*].[Name,TrustStoreArn,Status]'
AWS PrivateLink and VPC Endpoints
aws ec2 describe-vpc-endpoints --query 'VpcEndpoints[*].[VpcEndpointId,ServiceName,State,VpcId]'
aws ec2 describe-vpc-endpoint-services --query 'ServiceNames' | head -10
aws ec2 describe-vpc-endpoint-connections --query 'VpcEndpointConnections[*].[VpcEndpointId,ServiceId,VpcEndpointState]'
Security Groups and Network Controls
aws ec2 describe-security-groups --query 'SecurityGroups[*].[GroupId,GroupName,Description]' --max-items 10
aws ec2 describe-security-groups --group-ids &lt;sg-id&gt; --query 'SecurityGroups[0].[IpPermissions,IpPermissionsEgress]'
aws ec2 describe-network-acls --query 'NetworkAcls[*].[NetworkAclId,VpcId,Entries[0].RuleAction]' --max-items 5
VPC Flow Logs and Monitoring
aws ec2 describe-flow-logs --query 'FlowLogs[*].[FlowLogId,ResourceId,TrafficType,LogDestination]'
aws logs describe-log-groups --log-group-name-prefix /aws/vpc --query 'LogGroups[*].[LogGroupName,RetentionInDays]'
aws logs describe-log-groups --log-group-name-prefix /aws/apigateway --query 'LogGroups[*].[LogGroupName,RetentionInDays]'
Certificate and Authentication Monitoring
aws acm list-certificates --query 'CertificateSummaryList[*].[CertificateArn,DomainName,Status]'
aws iam list-roles --query 'Roles[?contains(RoleName, `API`) || contains(RoleName, `Service`)][RoleName,CreateDate]' --max-items 10
aws cloudtrail lookup-events --lookup-attributes AttributeKey=EventName,AttributeValue=AssumeRole --start-time $(date -d '7 days ago' -I) --query 'Events[*].[EventTime,Username,Resources[0].ResourceName]' --max-items 5
IoT Core Authentication (if applicable)
aws iot list-policies --query 'policies[*].[policyName,policyArn]' --max-items 5
aws iot list-certificates --query 'certificates[*].[certificateId,status,creationDate]' --max-items 5
aws iot describe-certificate --certificate-id &lt;cert-id&gt; --query '[certificateDescription.status,certificateDescription.validity]'
Authentication Event Monitoring
aws cloudwatch describe-alarms --query 'MetricAlarms[?contains(AlarmName, `Auth`) || contains(AlarmName, `Unauthorized`)][AlarmName,StateValue]'
aws cloudtrail lookup-events --lookup-attributes AttributeKey=EventName,AttributeValue=CreateAuthorizer --start-time $(date -d '30 days ago' -I) --query 'Events[*].[EventTime,Username,Resources]' --max-items 5
aws logs filter-log-events --log-group-name &lt;api-gateway-log-group&gt; --filter-pattern "ERROR" --start-time $(date -d '7 days ago' +%s)000 --query 'events[*].[timestamp,message]' --max-items 5
</t>
  </si>
  <si>
    <t>Respuesta a incidencias
SEC 10. ¿Cómo anticipa, responde y se recupera de los incidentes?</t>
  </si>
  <si>
    <r>
      <rPr>
        <b/>
        <sz val="11"/>
        <color rgb="FF000000"/>
        <rFont val="Montserrat"/>
      </rPr>
      <t>SEC10-BP01</t>
    </r>
    <r>
      <rPr>
        <sz val="11"/>
        <color rgb="FF000000"/>
        <rFont val="Montserrat"/>
      </rPr>
      <t xml:space="preserve"> Identificar personal clave y recursos externos</t>
    </r>
  </si>
  <si>
    <t>Identifique las obligaciones legales, el personal y los recursos internos y externos que puedan ayudar a su organización a responder ante un incidente.</t>
  </si>
  <si>
    <t>Contactos de Emergencia.
AWS Systems Manager Incident Manager
Servicio: AWS Systems Manager Incident Manager
Recurso: Planes de respuesta, contactos, planes de escalación, y horarios de guardia
Configuración: Incident Manager configurado con contactos definidos, planes de respuesta, procedimientos automatizados de escalación, e integración con canales de comunicación
Internal Personnel and Contact Management
Servicio: Sistemas de gestión de identidad y acceso, Bases de datos de contactos
Recurso: Directorios de personal, información de contacto, y definiciones de roles
Configuración: Sistemas de gestión de contactos configurados con listas actualizadas de personal, definiciones de roles (gerente de incidentes, respondedores, líder de comunicaciones), y múltiples canales de contacto
External Partner and Vendor Management
Servicio: Sistemas de gestión de socios, Contratos de proveedores
Recurso: Socios de seguridad externos, contactos de soporte AWS, y proveedores terceros
Configuración: Relaciones de socios externos configuradas con niveles de soporte definidos, procedimientos de contacto, rutas de escalación, y acuerdos de nivel de servicio
Communication and Notification Systems
Servicio: Amazon SNS, Plataformas de comunicación, Sistemas de paginación
Recurso: Temas de notificación, canales de comunicación, y sistemas de alerta
Configuración: Sistemas de comunicación configurados con múltiples canales de notificación, métodos de comunicación de respaldo, y distribución automatizada de alertas
AWS Support and Professional Services
Servicio: AWS Support, AWS Professional Services, AWS Customer Incident Response Team (CIRT)
Recurso: Planes de soporte, compromisos de servicios profesionales, y servicios de respuesta a incidentes
Configuración: Servicios AWS configurados con planes de soporte apropiados, procedimientos de compromiso CIRT, y contactos de servicios profesionales</t>
  </si>
  <si>
    <t>Comprobar que la organización posee las responsabilidades, recursos legales y roles de los integrantes del equipo de respuesta ante incidentes mapeados.
Identificación y Documentación de Personal Clave Verificar que personal clave esté identificado, documentado, y regularmente actualizado con roles y responsabilidades claros. Cumplimiento indica documentación integral de personal con gerentes de incidentes, respondedores, líderes de comunicaciones, y expertos en la materia claramente definidos. Incumplimiento evidenciado por listas de personal faltantes, roles poco claros o información de contacto desactualizada.
Compromiso de Socios Externos y Recursos Verificar que socios externos y recursos estén identificados, comprometidos, y mantenidos con niveles de soporte apropiados. Cumplimiento indica relaciones integrales de socios externos con socios de seguridad AWS, servicios de soporte, y proveedores terceros apropiadamente comprometidos. Incumplimiento evidenciado por asociaciones externas faltantes, niveles de soporte inadecuados o falta de compromiso de proveedores.
Gestión y Actualizaciones de Información de Contacto Verificar que información de contacto esté mantenida, actualizada, y accesible con múltiples canales de comunicación. Cumplimiento indica gestión integral de contactos con información actual, múltiples métodos de contacto, y actualizaciones regulares. Incumplimiento evidenciado por contactos desactualizados, canales de comunicación únicos o información de contacto inaccesible.
Procedimientos de Escalación y Planes de Respuesta Verificar que procedimientos de escalación y planes de respuesta estén definidos con rutas de escalación claras y autoridad de toma de decisiones. Cumplimiento indica procedimientos integrales de escalación con disparadores de escalación definidos, autoridad de toma de decisiones, y activación de planes de respuesta. Incumplimiento evidenciado por procedimientos de escalación faltantes, autoridad poco clara o planes de respuesta inadecuados.
Programas de Entrenamiento y Incorporación Verificar que programas de entrenamiento e incorporación estén implementados para asegurar preparación del personal y transferencia de conocimiento. Cumplimiento indica programas integrales de entrenamiento con entrenamiento regular del personal, procedimientos de incorporación, y procesos de transferencia de conocimiento. Incumplimiento evidenciado por programas de entrenamiento faltantes, incorporación inadecuada o falta de transferencia de conocimiento.</t>
  </si>
  <si>
    <t>AWS Systems Manager Incident Manager Configuration
aws ssm-incidents list-response-plans --query 'responsePlanSummaries[*].[arn,name,displayName]'
aws ssm-incidents get-response-plan --arn &lt;response-plan-arn&gt; --query '[name,displayName,incidentTemplate,engagements]'
aws ssm-contacts list-contacts --query 'contacts[*].[contactArn,alias,displayName,type]'
aws ssm-contacts describe-contact --contact-id &lt;contact-id&gt; --query '[contactArn,alias,displayName,plan]'
IAM Users and Roles for Incident Response
aws iam list-users --query 'Users[?contains(UserName, `incident`) || contains(UserName, `security`)][UserName,CreateDate]'
aws iam list-roles --query 'Roles[?contains(RoleName, `IncidentResponse`) || contains(RoleName, `SecurityResponse`)][RoleName,CreateDate]'
aws iam list-groups --query 'Groups[?contains(GroupName, `incident`) || contains(GroupName, `security`)][GroupName,CreateDate]'
AWS Support Plan and Services
aws support describe-services --language en --query 'services[*].[code,name]' --max-items 5
aws support describe-severity-levels --language en --query 'severityLevels[*].[code,name]'
aws organizations describe-organization --query '[Organization.Id,Organization.MasterAccountId]'
Communication and Notification Systems
aws sns list-topics --query 'Topics[?contains(TopicArn, `incident`) || contains(TopicArn, `security`)].TopicArn'
aws sns list-subscriptions --query 'Subscriptions[?contains(TopicArn, `incident`) || contains(TopicArn, `security`)][TopicArn,Protocol,Endpoint]'
aws events list-rules --query 'Rules[?contains(Name, `incident`) || contains(Name, `security`)][Name,State,Description]'
Contact and Personnel Management
aws ssm-contacts list-contact-channels --contact-id &lt;contact-id&gt; --query 'contactChannels[*].[contactChannelArn,name,type,deliveryAddress]'
aws ssm-contacts list-engagements --query 'engagements[*].[engagementArn,contactArn,sender,subject]' --max-items 5
aws ssm get-parameters --names "/incident-response/contacts" --query 'Parameters[*].[Name,Value]'
External Partner and Vendor Information
aws organizations list-accounts --query 'Accounts[*].[Id,Name,Email,Status]'
aws iam list-policies --scope Local --query 'Policies[?contains(PolicyName, `Partner`) || contains(PolicyName, `Vendor`)][PolicyName,CreateDate]'
Training and Documentation Resources
aws s3api list-objects-v2 --bucket &lt;documentation-bucket&gt; --prefix incident-response/ --query 'Contents[*].[Key,LastModified]'
aws lambda list-functions --query 'Functions[?contains(FunctionName, `training`) || contains(FunctionName, `onboard`)][FunctionName,Runtime,LastModified]'
Incident Response Automation and Tools
aws ssm list-documents --filters Key=DocumentType,Values=Automation --query 'DocumentIdentifiers[?contains(Name, `incident`)][Name,DocumentType,DocumentVersion]'
aws stepfunctions list-state-machines --query 'stateMachines[?contains(name, `incident`)][name,status,creationDate]'
Access and Permissions Verification
aws iam simulate-principal-policy --policy-source-arn &lt;incident-response-role-arn&gt; --action-names ssm-incidents:StartIncident --query 'EvaluationResults[*].[EvalActionName,EvalDecision]'
aws iam get-account-summary --query 'SummaryMap'
aws sts get-caller-identity --query '[Account,UserId,Arn]'</t>
  </si>
  <si>
    <r>
      <rPr>
        <b/>
        <sz val="11"/>
        <color rgb="FF000000"/>
        <rFont val="Montserrat"/>
      </rPr>
      <t>SEC10-BP02</t>
    </r>
    <r>
      <rPr>
        <sz val="11"/>
        <color rgb="FF000000"/>
        <rFont val="Montserrat"/>
      </rPr>
      <t xml:space="preserve"> Desarrollar planes de gestión de incidentes</t>
    </r>
  </si>
  <si>
    <t>El primer documento que se desarrolla para la respuesta a incidentes es el plan de respuesta a incidentes. El plan de respuesta a incidentes está diseñado para ser la base de su programa y estrategia de respuesta a incidentes.</t>
  </si>
  <si>
    <t>Planes Documentados.
AWS Security Incident Response Framework
Servicio: AWS Support, AWS Customer Incident Response Team (CIRT)
Recurso: Planes de soporte, servicios de respuesta a incidentes, y servicios de seguridad gestionados
Configuración: AWS Support configurado con plan de soporte apropiado, procedimientos de compromiso CIRT, e integración AWS Managed Services para gestión continua de seguridad
Incident Response Documentation and Plans
Servicio: Sistemas de documentación, Plataformas de comunicación
Recurso: Planes de respuesta a incidentes, playbooks, y procedimientos de comunicación
Configuración: Planes integrales de respuesta a incidentes configurados con roles definidos, responsabilidades, protocolos de comunicación, y procedimientos de escalación alineados con requisitos de negocio
AWS CloudTrail and Logging Infrastructure
Servicio: AWS CloudTrail, Amazon CloudWatch, AWS Config
Recurso: Pistas de auditoría, monitoreo, y seguimiento de configuración
Configuración: Registro integral configurado con CloudTrail habilitado, monitoreo CloudWatch, y reglas Config para detectar eventos de seguridad y apoyar investigación de incidentes
Communication and Notification Systems
Servicio: Amazon SNS, AWS Systems Manager, Amazon EventBridge
Recurso: Temas de notificación, flujos de trabajo de automatización, y sistemas de alerta
Configuración: Sistemas de comunicación configurados con temas SNS para notificaciones de incidentes, automatización Systems Manager, y reglas EventBridge para disparadores de respuesta automatizada
Forensic and Investigation Capabilities
Servicio: Amazon Detective, AWS Security Hub, Amazon GuardDuty
Recurso: Análisis de seguridad, detección de amenazas, y herramientas de investigación
Configuración: Herramientas de investigación configuradas con Detective habilitado, hallazgos centralizados Security Hub, y detección de amenazas GuardDuty para apoyar análisis de incidentes</t>
  </si>
  <si>
    <t>Confirmar la existencia de un programa estructurado que define explícitamente la estrategia integral para atender vulneraciones de seguridad.
Desarrollo de Plan Integral de Respuesta a Incidentes Verificar que planes integrales de respuesta a incidentes estén desarrollados con roles, responsabilidades, y procedimientos claros. Cumplimiento indica planes bien documentados de respuesta a incidentes con estructura de equipo definida, protocolos de comunicación, procedimientos de escalación, y alineación con objetivos de negocio. Incumplimiento evidenciado por planes de incidentes faltantes, responsabilidades poco claras o documentación inadecuada.
Integración AWS Support y CIRT Verificar que planes apropiados AWS Support y procedimientos de compromiso CIRT estén establecidos para respuesta a incidentes de seguridad. Cumplimiento indica selección apropiada de plan AWS Support, procedimientos de compromiso CIRT documentados, e integración con servicios de seguridad gestionados AWS. Incumplimiento evidenciado por planes de soporte inadecuados, procedimientos CIRT faltantes o falta de integración AWS.
Marco de Severidad y Priorización de Incidentes Verificar que marcos de severidad y priorización de incidentes estén definidos con criterios claros y procedimientos de respuesta. Cumplimiento indica clasificación integral de severidad con tiempos de respuesta definidos, disparadores de escalación, y asignación de recursos basada en prioridad de incidentes. Incumplimiento evidenciado por marcos de severidad faltantes, priorización poco clara o procedimientos de respuesta inadecuados.
Procedimientos de Comunicación y Notificación Verificar que procedimientos de comunicación y notificación estén establecidos con métodos de comunicación de respaldo. Cumplimiento indica planes integrales de comunicación con canales de comunicación primarios y de respaldo, procedimientos de notificación, y protocolos de compromiso de partes interesadas. Incumplimiento evidenciado por procedimientos de comunicación faltantes, canales de comunicación únicos o notificación inadecuada de partes interesadas.
Pruebas Regulares y Actualizaciones de Planes Verificar que planes de respuesta a incidentes sean regularmente probados, actualizados, y alineados con requisitos actuales de negocio. Cumplimiento indica revisiones regulares de planes con ejercicios de prueba, actualizaciones basadas en lecciones aprendidas, y alineación con necesidades de negocio en evolución. Incumplimiento evidenciado por planes desactualizados, pruebas faltantes o falta de mejora continua.</t>
  </si>
  <si>
    <t xml:space="preserve">AWS Support Plan and Services Assessment
aws support describe-services --language en --query 'services[*].[code,name]' --max-items 10
aws support describe-severity-levels --language en --query 'severityLevels[*].[code,name]'
aws organizations describe-organization --query '[Organization.Id,Organization.MasterAccountId]'
CloudTrail and Logging Configuration
aws cloudtrail describe-trails --query 'trailList[*].[Name,S3BucketName,IncludeGlobalServiceEvents,IsMultiRegionTrail]'
aws cloudtrail get-trail-status --name &lt;trail-name&gt; --query '[IsLogging,LatestDeliveryTime,LatestDeliveryError]'
aws logs describe-log-groups --log-group-name-prefix /aws/cloudtrail --query 'LogGroups[*].[LogGroupName,RetentionInDays]'
aws config describe-configuration-recorders --query 'ConfigurationRecorders[*].[name,roleARN,recordingGroup]'
Security Monitoring and Detection Services
aws guardduty list-detectors --query 'DetectorIds'
aws guardduty get-detector --detector-id &lt;detector-id&gt; --query '[Status,ServiceRole,FindingPublishingFrequency]'
aws securityhub describe-hub --query '[HubArn,SubscribedAt,AutoEnableControls]'
aws detective list-graphs --query 'GraphList[*].[Arn,CreatedTime]'
Notification and Communication Systems
aws sns list-topics --query 'Topics[?contains(TopicArn, `security`) || contains(TopicArn, `incident`)].TopicArn'
aws sns get-topic-attributes --topic-arn &lt;topic-arn&gt; --query 'Attributes'
aws events list-rules --query 'Rules[?contains(Name, `security`) || contains(Name, `incident`)][Name,State,EventPattern]'
aws ssm list-documents --filters Key=DocumentType,Values=Automation --query 'DocumentIdentifiers[?contains(Name, `incident`) || contains(Name, `response`)][Name,DocumentType]'
Incident Response Automation and Workflows
aws lambda list-functions --query 'Functions[?contains(FunctionName, `incident`) || contains(FunctionName, `response`)][FunctionName,Runtime,LastModified]'
aws stepfunctions list-state-machines --query 'stateMachines[?contains(name, `incident`) || contains(name, `response`)][name,status,creationDate]'
aws iam list-roles --query 'Roles[?contains(RoleName, `IncidentResponse`) || contains(RoleName, `SecurityResponse`)][RoleName,CreateDate]'
AWS Config Rules for Security Compliance
aws config describe-config-rules --query 'ConfigRules[?contains(ConfigRuleName, `security`) || contains(ConfigRuleName, `incident`)][ConfigRuleName,ConfigRuleState]'
aws config get-compliance-summary-by-config-rule --query 'ComplianceSummary'
aws config describe-remediation-configurations --query 'RemediationConfigurations[*].[ConfigRuleName,TargetType,Automatic]'
Access and Permissions for Incident Response
aws iam list-policies --scope Local --query 'Policies[?contains(PolicyName, `IncidentResponse`) || contains(PolicyName, `SecurityResponse`)][PolicyName,CreateDate]'
aws iam get-account-summary --query 'SummaryMap'
aws sts get-caller-identity --query '[Account,UserId,Arn]'
Backup and Recovery Capabilities
aws backup list-backup-plans --query 'BackupPlansList[*].[BackupPlanId,BackupPlanName,CreationDate]'
aws backup list-backup-vaults --query 'BackupVaultList[*].[BackupVaultName,CreationDate,EncryptionKeyArn]'
aws ec2 describe-snapshots --owner-ids self --query 'Snapshots[*].[SnapshotId,Description,StartTime,State]' --max-items 5
Incident Response Metrics and Monitoring
aws cloudwatch describe-alarms --query 'MetricAlarms[?contains(AlarmName, `Security`) || contains(AlarmName, `Incident`)][AlarmName,StateValue,MetricName]'
aws cloudwatch list-metrics --namespace AWS/GuardDuty --query 'Metrics[*].[MetricName,Namespace]'
aws logs describe-log-groups --log-group-name-prefix /aws/lambda --query 'LogGroups[?contains(LogGroupName, `incident`) || contains(LogGroupName, `response`)][LogGroupName,RetentionInDays]'
</t>
  </si>
  <si>
    <r>
      <rPr>
        <b/>
        <sz val="11"/>
        <color rgb="FF000000"/>
        <rFont val="Montserrat"/>
      </rPr>
      <t>SEC10-BP03</t>
    </r>
    <r>
      <rPr>
        <sz val="11"/>
        <color rgb="FF000000"/>
        <rFont val="Montserrat"/>
      </rPr>
      <t xml:space="preserve"> Preparar capacidades forenses</t>
    </r>
  </si>
  <si>
    <t>Antes de que se produzca un incidente de seguridad, considere la posibilidad de desarrollar capacidades forenses que lo ayuden a investigar los eventos de seguridad.</t>
  </si>
  <si>
    <t>Automatización de Snapshots EBS.
AWS Organizations Forensic Account Structure
Servicio: AWS Organizations
Recurso: Unidades organizacionales, cuentas forenses, y cuentas de seguridad
Configuración: Organizations configurado con OU forense dedicada, cuentas forenses separadas por región, y OU de seguridad con archivado de registros y cuentas de herramientas de seguridad
Log Collection and Preservation Infrastructure
Servicio: AWS CloudTrail, Amazon CloudWatch, VPC Flow Logs, AWS Config
Recurso: Pistas de auditoría, flujos de registros, historial de configuración, y registros de flujo de red
Configuración: Registro integral configurado con trails multi-región CloudTrail, VPC Flow Logs habilitados, grabación Config, y almacenamiento centralizado de registros en S3 con Object Lock
Evidence Collection and Storage Systems
Servicio: Amazon S3, Amazon EBS, AWS Systems Manager
Recurso: Snapshots, respaldos, volcados de memoria, y recolección automatizada de evidencia
Configuración: Almacenamiento de evidencia configurado con S3 Object Lock para almacenamiento inmutable, creación automatizada de snapshots EBS, y automatización Systems Manager para recolección de evidencia
Forensic Analysis Tools and Workstations
Servicio: Amazon EC2, AWS Lambda, Amazon EventBridge
Recurso: Estaciones de trabajo forenses, herramientas de análisis, y flujos de trabajo forenses automatizados
Configuración: Infraestructura forense configurada con instancias EC2 dedicadas para análisis, funciones Lambda para procesamiento automatizado de evidencia, y reglas EventBridge para disparadores de flujo de trabajo forense
Backup and Recovery for Forensic Purposes
Servicio: AWS Backup, Amazon EBS Snapshots, Amazon RDS Snapshots
Recurso: Respaldos de sistema, snapshots de base de datos, y recuperación point-in-time
Configuración: Sistemas de respaldo configurados con horarios automatizados de respaldo, replicación entre regiones, y almacenamiento seguro de respaldos para preservación forense</t>
  </si>
  <si>
    <t>Asegurar de forma anticipada la provisión de un marco que permita capturar evidencias y examinar de manera profunda cualquier actividad maligna.
Entorno Forense y Estructura de Cuentas Verificar que entorno forense dedicado esté establecido con separación apropiada de cuentas y estructura organizacional. Cumplimiento indica configuración forense integral con cuentas forenses separadas, estructura OU apropiada, y entorno forense aislado. Incumplimiento evidenciado por cuentas forenses faltantes, separación inadecuada o falta de infraestructura forense dedicada.
Recolección y Preservación Integral de Registros Verificar que recolección integral de registros esté implementada con mecanismos apropiados de preservación para análisis forense. Cumplimiento indica cobertura completa de registro con CloudTrail, VPC Flow Logs, Config, y registros a nivel de host apropiadamente recolectados y preservados. Incumplimiento evidenciado por fuentes de registro faltantes, retención inadecuada de registros o falta de preservación de registros.
Recolección de Evidencia y Cadena de Custodia Verificar que procedimientos de recolección de evidencia estén automatizados con mantenimiento apropiado de cadena de custodia. Cumplimiento indica recolección automatizada de evidencia con snapshots, respaldos, volcados de memoria, y documentación apropiada de cadena de custodia. Incumplimiento evidenciado por recolección manual de evidencia, automatización faltante o cadena de custodia inadecuada.
Capacidades y Herramientas de Análisis Forense Verificar que capacidades de análisis forense estén preparadas con herramientas y metodologías apropiadas. Cumplimiento indica capacidades forenses integrales con herramientas de análisis dedicadas, estaciones de trabajo forenses, y metodologías de análisis apropiadas. Incumplimiento evidenciado por herramientas forenses faltantes, capacidades de análisis inadecuadas o falta de experiencia forense.
Protección y Pruebas de Respaldos Verificar que sistemas de respaldo estén protegidos y regularmente probados para propósitos forenses. Cumplimiento indica sistemas de respaldo seguros con mecanismos de protección, pruebas regulares, y capacidades de restauración verificadas. Incumplimiento evidenciado por respaldos desprotegidos, pruebas faltantes o verificación inadecuada de respaldos.</t>
  </si>
  <si>
    <t xml:space="preserve">AWS Organizations Forensic Structure Assessment
aws organizations list-organizational-units-for-parent --parent-id &lt;root-id&gt; --query 'OrganizationalUnits[*].[Id,Name]'
aws organizations list-accounts-for-parent --parent-id &lt;forensic-ou-id&gt; --query 'Accounts[*].[Id,Name,Email]'
aws organizations describe-organization --query '[Organization.Id,Organization.MasterAccountId]'
CloudTrail and Logging Configuration
aws cloudtrail describe-trails --query 'trailList[*].[Name,S3BucketName,IncludeGlobalServiceEvents,IsMultiRegionTrail,LogFileValidationEnabled]'
aws cloudtrail get-trail-status --name &lt;trail-name&gt; --query '[IsLogging,LatestDeliveryTime,LatestCloudWatchLogsDeliveryTime]'
aws logs describe-log-groups --query 'LogGroups[*].[LogGroupName,RetentionInDays,StoredBytes]' --max-items 10
aws config describe-configuration-recorders --query 'ConfigurationRecorders[*].[name,roleARN,recordingGroup.allSupported]'
VPC Flow Logs and Network Monitoring
aws ec2 describe-flow-logs --query 'FlowLogs[*].[FlowLogId,ResourceId,TrafficType,LogDestination,FlowLogStatus]'
aws ec2 describe-vpcs --query 'Vpcs[*].[VpcId,CidrBlock,State]'
aws logs describe-log-groups --log-group-name-prefix /aws/vpc --query 'LogGroups[*].[LogGroupName,RetentionInDays]'
Evidence Storage and S3 Object Lock
aws s3api list-buckets --query 'Buckets[?contains(Name, `forensic`) || contains(Name, `evidence`)][Name,CreationDate]'
aws s3api get-object-lock-configuration --bucket &lt;forensic-bucket-name&gt; --query '[ObjectLockConfiguration.ObjectLockEnabled,ObjectLockConfiguration.Rule]'
aws s3api get-bucket-versioning --bucket &lt;forensic-bucket-name&gt; --query '[Status,MfaDelete]'
aws s3api get-bucket-policy --bucket &lt;forensic-bucket-name&gt; --query 'Policy'
EBS Snapshots and Backup Systems
aws ec2 describe-snapshots --owner-ids self --query 'Snapshots[*].[SnapshotId,Description,StartTime,State,Encrypted]' --max-items 10
aws backup list-backup-plans --query 'BackupPlansList[*].[BackupPlanId,BackupPlanName,CreationDate]'
aws backup list-backup-vaults --query 'BackupVaultList[*].[BackupVaultName,CreationDate,EncryptionKeyArn]'
aws dlm describe-lifecycle-policies --query 'Policies[*].[PolicyId,Description,State]'
Forensic Automation and Tools
aws lambda list-functions --query 'Functions[?contains(FunctionName, `forensic`) || contains(FunctionName, `evidence`)][FunctionName,Runtime,LastModified]'
aws events list-rules --query 'Rules[?contains(Name, `forensic`) || contains(Name, `evidence`)][Name,State,EventPattern]'
aws ssm list-documents --filters Key=DocumentType,Values=Automation --query 'DocumentIdentifiers[?contains(Name, `forensic`)][Name,DocumentType]'
Systems Manager and Evidence Collection
aws ssm describe-instance-information --query 'InstanceInformationList[*].[InstanceId,PlatformType,PlatformName,AgentVersion]' --max-items 5
aws ssm list-associations --query 'Associations[?contains(Name, `forensic`) || contains(Name, `evidence`)][Name,InstanceId,AssociationId]'
aws ssm describe-automation-executions --query 'AutomationExecutions[*].[AutomationExecutionId,DocumentName,AutomationExecutionStatus]' --max-items 5
Forensic Workstation and Analysis Infrastructure
aws ec2 describe-instances --filters Name=tag:Purpose,Values=Forensic --query 'Reservations[*].Instances[*].[InstanceId,InstanceType,State.Name,Tags[?Key==`Name`].Value]'
aws ec2 describe-security-groups --group-names forensic-* --query 'SecurityGroups[*].[GroupId,GroupName,Description]'
aws iam list-roles --query 'Roles[?contains(RoleName, `Forensic`)][RoleName,CreateDate]'
Memory and System Analysis Capabilities
aws ssm get-parameters --names "/forensic/tools" "/forensic/procedures" --query 'Parameters[*].[Name,Value]'
aws s3api list-objects-v2 --bucket &lt;forensic-tools-bucket&gt; --prefix tools/ --query 'Contents[*].[Key,LastModified,Size]'
aws ec2 describe-images --owners self --filters Name=name,Values=*forensic* --query 'Images[*].[ImageId,Name,CreationDate,State]'
</t>
  </si>
  <si>
    <r>
      <rPr>
        <b/>
        <u/>
        <sz val="11"/>
        <color rgb="FF000000"/>
        <rFont val="Montserrat"/>
      </rPr>
      <t>SEC10-BP04</t>
    </r>
    <r>
      <rPr>
        <u/>
        <sz val="11"/>
        <color rgb="FF000000"/>
        <rFont val="Montserrat"/>
      </rPr>
      <t xml:space="preserve"> Desarrollar y probar libros de jugadas de respuesta a incidentes de seguridad</t>
    </r>
  </si>
  <si>
    <t>Una parte esencial de la preparación de los procesos de respuesta a incidentes consiste en desarrollar manuales de estrategias. Los manuales de estrategias de respuesta a incidentes ofrecen directrices y pasos prescriptivos que deben seguirse cuando se produce un evento de seguridad. Contar con una estructura y unos pasos claros simplifica la respuesta y reduce la probabilidad de que se produzcan errores humanos.</t>
  </si>
  <si>
    <t>AWS Systems Manager Incident Manager (Runbooks).
Incident Response Playbook Documentation
Servicio: Sistemas de documentación, Plataformas de gestión de conocimiento
Recurso: Repositorios de playbooks, control de versiones, y estándares de documentación
Configuración: Sistemas de documentación configurados con bibliotecas integrales de playbooks, control de versiones para actualizaciones de playbooks, y formatos estandarizados de playbooks con estructura clara y procedimientos
AWS Customer Incident Response Team (CIRT) Resources
Servicio: AWS CIRT, Repositorios GitHub
Recurso: Playbooks pre-construidos, escenarios de amenazas, y plantillas de respuesta
Configuración: Recursos CIRT configurados con acceso a playbooks publicados por AWS, procedimientos de adaptación para necesidades organizacionales, e integración con procesos existentes de respuesta a incidentes
Playbook Testing and Validation Infrastructure
Servicio: AWS Systems Manager, AWS Lambda, Amazon EventBridge
Recurso: Flujos de trabajo de pruebas automatizadas, entornos de simulación, y procedimientos de validación
Configuración: Infraestructura de pruebas configurada con validación automatizada de playbooks, entornos de simulación para pruebas, y horarios regulares de pruebas
Security Finding and Alert Integration
Servicio: Amazon GuardDuty, AWS Security Hub, Amazon Detective
Recurso: Hallazgos de seguridad, integración de alertas, y disparadores automatizados de playbooks
Configuración: Servicios de seguridad configurados con integración de playbooks, disparadores de respuesta automatizada, y mapeo de playbooks específicos por hallazgo
Communication and Escalation Systems
Servicio: Amazon SNS, AWS Systems Manager Incident Manager
Recurso: Sistemas de notificación, procedimientos de escalación, y comunicación con partes interesadas
Configuración: Sistemas de comunicación configurados con notificaciones integradas en playbooks, procedimientos de escalación, y gestión de contactos de partes interesadas</t>
  </si>
  <si>
    <t>Revisar que existan "playbooks" con guías prescriptivas detalladas para operar bajo presión en eventos y minimizar equivocaciones.
Desarrollo y Cobertura Integral de Playbooks Verificar que playbooks integrales estén desarrollados para incidentes anticipados y hallazgos de seguridad conocidos. Cumplimiento indica cobertura completa de playbooks con escenarios como ataques DoS, ransomware, compromiso de credenciales, y hallazgos GuardDuty. Incumplimiento evidenciado por playbooks faltantes, cobertura incompleta o planificación inadecuada de escenarios.
Estructura y Calidad de Contenido de Playbooks Verificar que playbooks estén apropiadamente estructurados con pasos claros, prerrequisitos, y resultados esperados. Cumplimiento indica playbooks bien estructurados con resumen de playbook, prerrequisitos, procedimientos de comunicación, y pasos detallados de respuesta (detectar, analizar, contener, erradicar, recuperar). Incumplimiento evidenciado por playbooks mal estructurados, componentes faltantes o procedimientos poco claros.
Pruebas y Validación Regular de Playbooks Verificar que playbooks sean regularmente probados y validados a través de simulaciones y ejercicios. Cumplimiento indica programa integral de pruebas con validación regular de playbooks, ejercicios de simulación, y mejora continua basada en resultados de pruebas. Incumplimiento evidenciado por pruebas faltantes, playbooks desactualizados o falta de procedimientos de validación.
Integración con Herramientas de Seguridad y Hallazgos Verificar que playbooks estén integrados con herramientas de seguridad y capacidades de respuesta automatizada. Cumplimiento indica integración integral con hallazgos GuardDuty, alertas Security Hub, y disparadores de respuesta automatizada. Incumplimiento evidenciado por activación manual de playbooks, integración de herramientas faltante o automatización inadecuada.
Procedimientos de Comunicación y Escalación con Partes Interesadas Verificar que playbooks incluyan procedimientos claros de comunicación y escalación con información de contacto de partes interesadas. Cumplimiento indica procedimientos integrales de comunicación con identificación de partes interesadas, información de contacto, rutas de escalación, y definiciones de responsabilidades. Incumplimiento evidenciado por procedimientos de comunicación faltantes, contactos desactualizados o rutas de escalación poco claras.</t>
  </si>
  <si>
    <t xml:space="preserve">Playbook Documentation and Repository Assessment
aws s3api list-objects-v2 --bucket &lt;playbook-repository-bucket&gt; --prefix playbooks/ --query 'Contents[*].[Key,LastModified,Size]'
aws codecommit list-repositories --query 'repositories[?contains(repositoryName, `playbook`) || contains(repositoryName, `incident`)][repositoryName,repositoryDescription]'
aws s3api get-object-tagging --bucket &lt;playbook-bucket&gt; --key &lt;playbook-file&gt; --query 'TagSet[*].[Key,Value]'
AWS CIRT and External Playbook Resources
aws s3api list-objects-v2 --bucket &lt;cirt-playbooks-bucket&gt; --query 'Contents[*].[Key,LastModified]' --max-keys 10
aws ssm get-parameters --names "/incident-response/cirt-playbooks" "/incident-response/external-resources" --query 'Parameters[*].[Name,Value]'
Security Services Integration Assessment
aws guardduty list-detectors --query 'DetectorIds'
aws guardduty get-detector --detector-id &lt;detector-id&gt; --query '[Status,ServiceRole,FindingPublishingFrequency]'
aws securityhub describe-hub --query '[HubArn,SubscribedAt,AutoEnableControls]'
aws securityhub get-findings --query 'Findings[*].[Id,Title,Severity.Label,WorkflowState]' --max-items 5
Automated Response and Playbook Triggers
aws events list-rules --query 'Rules[?contains(Name, `playbook`) || contains(Name, `incident`)][Name,State,EventPattern]'
aws lambda list-functions --query 'Functions[?contains(FunctionName, `playbook`) || contains(FunctionName, `incident`)][FunctionName,Runtime,LastModified]'
aws stepfunctions list-state-machines --query 'stateMachines[?contains(name, `playbook`) || contains(name, `incident`)][name,status,creationDate]'
Systems Manager Incident Manager Integration
aws ssm-incidents list-response-plans --query 'responsePlanSummaries[*].[arn,name,displayName]'
aws ssm-incidents get-response-plan --arn &lt;response-plan-arn&gt; --query '[name,displayName,incidentTemplate.summary,actions]'
aws ssm list-documents --filters Key=DocumentType,Values=Automation --query 'DocumentIdentifiers[?contains(Name, `playbook`)][Name,DocumentType,DocumentVersion]'
Communication and Notification Systems
aws sns list-topics --query 'Topics[?contains(TopicArn, `incident`) || contains(TopicArn, `playbook`)].TopicArn'
aws sns list-subscriptions --query 'Subscriptions[?contains(TopicArn, `incident`)][TopicArn,Protocol,Endpoint]'
aws ssm-contacts list-contacts --query 'contacts[*].[contactArn,alias,displayName,type]'
Playbook Testing and Simulation Infrastructure
aws lambda list-functions --query 'Functions[?contains(FunctionName, `test`) || contains(FunctionName, `simulation`)][FunctionName,Runtime,LastModified]'
aws events list-rules --query 'Rules[?contains(Name, `test`) || contains(Name, `simulation`)][Name,State,ScheduleExpression]'
aws ssm describe-automation-executions --query 'AutomationExecutions[?contains(DocumentName, `playbook`)][AutomationExecutionId,DocumentName,AutomationExecutionStatus]' --max-items 5
Playbook Version Control and Updates
aws codecommit get-repository --repository-name &lt;playbook-repo&gt; --query '[repositoryMetadata.repositoryName,repositoryMetadata.lastModifiedDate]'
aws codecommit list-branches --repository-name &lt;playbook-repo&gt; --query 'branches[*].branchName'
aws s3api list-object-versions --bucket &lt;playbook-bucket&gt; --prefix playbooks/ --query 'Versions[*].[Key,VersionId,LastModified,IsLatest]' --max-keys 10
Incident Response Metrics and Monitoring
aws cloudwatch describe-alarms --query 'MetricAlarms[?contains(AlarmName, `Playbook`) || contains(AlarmName, `Incident`)][AlarmName,StateValue,MetricName]'
aws logs describe-log-groups --log-group-name-prefix /aws/lambda --query 'LogGroups[?contains(LogGroupName, `playbook`)][LogGroupName,RetentionInDays]'
aws cloudtrail lookup-events --lookup-attributes AttributeKey=EventName,AttributeValue=StartAutomationExecution --start-time $(date -d '30 days ago' -I) --query 'Events[*].[EventTime,Username,Resources]' --max-items 5
</t>
  </si>
  <si>
    <r>
      <rPr>
        <b/>
        <sz val="11"/>
        <color rgb="FF000000"/>
        <rFont val="Montserrat"/>
      </rPr>
      <t>SEC10-BP05</t>
    </r>
    <r>
      <rPr>
        <sz val="11"/>
        <color rgb="FF000000"/>
        <rFont val="Montserrat"/>
      </rPr>
      <t xml:space="preserve"> Acceso previo a la provisión</t>
    </r>
  </si>
  <si>
    <t>Verifique que haya aprovisionado previamente el acceso correcto a los equipos de intervención de incidentes en AWS para reducir el tiempo necesario de investigación hasta la recuperación.</t>
  </si>
  <si>
    <t>Roles de IAM pre-configurados.
Dedicated Security Account Structure
Servicio: AWS Organizations, AWS IAM
Recurso: Cuentas de seguridad, usuarios de respuesta a incidentes, y roles entre cuentas
Configuración: Organizations configurado con cuenta de seguridad dedicada, usuarios de respuesta a incidentes creados en cuenta de seguridad, y roles entre cuentas para asumir permisos en cuentas objetivo
Identity Federation and Temporary Access
Servicio: AWS IAM Identity Center, AWS STS
Recurso: Identidades federadas, credenciales temporales, y acceso just-in-time
Configuración: Federación de identidad configurada con escalación temporal de privilegios, políticas de sesión STS para acceso con alcance, y mecanismos de privilegios just-in-time
Break Glass Access Mechanisms
Servicio: AWS IAM, Procedimientos de acceso de emergencia
Recurso: Cuentas de acceso de emergencia, procedimientos break glass, y autenticación de respaldo
Configuración: Acceso break glass configurado con cuentas de emergencia, requisitos de autenticación fuerte, y procedimientos de emergencia documentados
Multi-Factor Authentication and Security Controls
Servicio: AWS IAM, Dispositivos MFA
Recurso: Requisitos MFA, políticas de contraseñas fuertes, y controles de acceso
Configuración: Controles de seguridad configurados con MFA obligatorio, políticas de contraseñas fuertes, y revisiones regulares de acceso
AWS Systems Manager Session Manager
Servicio: AWS Systems Manager Session Manager
Recurso: Acceso a instancias EC2, registro de sesiones, y acceso administrativo
Configuración: Session Manager configurado para acceso administrativo, registro de sesiones habilitado, y acceso seguro a instancias sin claves SSH</t>
  </si>
  <si>
    <t>Validar que los equipos encargados tengan roles preparados en AWS para que, ante una contingencia, investiguen sin perder tiempo pidiendo accesos.
Estructura de Cuenta Dedicada de Respuesta a Incidentes Verificar que cuentas dedicadas de respuesta a incidentes estén establecidas con separación apropiada y configuración de roles entre cuentas. Cumplimiento indica cuenta de seguridad dedicada con usuarios de respuesta a incidentes, roles entre cuentas apropiadamente configurados, y separación clara de cuentas de producción. Incumplimiento evidenciado por cuentas dedicadas faltantes, configuración inapropiada de roles o separación inadecuada de cuentas.
Credenciales Temporales y Acceso Just-in-Time Verificar que credenciales temporales y mecanismos de acceso just-in-time estén implementados en lugar de credenciales de larga duración. Cumplimiento indica implementación integral de acceso temporal con uso de STS, políticas de sesión, y concesiones de acceso limitadas en tiempo. Incumplimiento evidenciado por credenciales de larga duración, acceso temporal faltante o alcance inadecuado de sesiones.
Procedimientos de Acceso Break Glass Verificar que procedimientos de acceso break glass estén documentados y probados con capacidades de acceso de emergencia. Cumplimiento indica procedimientos integrales break glass con cuentas de emergencia, procedimientos documentados, y pruebas regulares. Incumplimiento evidenciado por acceso break glass faltante, procedimientos no documentados o acceso de emergencia no probado.
Autenticación Fuerte y Controles de Seguridad Verificar que autenticación fuerte y controles de seguridad estén implementados para cuentas de respuesta a incidentes. Cumplimiento indica controles de seguridad integrales con MFA obligatorio, políticas de contraseñas fuertes, y revisiones regulares de acceso. Incumplimiento evidenciado por autenticación débil, MFA faltante o controles de seguridad inadecuados.
Monitoreo y Auditoría de Acceso Verificar que monitoreo integral y auditoría estén implementados para uso de acceso de respuesta a incidentes. Cumplimiento indica monitoreo integral con registro CloudTrail, alertas de acceso, y revisiones regulares de auditoría. Incumplimiento evidenciado por monitoreo faltante, registro inadecuado o falta de auditoría de acceso.</t>
  </si>
  <si>
    <t>Dedicated Security Account Assessment
aws organizations list-accounts --query 'Accounts[?contains(Name, `Security`) || contains(Name, `Incident`)][Id,Name,Email,Status]'
aws iam list-users --query 'Users[?contains(UserName, `incident`) || contains(UserName, `response`)][UserName,CreateDate,PasswordLastUsed]'
aws</t>
  </si>
  <si>
    <r>
      <rPr>
        <b/>
        <u/>
        <sz val="11"/>
        <color rgb="FF000000"/>
        <rFont val="Montserrat"/>
      </rPr>
      <t>SEC10-BP06</t>
    </r>
    <r>
      <rPr>
        <u/>
        <sz val="11"/>
        <color rgb="FF000000"/>
        <rFont val="Montserrat"/>
      </rPr>
      <t xml:space="preserve"> Herramientas de implementación previa</t>
    </r>
  </si>
  <si>
    <t>Asegúrese de que el personal de seguridad implementa las herramientas correctas con anticipación para reducir el plazo de investigación hasta conseguir la recuperación.</t>
  </si>
  <si>
    <t>Despliegue previo de herramientas de seguridad.
Security Detection and Analysis Tools
Servicio: Amazon GuardDuty, AWS Security Hub, Amazon Detective
Recurso: Detección de amenazas, agregación de hallazgos de seguridad, y capacidades de investigación
Configuración: Herramientas de seguridad configuradas con GuardDuty habilitado, Security Hub con hallazgos centralizados, y Detective para análisis de registros y flujos de trabajo de investigación
Automated Response and Remediation Tools
Servicio: AWS Lambda, Amazon EventBridge, AWS Systems Manager
Recurso: Funciones de respuesta automatizada, flujos de trabajo basados en eventos, y automatización de remediación
Configuración: Herramientas de automatización configuradas con funciones Lambda para acciones de respuesta, reglas EventBridge para procesamiento de eventos, y documentos de automatización Systems Manager
Logging and Monitoring Infrastructure
Servicio: AWS CloudTrail, Amazon CloudWatch, VPC Flow Logs
Recurso: Pistas de auditoría, monitoreo de métricas, y análisis de flujo de red
Configuración: Infraestructura de registro configurada con registro integral CloudTrail, monitoreo y alertas CloudWatch, y VPC Flow Logs para análisis de red
Anomaly Detection and Intelligence Tools
Servicio: AWS CloudTrail Insights, Amazon CloudWatch Anomaly Detection
Recurso: Análisis de comportamiento, detección de anomalías, y alertas inteligentes
Configuración: Detección de anomalías configurada con CloudTrail Insights habilitado, modelos CloudWatch Anomaly Detection, y umbrales de alerta inteligentes
Resource Tagging and Context Management
Servicio: AWS Resource Groups, AWS Config
Recurso: Estrategia de etiquetado de recursos, agrupación de recursos, y seguimiento de configuración
Configuración: Estrategia de etiquetado configurada con etiquetas consistentes de recursos, Resource Groups para organización, y reglas Config para cumplimiento de etiquetas</t>
  </si>
  <si>
    <t>Confirmar que el set de análisis de incidentes de seguridad de la organización esté implementado a priori para acelerar los tiempos de restauración.
Despliegue y Configuración de Herramientas de Seguridad Verificar que herramientas de seguridad integrales estén desplegadas y apropiadamente configuradas para respuesta a incidentes. Cumplimiento indica despliegue completo de herramientas de seguridad con GuardDuty habilitado, Security Hub configurado, y Detective disponible para investigaciones. Incumplimiento evidenciado por herramientas de seguridad faltantes, despliegue incompleto o configuración inadecuada.
Capacidades de Respuesta Automatizada Verificar que capacidades de respuesta automatizada estén implementadas con integración y pruebas apropiadas. Cumplimiento indica automatización integral con funciones Lambda desplegadas, reglas EventBridge configuradas, y automatización Systems Manager lista. Incumplimiento evidenciado por procesos de respuesta manuales, automatización faltante o integración inadecuada.
Registro y Monitoreo Integral Verificar que infraestructura integral de registro y monitoreo esté desplegada con capacidades apropiadas de retención y análisis. Cumplimiento indica cobertura completa de registro con CloudTrail habilitado, CloudWatch configurado, y herramientas de análisis de registros disponibles. Incumplimiento evidenciado por registros faltantes, retención inadecuada o falta de capacidades de análisis.
Detección de Anomalías e Inteligencia Verificar que capacidades de detección de anomalías e inteligencia estén habilitadas con configuración apropiada. Cumplimiento indica detección integral de anomalías con CloudTrail Insights habilitado, CloudWatch Anomaly Detection configurado, y alertas inteligentes implementadas. Incumplimiento evidenciado por detección de anomalías faltante, solo alertas básicas o capacidades de inteligencia inadecuadas.
Contexto y Organización de Recursos Verificar que estrategias de etiquetado y organización de recursos estén implementadas para apoyar respuesta a incidentes. Cumplimiento indica estrategia integral de etiquetado con etiquetas consistentes de recursos, Resource Groups configurados, y contexto fácilmente disponible. Incumplimiento evidenciado por etiquetas faltantes, etiquetado inconsistente o falta de organización de recursos.</t>
  </si>
  <si>
    <t>Security Detection Tools Assessment
aws guardduty list-detectors --query 'DetectorIds'
aws guardduty get-detector --detector-id &lt;detector-id&gt; --query '[Status,ServiceRole,FindingPublishingFrequency,Features]'
aws securityhub describe-hub --query '[HubArn,SubscribedAt,AutoEnableControls]'
aws detective list-graphs --query 'GraphList[*].[Arn,CreatedTime]'
Automated Response Infrastructure
aws lambda list-functions --query 'Functions[?contains(FunctionName, `security`) || contains(FunctionName, `incident`)][FunctionName,Runtime,LastModified]'
aws events list-rules --query 'Rules[?contains(Name, `security`) || contains(Name, `incident`)][Name,State,EventPattern]'
aws ssm list-documents --filters Key=DocumentType,Values=Automation --query 'DocumentIdentifiers[?contains(Name, `security`) || contains(Name, `incident`)][Name,DocumentType]'
Logging and Monitoring Configuration
aws cloudtrail describe-trails --query 'trailList[*].[Name,S3BucketName,IncludeGlobalServiceEvents,IsMultiRegionTrail,InsightSelectors]'
aws cloudtrail get-insight-selectors --trail-name &lt;trail-name&gt; --query 'InsightSelectors[*].[InsightType]'
aws logs describe-log-groups --query 'LogGroups[*].[LogGroupName,RetentionInDays,StoredBytes]' --max-items 10
aws ec2 describe-flow-logs --query 'FlowLogs[*].[FlowLogId,ResourceId,TrafficType,LogDestination]'
CloudWatch Monitoring and Anomaly Detection
aws cloudwatch describe-alarms --query 'MetricAlarms[?contains(AlarmName, `Security`) || contains(AlarmName, `Anomaly`)][AlarmName,StateValue,MetricName]'
aws cloudwatch describe-anomaly-detectors --query 'AnomalyDetectors[*].[Namespace,MetricName,Stat]' --max-items 5
aws cloudwatch list-metrics --namespace AWS/GuardDuty --query 'Metrics[*].[MetricName,Namespace]'
Resource Tagging and Organization
aws resourcegroupstaggingapi get-resources --query 'ResourceTagMappingList[*].[ResourceARN,Tags[?Key==`Environment`].Value,Tags[?Key==`Purpose`].Value]' --max-items 10
aws resource-groups list-groups --query 'GroupIdentifiers[*].[GroupName,GroupArn]'
aws config describe-config-rules --query 'ConfigRules[?contains(ConfigRuleName, `tag`)][ConfigRuleName,ConfigRuleState]'
Systems Manager Tools and Automation
aws ssm describe-instance-information --query 'InstanceInformationList[*].[InstanceId,PlatformType,AgentVersion,PingStatus]' --max-items 5
aws ssm list-command-invocations --query 'CommandInvocations[*].[CommandId,DocumentName,Status,RequestedDateTime]' --max-items 5
aws ssm describe-automation-executions --query 'AutomationExecutions[*].[AutomationExecutionId,DocumentName,AutomationExecutionStatus]' --max-items 5
Security Hub Integrations and Findings
aws securityhub list-enabled-products-for-import --query 'ProductSubscriptions'
aws securityhub get-findings --query 'Findings[*].[Id,Title,Severity.Label,WorkflowState,ProductArn]' --max-items 10
aws securityhub describe-standards --query 'Standards[*].[StandardsArn,Name,EnabledByDefault]'
Detective Investigation Capabilities
aws detective list-members --graph-arn &lt;graph-arn&gt; --query 'MemberDetails[*].[AccountId,EmailAddress,Status]'
aws detective get-members --graph-arn &lt;graph-arn&gt; --account-ids &lt;account-id&gt; --query 'MemberDetails[*].[AccountId,Status,InvitedTime]'
Incident Response Tool Integration
aws ssm-incidents list-response-plans --query 'responsePlanSummaries[*].[arn,name,displayName]'
aws backup list-backup-plans --query 'BackupPlansList[*].[BackupPlanId,BackupPlanName,CreationDate]'
aws sns list-topics --query 'Topics[?contains(TopicArn, `security`) || contains(TopicArn, `incident`)].TopicArn'</t>
  </si>
  <si>
    <r>
      <rPr>
        <b/>
        <sz val="11"/>
        <color rgb="FF000000"/>
        <rFont val="Montserrat"/>
      </rPr>
      <t>SEC10-BP07</t>
    </r>
    <r>
      <rPr>
        <sz val="11"/>
        <color rgb="FF000000"/>
        <rFont val="Montserrat"/>
      </rPr>
      <t xml:space="preserve"> Ejecutar simulaciones</t>
    </r>
  </si>
  <si>
    <t>Las organizaciones crecen y evolucionan con el tiempo, pero también las amenazas, por lo que es importante que revise continuamente sus capacidades de respuesta a los incidentes. Ejecutar simulaciones (también conocidas como días de juego) es un buen método para llevar a cabo esta evaluación. En las simulaciones, se utilizan escenarios de eventos de seguridad reales diseñados para imitar las tácticas, técnicas y procedimientos (TTP) del actor de una amenaza y permiten a la organización probar y evaluar sus capacidades de respuesta a los incidentes respondiendo a estos simulacros de ataques cibernéticos tal y como podría ocurrir en la realidad.</t>
  </si>
  <si>
    <t>AWS Fault Injection Simulator.
Simulation Planning and Management Infrastructure
Servicio: AWS Systems Manager, Sistemas de documentación, Herramientas de gestión de proyectos
Recurso: Escenarios de simulación, planificación de ejercicios, y coordinación de partes interesadas
Configuración: Infraestructura de simulación configurada con escenarios documentados, identificación de partes interesadas, y flujos de trabajo de planificación de ejercicios
Tabletop Exercise Capabilities
Servicio: Plataformas de comunicación, Herramientas de colaboración
Recurso: Escenarios basados en discusión, herramientas de comunicación, y validación de procesos
Configuración: Infraestructura tabletop configurada con plataformas de comunicación, documentación de escenarios, y herramientas de compromiso de partes interesadas
Purple Team Exercise Environment
Servicio: AWS Lambda, Amazon EventBridge, Herramientas de pruebas de seguridad
Recurso: Escenarios de pruebas colaborativas, validación de mecanismos de detección, y pruebas de herramientas
Configuración: Entorno purple team configurado con escenarios de pruebas controladas, validación de herramientas de detección, y flujos de trabajo colaborativos entre equipos azules y rojos
Red Team Exercise Infrastructure
Servicio: Entornos de pruebas aislados, Herramientas de pruebas de seguridad
Recurso: Escenarios de ataque realistas, entornos de pruebas controlados, y capacidades de evaluación
Configuración: Infraestructura red team configurada con entornos de pruebas aislados, escenarios de ataque realistas, y controles apropiados para prevenir impacto en producción
After-Action Reporting and Improvement Systems
Servicio: Sistemas de documentación, Herramientas de análisis, Seguimiento de mejoras
Recurso: Reportes post-acción, seguimiento de mejoras, y documentación de lecciones aprendidas
Configuración: Sistemas de reportes configurados con reportes integrales post-acción, seguimiento de mejoras, y procesos de mejora continua</t>
  </si>
  <si>
    <t>Auditar la existencia de ejercicios ("game days") que emulen tácticas atacantes reales permitiendo medir cuán reactivo y capacitado se encuentra el personal.
Horario Regular de Simulación y Planificación Verificar que horario regular de simulación esté establecido con planificación integral y compromiso de partes interesadas. Cumplimiento indica cadencia regular de simulación con escenarios definidos, identificación de partes interesadas, y aceptación del liderazgo. Incumplimiento evidenciado por horario de simulación faltante, ejercicios ad-hoc o planificación inadecuada.
Tipos Diversos de Simulación y Escenarios Verificar que tipos diversos de simulación estén implementados cubriendo ejercicios tabletop, purple team, y red team. Cumplimiento indica programa integral de simulación con múltiples tipos de ejercicios, escenarios variados, y niveles apropiados de complejidad. Incumplimiento evidenciado por tipo único de simulación, escenarios limitados o diversidad inadecuada de ejercicios.
Desarrollo y Pruebas de Escenarios Realistas Verificar que escenarios realistas estén desarrollados, probados, y validados antes de la ejecución de simulación. Cumplimiento indica desarrollo integral de escenarios con vectores de ataque realistas, escenarios factibles, y pruebas apropiadas antes de la ejecución. Incumplimiento evidenciado por escenarios irreales, ejercicios no probados o validación inadecuada de escenarios.
Participación Integral de Partes Interesadas Verificar que participación integral de partes interesadas sea lograda a través de todos los equipos y funciones relevantes. Cumplimiento indica compromiso amplio de partes interesadas con equipos de respuesta a incidentes, liderazgo, legal, comunicaciones, y socios externos. Incumplimiento evidenciado por participación limitada, partes interesadas faltantes o compromiso inadecuado.
Reportes Post-Acción Efectivos y Mejora Verificar que reportes post-acción efectivos estén implementados con procesos de mejora continua. Cumplimiento indica reportes integrales post-acción con mejoras identificadas, análisis de brechas, y seguimiento de progreso a lo largo del tiempo. Incumplimiento evidenciado por reportes post-acción faltantes, análisis inadecuado o falta de seguimiento de mejoras.</t>
  </si>
  <si>
    <t>Simulation Documentation and Planning
aws s3api list-objects-v2 --bucket &lt;simulation-documentation-bucket&gt; --prefix simulations/ --query 'Contents[*].[Key,LastModified,Size]'
aws ssm get-parameters --names "/incident-response/simulation-schedule" "/incident-response/scenarios" --query 'Parameters[*].[Name,Value]'
aws s3api get-object-tagging --bucket &lt;simulation-bucket&gt; --key &lt;simulation-file&gt; --query 'TagSet[*].[Key,Value]'
Exercise Environment and Infrastructure
aws lambda list-functions --query 'Functions[?contains(FunctionName, `simulation`) || contains(FunctionName, `exercise`)][FunctionName,Runtime,LastModified]'
aws events list-rules --query 'Rules[?contains(Name, `simulation`) || contains(Name, `exercise`)][Name,State,EventPattern]'
aws ec2 describe-instances --filters Name=tag:Purpose,Values=Simulation --query 'Reservations[*].Instances[*].[InstanceId,InstanceType,State.Name]'
Security Testing Tools and Capabilities
aws guardduty list-detectors --query 'DetectorIds'
aws securityhub describe-hub --query '[HubArn,SubscribedAt]'
aws detective list-graphs --query 'GraphList[*].[Arn,CreatedTime]'
aws inspector2 list-findings --query 'findings[*].[findingArn,severity,status]' --max-items 5
Communication and Collaboration Systems
aws sns list-topics --query 'Topics[?contains(TopicArn, `simulation`) || contains(TopicArn, `exercise`)].TopicArn'
aws sns list-subscriptions --query 'Subscriptions[?contains(TopicArn, `simulation`)][TopicArn,Protocol,Endpoint]'
aws ssm-contacts list-contacts --query 'contacts[*].[contactArn,alias,displayName,type]'
Simulation Execution and Automation
aws ssm list-documents --filters Key=DocumentType,Values=Automation --query 'DocumentIdentifiers[?contains(Name, `simulation`) || contains(Name, `exercise`)][Name,DocumentType]'
aws stepfunctions list-state-machines --query 'stateMachines[?contains(name, `simulation`) || contains(name, `exercise`)][name,status,creationDate]'
aws ssm describe-automation-executions --query 'AutomationExecutions[?contains(DocumentName, `simulation`)][AutomationExecutionId,DocumentName,AutomationExecutionStatus]' --max-items 5
After-Action Reporting and Metrics
aws s3api list-objects-v2 --bucket &lt;after-action-reports-bucket&gt; --prefix reports/ --query 'Contents[*].[Key,LastModified]'
aws cloudwatch describe-alarms --query 'MetricAlarms[?contains(AlarmName, `Simulation`) || contains(AlarmName, `Exercise`)][AlarmName,StateValue]'
aws logs describe-log-groups --log-group-name-prefix /aws/lambda --query 'LogGroups[?contains(LogGroupName, `simulation`)][LogGroupName,RetentionInDays]'
Incident Response Team Readiness
aws iam list-roles --query 'Roles[?contains(RoleName, `IncidentResponse`) || contains(RoleName, `Simulation`)][RoleName,CreateDate]'
aws ssm-incidents list-response-plans --query 'responsePlanSummaries[*].[arn,name,displayName]'
aws ssm-incidents get-response-plan --arn &lt;response-plan-arn&gt; --query '[name,displayName,incidentTemplate]'
Simulation Environment Isolation and Controls
aws ec2 describe-vpcs --filters Name=tag:Purpose,Values=Simulation --query 'Vpcs[*].[VpcId,CidrBlock,State]'
aws ec2 describe-security-groups --group-names simulation-* --query 'SecurityGroups[*].[GroupId,GroupName,Description]'
aws organizations list-accounts --query 'Accounts[?contains(Name, `Simulation`) || contains(Name, `Testing`)][Id,Name,Status]'
Continuous Improvement and Learning Tracking
aws codecommit list-repositories --query 'repositories[?contains(repositoryName, `simulation`) || contains(repositoryName, `lessons`)][repositoryName,repositoryDescription]'
aws s3api list-object-versions --bucket &lt;lessons-learned-bucket&gt; --prefix improvements/ --query 'Versions[*].[Key,VersionId,LastModified]' --max-keys 10
aws cloudtrail lookup-events --lookup-attributes AttributeKey=EventName,AttributeValue=StartAutomationExecution --start-time $(date -d '90 days ago' -I) --query 'Events[?contains(Resources[0].ResourceName, `simulation`)][EventTime,Username,Resources]' --max-items 5</t>
  </si>
  <si>
    <r>
      <rPr>
        <b/>
        <u/>
        <sz val="11"/>
        <color rgb="FF000000"/>
        <rFont val="Montserrat"/>
      </rPr>
      <t>SEC10-BP08</t>
    </r>
    <r>
      <rPr>
        <u/>
        <sz val="11"/>
        <color rgb="FF000000"/>
        <rFont val="Montserrat"/>
      </rPr>
      <t xml:space="preserve"> Establecer un marco para aprender de los incidentes</t>
    </r>
  </si>
  <si>
    <t>La implementación de un marco de trabajo sobre las lecciones aprendidas y una funcionalidad de análisis de la causa raíz no solo puede ayudar a mejorar las capacidades de respuesta a los incidentes, sino también a evitar que el incidente se repita. Al aprender de cada incidente, puede ayudar a evitar que se repitan los mismos errores, exposiciones o configuraciones incorrectas, lo que no solo mejorará el nivel de seguridad, sino también minimizará el tiempo que se pierde en situaciones evitables.</t>
  </si>
  <si>
    <t>Documentos RCA (Root Cause Analysis).
Lessons Learned Framework and Documentation
Servicio: Sistemas de documentación, Plataformas de gestión de conocimiento
Recurso: Procesos de lecciones aprendidas, documentación de incidentes, y seguimiento de mejoras
Configuración: Marco configurado con procesos estructurados de lecciones aprendidas, plantillas de documentación de incidentes, y mecanismos sistemáticos de seguimiento de mejoras
Post-Incident Review and Analysis Systems
Servicio: Plataformas de análisis, Herramientas de colaboración
Recurso: Análisis post-incidente, compromiso de partes interesadas, y procesos de revisión
Configuración: Sistemas de revisión configurados con análisis sistemático post-incidente, marcos de participación de partes interesadas, y procesos de revisión estructurados
Improvement Tracking and Implementation
Servicio: Herramientas de gestión de proyectos, Sistemas de seguimiento de tareas
Recurso: Iniciativas de mejora, seguimiento de elementos de acción, y monitoreo de implementación
Configuración: Sistemas de seguimiento configurados con elementos de acción de mejora, cronogramas de implementación, y capacidades de monitoreo de progreso
Knowledge Management and Sharing
Servicio: Bases de conocimiento, Plataformas de entrenamiento
Recurso: Repositorio de conocimiento de incidentes, materiales de entrenamiento, y compartición de conocimiento
Configuración: Sistemas de conocimiento configurados con conocimiento centralizado de incidentes, integración de programas de entrenamiento, y compartición de conocimiento organizacional
Continuous Improvement and Metrics
Servicio: Plataformas de métricas, Sistemas de tableros
Recurso: Métricas de mejora, análisis de tendencias, y seguimiento de rendimiento
Configuración: Sistemas de métricas configurados con métricas de seguimiento de mejoras, capacidades de análisis de tendencias, y tableros de medición de rendimiento</t>
  </si>
  <si>
    <t>Comprobar que la resolución de cada crisis concluya analizando fallas, lecciones y medidas definitivas para que el mismo vector no vuelva a causar daños.
Marco Estructurado de Lecciones Aprendidas Verificar que marco estructurado de lecciones aprendidas esté establecido con procesos claros y compromiso de partes interesadas. Cumplimiento indica marco integral con procesos definidos para cuándo, cómo, y quién conduce sesiones de lecciones aprendidas. Incumplimiento evidenciado por marco faltante, procesos ad-hoc o compromiso inadecuado de partes interesadas.
Análisis Sistemático Post-Incidente Verificar que análisis sistemático post-incidente sea conducido con revisión integral de aspectos de personas, procesos, y tecnología. Cumplimiento indica análisis post-incidente exhaustivo con preguntas estructuradas, revisión integral, y enfoque en mejora en lugar de culpa. Incumplimiento evidenciado por análisis faltante, revisiones superficiales o procesos enfocados en culpa.
Identificación y Seguimiento Efectivo de Mejoras Verificar que procesos efectivos de identificación y seguimiento de mejoras estén implementados con responsabilidad clara. Cumplimiento indica identificación sistemática de mejoras con elementos de acción claros, propiedad asignada, y seguimiento de progreso. Incumplimiento evidenciado por mejoras faltantes, responsabilidad poco clara o falta de seguimiento.
Captura de Conocimiento y Aprendizaje Organizacional Verificar que procesos de captura de conocimiento y aprendizaje organizacional estén establecidos con compartición efectiva de conocimiento. Cumplimiento indica captura integral de conocimiento con lecciones documentadas, compartición organizacional, e integración en programas de entrenamiento. Incumplimiento evidenciado por captura de conocimiento faltante, aprendizaje aislado o compartición inadecuada.
Cultura de Mejora Continua y Métricas Verificar que cultura de mejora continua sea fomentada con métricas y medición apropiadas. Cumplimiento indica cultura fuerte de mejora con métricas relevantes, análisis de tendencias, y mejora demostrada a lo largo del tiempo. Incumplimiento evidenciado por cultura de mejora faltante, falta de métricas o progreso no demostrado.</t>
  </si>
  <si>
    <t xml:space="preserve">Lessons Learned Documentation and Repository
aws s3api list-objects-v2 --bucket &lt;lessons-learned-bucket&gt; --prefix lessons/ --query 'Contents[*].[Key,LastModified,Size]'
aws s3api get-object-tagging --bucket &lt;lessons-bucket&gt; --key &lt;lesson-file&gt; --query 'TagSet[*].[Key,Value]'
aws codecommit list-repositories --query 'repositories[?contains(repositoryName, `lessons`) || contains(repositoryName, `improvement`)][repositoryName,repositoryDescription]'
Post-Incident Analysis and Review Systems
aws ssm get-parameters --names "/incident-response/lessons-framework" "/incident-response/review-process" --query 'Parameters[*].[Name,Value]'
aws lambda list-functions --query 'Functions[?contains(FunctionName, `lessons`) || contains(FunctionName, `review`)][FunctionName,Runtime,LastModified]'
aws stepfunctions list-state-machines --query 'stateMachines[?contains(name, `lessons`) || contains(name, `review`)][name,status,creationDate]'
Improvement Tracking and Implementation
aws s3api list-objects-v2 --bucket &lt;improvement-tracking-bucket&gt; --prefix improvements/ --query 'Contents[*].[Key,LastModified]'
aws dynamodb list-tables --query 'TableNames[?contains(@, `improvement`) || contains(@, `action`)]'
aws dynamodb scan --table-name &lt;improvement-tracking-table&gt; --query 'Items[*].[ActionItem.S,Status.S,Owner.S]' --max-items 10
Knowledge Management and Training Integration
aws s3api list-objects-v2 --bucket &lt;knowledge-base-bucket&gt; --prefix knowledge/ --query 'Contents[*].[Key,LastModified]'
aws lambda list-functions --query 'Functions[?contains(FunctionName, `knowledge`) || contains(FunctionName, `training`)][FunctionName,Runtime,LastModified]'
aws ssm list-documents --filters Key=DocumentType,Values=Command --query 'DocumentIdentifiers[?contains(Name, `training`)][Name,DocumentType]'
Metrics and Performance Tracking
aws cloudwatch describe-alarms --query 'MetricAlarms[?contains(AlarmName, `Improvement`) || contains(AlarmName, `Lessons`)][AlarmName,StateValue,MetricName]'
aws cloudwatch list-metrics --namespace Custom/IncidentResponse --query 'Metrics[*].[MetricName,Namespace]'
aws logs describe-log-groups --log-group-name-prefix /aws/lambda --query 'LogGroups[?contains(LogGroupName, `lessons`)][LogGroupName,RetentionInDays]'
Stakeholder Engagement and Communication
aws sns list-topics --query 'Topics[?contains(TopicArn, `lessons`) || contains(TopicArn, `improvement`)].TopicArn'
aws sns list-subscriptions --query 'Subscriptions[?contains(TopicArn, `lessons`)][TopicArn,Protocol,Endpoint]'
aws ssm-contacts list-contacts --query 'contacts[*].[contactArn,alias,displayName,type]'
Continuous Improvement Process Automation
aws events list-rules --query 'Rules[?contains(Name, `lessons`) || contains(Name, `improvement`)][Name,State,EventPattern]'
aws ssm describe-automation-executions --query 'AutomationExecutions[?contains(DocumentName, `lessons`)][AutomationExecutionId,DocumentName,AutomationExecutionStatus]' --max-items 5
aws cloudtrail lookup-events --lookup-attributes AttributeKey=EventName,AttributeValue=PutObject --start-time $(date -d '30 days ago' -I) --query 'Events[?contains(Resources[0].ResourceName, `lessons`)][EventTime,Username,Resources]' --max-items 5
Training and Knowledge Sharing Systems
aws s3api list-objects-v2 --bucket &lt;training-materials-bucket&gt; --prefix training/ --query 'Contents[*].[Key,LastModified]'
aws iam list-roles --query 'Roles[?contains(RoleName, `Training`) || contains(RoleName, `Knowledge`)][RoleName,CreateDate]'
aws ssm list-associations --query 'Associations[?contains(Name, `training`)][Name,InstanceId,AssociationId]'
Organizational Learning and Culture Assessment
aws organizations list-accounts --query 'Accounts[*].[Id,Name,Status]'
aws config describe-config-rules --query 'ConfigRules[?contains(ConfigRuleName, `improvement`) || contains(ConfigRuleName, `lessons`)][ConfigRuleName,ConfigRuleState]'
aws resource-groups list-groups --query 'GroupIdentifiers[?contains(GroupName, `improvement`) || contains(GroupName, `lessons`)][GroupName,GroupArn]'
</t>
  </si>
  <si>
    <t>Seguridad de aplicaciónes
SEC 11. ¿Cómo incorpora y valida las propiedades de seguridad de las aplicaciones a lo largo del ciclo de vida de diseño, desarrollo e implementación?</t>
  </si>
  <si>
    <r>
      <rPr>
        <b/>
        <u/>
        <sz val="11"/>
        <color rgb="FF000000"/>
        <rFont val="Montserrat"/>
      </rPr>
      <t>SEC11-BP01</t>
    </r>
    <r>
      <rPr>
        <u/>
        <sz val="11"/>
        <color rgb="FF000000"/>
        <rFont val="Montserrat"/>
      </rPr>
      <t xml:space="preserve"> Tren para seguridad de aplicaciones</t>
    </r>
  </si>
  <si>
    <t>Forme a su equipo en prácticas de desarrollo y funcionamiento seguros, lo que los ayudará a crear software seguro y de alta calidad. Esta práctica ayuda a su equipo a prevenir, detectar y solucionar los problemas de seguridad en una fase temprana del ciclo de vida del desarrollo. Puede plantearse impartir formación sobre el modelado de amenazas, las prácticas de codificación segura y el uso de servicios para una configuración y funcionamiento seguros. Proporcione a su equipo acceso a la formación mediante recursos de autoservicio y recopile periódicamente sus comentarios para mejorar continuamente.</t>
  </si>
  <si>
    <t>Programas de Formación.
Application Security Training Programs
Servicio: AWS Training and Certification, Sistemas de gestión de aprendizaje
Recurso: Currículos de entrenamiento de seguridad, cursos de modelado de amenazas, y entrenamiento de codificación segura
Configuración: Programas de entrenamiento configurados con currículos integrales de seguridad, talleres de modelado de amenazas, y horarios regulares de entrenamiento para equipos de desarrollo
Threat Modeling and Security Design Training
Servicio: AWS Threat Modeling Workshop, Recursos de diseño de seguridad
Recurso: Metodologías de modelado de amenazas, patrones de diseño de seguridad, y entrenamiento de evaluación de riesgos
Configuración: Entrenamiento de modelado de amenazas configurado con talleres estructurados, principios de diseño de seguridad, y ejercicios prácticos de evaluación de amenazas
Secure Development Lifecycle Training
Servicio: Plataformas de entrenamiento DevSecOps, Recursos de codificación segura
Recurso: Prácticas de codificación segura, integración de seguridad SDLC, y procesos de revisión de seguridad
Configuración: Entrenamiento SDLC configurado con estándares de codificación segura, procedimientos de revisión de seguridad, e integración de seguridad a lo largo del ciclo de vida de desarrollo
Self-Service Security Guidance and Resources
Servicio: Sistemas de gestión de conocimiento, Plataformas de documentación
Recurso: Documentación de guía de seguridad, ejemplos de código, y plantillas de seguridad
Configuración: Recursos de autoservicio configurados con guía integral de seguridad, plantillas de seguridad reutilizables, y documentación accesible para equipos de desarrollo
Security Awareness and Culture Programs
Servicio: Plataformas de conciencia de seguridad, Sistemas de gamificación
Recurso: Campañas de conciencia de seguridad, eventos bug bash, y días de juego de seguridad
Configuración: Programas de cultura de seguridad configurados con campañas regulares de conciencia, ejercicios prácticos de seguridad, e iniciativas continuas de educación en seguridad</t>
  </si>
  <si>
    <t>Validar la existencia de adiestramiento periódico en modelado de amenazas y codificación segura ofrecida a los ingenieros de desarrollo.
Programa Integral de Entrenamiento de Seguridad Verificar que programa integral de entrenamiento de seguridad esté establecido con horarios regulares de entrenamiento y contenido diverso de entrenamiento. Cumplimiento indica programa estructurado de entrenamiento con cursos de modelado de amenazas, entrenamiento de codificación segura, y actualizaciones regulares de entrenamiento. Incumplimiento evidenciado por programas de entrenamiento faltantes, entrenamiento ad-hoc o contenido inadecuado de entrenamiento.
Capacidades de Modelado de Amenazas y Diseño de Seguridad Verificar que capacidades de modelado de amenazas y diseño de seguridad estén desarrolladas a través de entrenamiento estructurado y ejercicios prácticos. Cumplimiento indica entrenamiento integral de modelado de amenazas con talleres prácticos, principios de diseño de seguridad, y ejercicios prácticos de evaluación de amenazas. Incumplimiento evidenciado por entrenamiento de modelado de amenazas faltante, entrenamiento solo teórico o falta de aplicación práctica.
Entrenamiento e Integración de Procesos de Revisión de Seguridad Verificar que entrenamiento de procesos de revisión de seguridad esté integrado en flujos de trabajo de desarrollo con responsabilidades y procedimientos claros. Cumplimiento indica entrenamiento integral de revisión de seguridad con procesos definidos, responsabilidades claras, e integración en SDLC. Incumplimiento evidenciado por entrenamiento de revisión de seguridad faltante, procesos poco claros o falta de integración SDLC.
Recursos y Guía de Seguridad de Autoservicio Verificar que recursos de seguridad de autoservicio estén disponibles y regularmente actualizados con guía práctica y ejemplos. Cumplimiento indica recursos integrales de autoservicio con guía de seguridad, ejemplos de código, plantillas, y actualizaciones regulares. Incumplimiento evidenciado por recursos de autoservicio faltantes, guía desactualizada o falta de ejemplos prácticos.
Aprendizaje Continuo de Seguridad y Mejora Verificar que programas de aprendizaje continuo de seguridad estén implementados con mecanismos de retroalimentación y procesos de mejora. Cumplimiento indica cultura de aprendizaje continuo con recolección regular de retroalimentación, mejoras de entrenamiento, y seguimiento de desarrollo de habilidades de seguridad. Incumplimiento evidenciado por programas de entrenamiento estáticos, mecanismos de retroalimentación faltantes o falta de mejora continua.</t>
  </si>
  <si>
    <t>Training Documentation and Resources
aws s3api list-objects-v2 --bucket &lt;training-resources-bucket&gt; --prefix security-training/ --query 'Contents[*].[Key,LastModified,Size]'
aws s3api get-object-tagging --bucket &lt;training-bucket&gt; --key &lt;training-material&gt; --query 'TagSet[*].[Key,Value]'
aws ssm get-parameters --names "/training/security-curriculum" "/training/threat-modeling" --query 'Parameters[*].[Name,Value]'
Security Training Delivery and Tracking
aws lambda list-functions --query 'Functions[?contains(FunctionName, `training`) || contains(FunctionName, `security`)][FunctionName,Runtime,LastModified]'
aws dynamodb list-tables --query 'TableNames[?contains(@, `training`) || contains(@, `security`)]'
aws dynamodb scan --table-name &lt;training-tracking-table&gt; --query 'Items[*].[UserId.S,TrainingModule.S,CompletionDate.S]' --max-items 10
Self-Service Security Resources
aws s3api list-objects-v2 --bucket &lt;security-guidance-bucket&gt; --prefix guidance/ --query 'Contents[*].[Key,LastModified]'
aws codecommit list-repositories --query 'repositories[?contains(repositoryName, `security`) || contains(repositoryName, `template`)][repositoryName,repositoryDescription]'
aws servicecatalog list-portfolios --query 'PortfolioDetails[*].[Id,DisplayName,Description]'
Security Awareness and Culture Programs
aws events list-rules --query 'Rules[?contains(Name, `security`) || contains(Name, `training`)][Name,State,ScheduleExpression]'
aws sns list-topics --query 'Topics[?contains(TopicArn, `security`) || contains(TopicArn, `training`)].TopicArn'
aws cloudwatch describe-alarms --query 'MetricAlarms[?contains(AlarmName, `Training`) || contains(AlarmName, `Security`)][AlarmName,StateValue]'
Development Team Security Integration
aws iam list-roles --query 'Roles[?contains(RoleName, `Developer`) || contains(RoleName, `Security`)][RoleName,CreateDate]'
aws iam list-policies --scope Local --query 'Policies[?contains(PolicyName, `Security`) || contains(PolicyName, `Training`)][PolicyName,CreateDate]'
aws organizations list-accounts --query 'Accounts[*].[Id,Name,Status]'
Security Review Process Documentation
aws s3api list-objects-v2 --bucket &lt;security-process-bucket&gt; --prefix processes/ --query 'Contents[*].[Key,LastModified]'
aws ssm list-documents --filters Key=DocumentType,Values=Command --query 'DocumentIdentifiers[?contains(Name, `security`)][Name,DocumentType]'
aws stepfunctions list-state-machines --query 'stateMachines[?contains(name, `security`) || contains(name, `review`)][name,status,creationDate]'
Training Feedback and Improvement Systems
aws dynamodb scan --table-name &lt;feedback-table&gt; --query 'Items[*].[TrainingModule.S,Rating.N,Feedback.S]' --max-items 10
aws logs describe-log-groups --log-group-name-prefix /aws/lambda --query 'LogGroups[?contains(LogGroupName, `training`)][LogGroupName,RetentionInDays]'
aws cloudtrail lookup-events --lookup-attributes AttributeKey=EventName,AttributeValue=PutObject --start-time $(date -d '30 days ago' -I) --query 'Events[?contains(Resources[0].ResourceName, `training`)][EventTime,Username,Resources]' --max-items 5
Security Skills Assessment and Tracking
aws s3api list-objects-v2 --bucket &lt;assessment-bucket&gt; --prefix assessments/ --query 'Contents[*].[Key,LastModified]'
aws dynamodb scan --table-name &lt;skills-tracking-table&gt; --query 'Items[*].[UserId.S,SkillLevel.S,LastAssessment.S]' --max-items 10
aws cloudwatch list-metrics --namespace Custom/Training --query 'Metrics[*].[MetricName,Namespace]'
Security Template and Code Example Resources
aws cloudformation list-stacks --query 'StackSummaries[?contains(StackName, `security`) || contains(StackName, `template`)][StackName,StackStatus,CreationTime]' --max-items 10
aws s3api list-objects-v2 --bucket &lt;code-examples-bucket&gt; --prefix examples/ --query 'Contents[*].[Key,LastModified]'
aws servicecatalog list-products --query 'ProductViewSummaries[*].[ProductId,Name,ShortDescription]' --max-items 10</t>
  </si>
  <si>
    <r>
      <rPr>
        <b/>
        <u/>
        <sz val="11"/>
        <color rgb="FF000000"/>
        <rFont val="Montserrat"/>
      </rPr>
      <t>SEC11-BP02</t>
    </r>
    <r>
      <rPr>
        <u/>
        <sz val="11"/>
        <color rgb="FF000000"/>
        <rFont val="Montserrat"/>
      </rPr>
      <t xml:space="preserve"> Automatice las pruebas a lo largo del ciclo de vida de desarrollo y lanzamiento</t>
    </r>
  </si>
  <si>
    <t>Automatice las pruebas de las propiedades de seguridad a lo largo del ciclo de vida de desarrollo y lanzamiento. La automatización facilita la identificación coherente y repetible de posibles problemas en el software antes de su lanzamiento, lo que reduce el riesgo de problemas de seguridad en el software suministrado.</t>
  </si>
  <si>
    <t>AWS CodeBuild, SAST/DAST.
CI/CD Pipeline Security Testing Integration
Servicio: AWS CodePipeline, AWS CodeBuild, AWS CodeCommit
Recurso: Pipelines CI/CD, proyectos de construcción, y repositorios de código fuente
Configuración: Pipelines CI/CD configurados con pruebas de seguridad integradas, escaneos automatizados de seguridad, y mecanismos de bloqueo de pipeline para problemas de seguridad
Static Application Security Testing (SAST)
Servicio: Amazon CodeGuru Security, Amazon Q Developer
Recurso: Análisis estático de código, detección de vulnerabilidades de seguridad, e integración IDE
Configuración: Herramientas SAST configuradas con escaneo automatizado de código, integración IDE, y retroalimentación de seguridad en tiempo real durante desarrollo
Dynamic Application Security Testing (DAST)
Servicio: AWS Lambda, Amazon Inspector, Herramientas DAST de terceros
Recurso: Pruebas de seguridad en tiempo de ejecución, escaneo de vulnerabilidades de aplicaciones, y análisis de comportamiento
Configuración: Herramientas DAST configuradas con pruebas automatizadas en tiempo de ejecución, escaneo de aplicaciones, e integración con pipelines de despliegue
Software Bill of Materials (SBOM) Generation
Servicio: Amazon Inspector SBOM Generator
Recurso: Seguimiento de dependencias, gestión de vulnerabilidades, y seguridad de cadena de suministro
Configuración: Generación SBOM configurada con análisis automatizado de dependencias, seguimiento de vulnerabilidades, e integración con pipelines CI/CD
Security Test Results Management
Servicio: Sistemas de seguimiento de problemas, AWS Systems Manager, Servicios de notificación
Recurso: Seguimiento de resultados de pruebas, guía de remediación, y notificaciones automatizadas
Configuración: Gestión de resultados configurada con seguimiento automatizado de problemas, enlaces de guía de remediación, y sistemas de notificación para hallazgos de seguridad</t>
  </si>
  <si>
    <t>Revisar el uso de inspección de vulnerabilidades integradas al ciclo de desarrollo del código para descubrir fallas antes de implementar a producción.
Integración Integral de Pruebas de Seguridad CI/CD Verificar que pruebas integrales de seguridad estén integradas a lo largo de pipelines CI/CD con escaneo automatizado y mecanismos de retroalimentación. Cumplimiento indica integración completa de pruebas de seguridad con SAST, DAST, escaneo de dependencias, y bucles automatizados de retroalimentación. Incumplimiento evidenciado por pruebas de seguridad faltantes, pruebas solo manuales o integración inadecuada de pipeline.
Análisis de Código Estático e Integración IDE Verificar que análisis de código estático esté implementado con integración IDE y capacidades de retroalimentación en tiempo real. Cumplimiento indica implementación integral SAST con CodeGuru Security, integración IDE, y retroalimentación de seguridad en tiempo real. Incumplimiento evidenciado por análisis estático faltante, falta de integración IDE o mecanismos de retroalimentación retrasados.
Pruebas Dinámicas y Validación de Seguridad en Tiempo de Ejecución Verificar que pruebas dinámicas estén implementadas con validación de seguridad en tiempo de ejecución y análisis de comportamiento. Cumplimiento indica implementación integral DAST con pruebas en tiempo de ejecución, escaneo de aplicaciones, e integración con procesos de despliegue. Incumplimiento evidenciado por pruebas dinámicas faltantes, análisis solo estático o falta de validación en tiempo de ejecución.
Seguridad Automatizada de Dependencias y Cadena de Suministro Verificar que escaneo automatizado de dependencias y generación SBOM estén implementados para seguridad de cadena de suministro. Cumplimiento indica gestión integral de dependencias con generación SBOM, seguimiento de vulnerabilidades, y evaluación de riesgo de cadena de suministro. Incumplimiento evidenciado por escaneo de dependencias faltante, procesos SBOM manuales o seguridad inadecuada de cadena de suministro.
Gestión de Resultados de Pruebas de Seguridad y Remediación Verificar que resultados de pruebas de seguridad estén apropiadamente gestionados con seguimiento automatizado y guía de remediación. Cumplimiento indica gestión integral de resultados con seguimiento automatizado de problemas, guía de remediación, y monitoreo de progreso. Incumplimiento evidenciado por gestión de resultados faltante, seguimiento manual o falta de guía de remediación.</t>
  </si>
  <si>
    <t xml:space="preserve">CI/CD Pipeline Security Integration Assessment
aws codepipeline list-pipelines --query 'pipelines[*].[name,created,updated]'
aws codepipeline get-pipeline --name &lt;pipeline-name&gt; --query '[pipeline.stages[*].actions[*].actionTypeId.provider]'
aws codebuild list-projects --query 'projects[*]'
aws codebuild batch-get-projects --names &lt;project-name&gt; --query 'projects[*].[name,source.buildspec,environment.image]'
Static Application Security Testing Tools
aws codeguru-security list-scans --query 'summaries[*].[scanName,scanState,createdAt,updatedAt]' --max-items 10
aws codeguru-security get-scan --scan-name &lt;scan-name&gt; --query '[scanName,scanState,analysisType,resourceId]'
aws lambda list-functions --query 'Functions[?contains(FunctionName, `security`) || contains(FunctionName, `scan`)][FunctionName,Runtime,LastModified]'
Dynamic Application Security Testing Integration
aws inspector2 list-findings --query 'findings[*].[findingArn,severity,status,type]' --max-items 10
aws inspector2 describe-organization-configuration --query '[autoEnable,maxAccountLimitReached]'
aws lambda list-functions --query 'Functions[?contains(FunctionName, `dast`) || contains(FunctionName, `dynamic`)][FunctionName,Runtime,LastModified]'
Software Bill of Materials (SBOM) Generation
aws inspector2 list-sbom-exports --query 'sbomExports[*].[reportId,format,s3Destination,status]' --max-items 10
aws s3api list-objects-v2 --bucket &lt;sbom-bucket&gt; --prefix sbom/ --query 'Contents[*].[Key,LastModified,Size]'
aws codebuild list-builds --query 'ids[*]' --max-items 10
Security Testing Results and Issue Tracking
aws ssm describe-parameters --query 'Parameters[?contains(Name, `security`) || contains(Name, `testing`)][Name,Type,LastModifiedDate]'
aws sns list-topics --query 'Topics[?contains(TopicArn, `security`) || contains(TopicArn, `testing`)].TopicArn'
aws events list-rules --query 'Rules[?contains(Name, `security`) || contains(Name, `testing`)][Name,State,EventPattern]'
Code Repository Security Configuration
aws codecommit list-repositories --query 'repositories[*].[repositoryName,repositoryDescription,lastModifiedDate]'
aws codecommit get-repository --repository-name &lt;repo-name&gt; --query '[repositoryMetadata.repositoryName,repositoryMetadata.defaultBranch]'
aws codecommit list-pull-requests --repository-name &lt;repo-name&gt; --query 'pullRequestIds[*]' --max-items 5
Automated Security Testing Metrics
aws cloudwatch describe-alarms --query 'MetricAlarms[?contains(AlarmName, `Security`) || contains(AlarmName, `Testing`)][AlarmName,StateValue,MetricName]'
aws cloudwatch list-metrics --namespace AWS/CodeBuild --query 'Metrics[*].[MetricName,Namespace]'
aws logs describe-log-groups --log-group-name-prefix /aws/codebuild --query 'LogGroups[*].[LogGroupName,RetentionInDays]' --max-items 10
Security Testing Tool Configuration
aws ssm get-parameters --names "/security-testing/sast-config" "/security-testing/dast-config" --query 'Parameters[*].[Name,Value]'
aws lambda get-function-configuration --function-name &lt;security-testing-function&gt; --query '[FunctionName,Environment.Variables,Timeout]'
aws stepfunctions list-state-machines --query 'stateMachines[?contains(name, `security`) || contains(name, `testing`)][name,status,creationDate]'
Pipeline Security Gates and Blocking
aws codepipeline get-pipeline-state --name &lt;pipeline-name&gt; --query '[pipelineName,stageStates[*].[stageName,latestExecution.status]]'
aws codebuild batch-get-builds --ids &lt;build-id&gt; --query 'builds[*].[buildStatus,phases[*].[phaseType,phaseStatus]]'
aws cloudtrail lookup-events --lookup-attributes AttributeKey=EventName,AttributeValue=StartBuild --start-time $(date -d '7 days ago' -I) --query 'Events[*].[EventTime,Username,Resources]' --max-items 5
</t>
  </si>
  <si>
    <r>
      <rPr>
        <b/>
        <u/>
        <sz val="11"/>
        <color rgb="FF000000"/>
        <rFont val="Montserrat"/>
      </rPr>
      <t>SEC11-BP03</t>
    </r>
    <r>
      <rPr>
        <u/>
        <sz val="11"/>
        <color rgb="FF000000"/>
        <rFont val="Montserrat"/>
      </rPr>
      <t xml:space="preserve"> Realizar pruebas de penetración regulares</t>
    </r>
  </si>
  <si>
    <t>Lleve a cabo pruebas de penetración periódicas de su software. Este mecanismo ayuda a identificar posibles problemas de software que no pueden detectarse mediante pruebas automatizadas o una revisión manual del código. También puede ayudarle a comprender la eficacia de sus controles de detección. Las pruebas de penetración deben tratar de determinar si se puede hacer que el software lleve a cabo operaciones inesperadas, como exponer datos que deberían estar protegidos o conceder permisos más amplios de lo esperado.</t>
  </si>
  <si>
    <t>Informes de Pen Test.
Penetration Testing Planning and Scoping
Servicio: Sistemas de gestión de proyectos, Herramientas de modelado de amenazas
Recurso: Horarios de pruebas, definiciones de alcance, e integración de modelos de amenazas
Configuración: Programas de pruebas de penetración configurados con procesos estructurados de alcance, pruebas basadas en modelos de amenazas, y horarios regulares de pruebas alineados con ciclos de desarrollo
Penetration Testing Tools and Automation
Servicio: AWS Fargate, Herramientas de pruebas de seguridad, Marcos de automatización
Recurso: Plataformas de pruebas de penetración, herramientas automatizadas de pruebas, y entornos de pruebas
Configuración: Infraestructura de pruebas configurada con herramientas automatizadas de pruebas de penetración, entornos de pruebas aislados, e integración con flujos de trabajo de desarrollo
AWS Penetration Testing Compliance
Servicio: Políticas de pruebas de penetración AWS, Marcos de cumplimiento
Recurso: Permisos de pruebas de penetración AWS, documentación de cumplimiento, y aprobaciones de pruebas
Configuración: Pruebas de penetración AWS configuradas con permisos apropiados, cumplimiento con políticas AWS, y procedimientos de pruebas documentados
Third-Party Security Testing Services
Servicio: AWS Security Competency Partners, Servicios externos de pruebas
Recurso: Servicios profesionales de pruebas de penetración, experiencia especializada en seguridad, y evaluaciones independientes
Configuración: Servicios de terceros configurados con socios de seguridad calificados, alcances de pruebas definidos, y horarios regulares de compromiso
Penetration Testing Results Management
Servicio: Sistemas de seguimiento de problemas, Plataformas de gestión de remediación
Recurso: Hallazgos de pruebas, seguimiento de remediación, y procesos de mejora
Configuración: Gestión de resultados configurada con análisis sistemático de hallazgos, seguimiento de remediación, y procesos de mejora continua</t>
  </si>
  <si>
    <t>Auditar la constancia con la que se ejecutan ejercicios de hacking ético a la lógica de negocio para relevar flaquezas indetectables por software automático.
Programa Estructurado de Pruebas de Penetración Verificar que programa estructurado de pruebas de penetración esté establecido con horarios regulares de pruebas e integración de modelos de amenazas. Cumplimiento indica programa integral de pruebas con alcance estructurado, pruebas basadas en modelos de amenazas, y cadencia regular de pruebas. Incumplimiento evidenciado por pruebas ad-hoc, integración de modelos de amenazas faltante o horarios irregulares de pruebas.
Tiempo Apropiado de Pruebas e Integración Verificar que pruebas de penetración estén apropiadamente programadas dentro de ciclos de desarrollo con tiempo adecuado de remediación. Cumplimiento indica pruebas bien programadas con cambios mínimos esperados en aplicaciones, tiempo suficiente de remediación, e integración con ciclos de lanzamiento. Incumplimiento evidenciado por programación deficiente, tiempo insuficiente de remediación o falta de integración con ciclos de desarrollo.
Cobertura y Alcance Integral de Pruebas Verificar que cobertura de pruebas de penetración sea integral incluyendo lógica de negocio, dependencias de terceros, y funcionalidad de aplicaciones. Cumplimiento indica alcance integral de pruebas con evaluación de lógica de negocio, pruebas de componentes de terceros, y cobertura completa de aplicaciones. Incumplimiento evidenciado por alcance limitado de pruebas, pruebas de lógica de negocio faltantes o cobertura inadecuada de dependencias.
Entrenamiento de Constructores y Guía de Remediación Verificar que constructores estén entrenados en hallazgos de pruebas de penetración y procesos de remediación. Cumplimiento indica programa integral de entrenamiento con educación en pruebas de penetración, guía de remediación, y expectativas claras. Incumplimiento evidenciado por entrenamiento faltante, guía de remediación poco clara o preparación inadecuada de constructores.
Análisis Sistemático y Mejora Continua Verificar que análisis sistemático de hallazgos de pruebas de penetración esté implementado con procesos de mejora continua. Cumplimiento indica análisis integral con identificación de problemas sistémicos, mejoras de pruebas automatizadas, y educación continua de constructores. Incumplimiento evidenciado por análisis sistemático faltante, falta de procesos de mejora o bucles de retroalimentación inadecuados.</t>
  </si>
  <si>
    <t xml:space="preserve">Penetration Testing Documentation and Planning
aws s3api list-objects-v2 --bucket &lt;penetration-testing-bucket&gt; --prefix testing-plans/ --query 'Contents[*].[Key,LastModified,Size]'
aws ssm get-parameters --names "/penetration-testing/schedule" "/penetration-testing/scope" --query 'Parameters[*].[Name,Value]'
aws s3api get-object-tagging --bucket &lt;testing-bucket&gt; --key &lt;testing-plan&gt; --query 'TagSet[*].[Key,Value]'
Testing Environment and Infrastructure
aws ec2 describe-instances --filters Name=tag:Purpose,Values=PenetrationTesting --query 'Reservations[*].Instances[*].[InstanceId,InstanceType,State.Name,Tags[?Key==`Name`].Value]'
aws ecs list-clusters --query 'clusterArns[?contains(@, `pentest`) || contains(@, `security`)]'
aws fargate list-tasks --cluster &lt;pentest-cluster&gt; --query 'taskArns[*]'
AWS Penetration Testing Compliance
aws organizations describe-organization --query '[Organization.Id,Organization.MasterAccountId]'
aws iam list-policies --scope Local --query 'Policies[?contains(PolicyName, `PenetrationTesting`) || contains(PolicyName, `SecurityTesting`)][PolicyName,CreateDate]'
aws support describe-services --language en --query 'services[*].[code,name]' --max-items 5
Security Testing Tools and Automation
aws lambda list-functions --query 'Functions[?contains(FunctionName, `pentest`) || contains(FunctionName, `security-test`)][FunctionName,Runtime,LastModified]'
aws stepfunctions list-state-machines --query 'stateMachines[?contains(name, `pentest`) || contains(name, `security-test`)][name,status,creationDate]'
aws events list-rules --query 'Rules[?contains(Name, `pentest`) || contains(Name, `security-test`)][Name,State,EventPattern]'
Third-Party Security Services Integration
aws s3api list-objects-v2 --bucket &lt;security-partners-bucket&gt; --prefix partners/ --query 'Contents[*].[Key,LastModified]'
aws ssm get-parameters --names "/security-testing/partners" "/security-testing/external-services" --query 'Parameters[*].[Name,Value]'
aws iam list-roles --query 'Roles[?contains(RoleName, `SecurityPartner`) || contains(RoleName, `ExternalTesting`)][RoleName,CreateDate]'
Penetration Testing Results and Findings
aws s3api list-objects-v2 --bucket &lt;pentest-results-bucket&gt; --prefix results/ --query 'Contents[*].[Key,LastModified]'
aws dynamodb list-tables --query 'TableNames[?contains(@, `pentest`) || contains(@, `security-findings`)]'
aws dynamodb scan --table-name &lt;pentest-findings-table&gt; --query 'Items[*].[FindingId.S,Severity.S,Status.S]' --max-items 10
Testing Schedule and Automation
aws events list-rules --query 'Rules[?contains(Name, `pentest`) &amp;&amp; contains(ScheduleExpression, `rate`)][Name,ScheduleExpression,State]'
aws cloudwatch describe-alarms --query 'MetricAlarms[?contains(AlarmName, `PenetrationTest`) || contains(AlarmName, `SecurityTest`)][AlarmName,StateValue]'
aws ssm describe-automation-executions --query 'AutomationExecutions[?contains(DocumentName, `pentest`)][AutomationExecutionId,DocumentName,AutomationExecutionStatus]' --max-items 5
Builder Training and Remediation Tracking
aws s3api list-objects-v2 --bucket &lt;training-materials-bucket&gt; --prefix pentest-training/ --query 'Contents[*].[Key,LastModified]'
aws dynamodb scan --table-name &lt;remediation-tracking-table&gt; --query 'Items[*].[FindingId.S,RemediationStatus.S,AssignedTo.S]' --max-items 10
aws sns list-topics --query 'Topics[?contains(TopicArn, `pentest`) || contains(TopicArn, `security-findings`)].TopicArn'
Continuous Improvement and Analysis
aws s3api list-objects-v2 --bucket &lt;analysis-reports-bucket&gt; --prefix analysis/ --query 'Contents[*].[Key,LastModified]'
aws cloudwatch list-metrics --namespace Custom/PenetrationTesting --query 'Metrics[*].[MetricName,Namespace]'
aws logs describe-log-groups --log-group-name-prefix /aws/lambda --query 'LogGroups[?contains(LogGroupName, `pentest`)][LogGroupName,RetentionInDays]'
</t>
  </si>
  <si>
    <r>
      <rPr>
        <b/>
        <sz val="11"/>
        <color rgb="FF000000"/>
        <rFont val="Montserrat"/>
      </rPr>
      <t>SEC11-BP04</t>
    </r>
    <r>
      <rPr>
        <sz val="11"/>
        <color rgb="FF000000"/>
        <rFont val="Montserrat"/>
      </rPr>
      <t xml:space="preserve"> Realizar revisiones de código</t>
    </r>
  </si>
  <si>
    <t>Implemente revisiones de código para ayudar a verificar la calidad y la seguridad del software que se está desarrollando. En las revisiones del código, otros miembros del equipo, además del autor del código original, revisan el código para detectar posibles problemas o vulnerabilidades y comprobar que cumpla con los estándares y las prácticas recomendadas de codificación. Este proceso ayuda a detectar errores, incoherencias y fallos de seguridad que el desarrollador original podría haber pasado por alto. Use herramientas automatizadas para que lo ayuden con las revisiones del código.</t>
  </si>
  <si>
    <t>Amazon CodeGuru, Pull Requests.
Code Review Process and Workflow Integration
Servicio: AWS CodeCommit, GitHub, GitLab
Recurso: Flujos de trabajo de pull requests, reglas de protección de ramas, y requisitos de revisión
Configuración: Repositorios de código configurados con procesos obligatorios de revisión de código, reglas de protección de ramas, y flujos de trabajo de aprobación antes de fusión o despliegue
Automated Code Review Tools
Servicio: Amazon CodeGuru Security, Amazon CodeGuru Reviewer
Recurso: Análisis automatizado de código, detección de vulnerabilidades de seguridad, y evaluación de calidad de código
Configuración: Herramientas de revisión automatizada configuradas con integración CodeGuru Security, escaneo automatizado de seguridad, y recomendaciones inteligentes de código
Manual Code Review Guidelines and Standards
Servicio: Sistemas de documentación, Listas de verificación de revisión de código
Recurso: Guías de revisión, listas de verificación de seguridad, y estándares de codificación
Configuración: Estándares de revisión configurados con listas integrales de verificación de seguridad, documentación de estándares de codificación, y materiales de entrenamiento para revisores
Code Review Training and Knowledge Transfer
Servicio: Plataformas de entrenamiento, Sistemas de gestión de conocimiento
Recurso: Programas de entrenamiento para revisores, conciencia de seguridad, y documentación de mejores prácticas
Configuración: Programas de entrenamiento configurados con mejores prácticas de revisión de código, conciencia de vulnerabilidades de seguridad, y educación continua para revisores
Code Review Metrics and Quality Tracking
Servicio: Plataformas de análisis, Tableros de métricas
Recurso: Métricas de revisión, indicadores de calidad, y seguimiento de mejoras
Configuración: Sistemas de métricas configurados con seguimiento de efectividad de revisión de código, mediciones de calidad, y procesos de mejora continua</t>
  </si>
  <si>
    <t>Verificar rutinas en las que, además de herramientas automatizadas, expertos del equipo repasen el desarrollo de sus colegas en busca de fisuras.
Implementación de Proceso Obligatorio de Revisión de Código Verificar que proceso obligatorio de revisión de código esté implementado con integración apropiada de flujo de trabajo y requisitos de aprobación. Cumplimiento indica proceso integral de revisión con revisiones obligatorias antes del despliegue, flujos de trabajo apropiados de aprobación, e integración con prácticas de desarrollo. Incumplimiento evidenciado por requisitos de revisión faltantes, revisiones opcionales o integración inadecuada de flujo de trabajo.
Integración de Revisión Automatizada y Manual Verificar que procesos de revisión automatizada y manual estén apropiadamente integrados con cobertura integral. Cumplimiento indica integración efectiva con CodeGuru Security, procesos de revisión manual, y análisis integral de código. Incumplimiento evidenciado por herramientas automatizadas faltantes, revisiones solo manuales o integración inadecuada.
Guías de Revisión Enfocadas en Seguridad y Entrenamiento Verificar que guías de revisión enfocadas en seguridad estén establecidas con entrenamiento apropiado de revisores. Cumplimiento indica guías integrales de seguridad con listas de verificación de seguridad, revisores entrenados, y procesos de revisión conscientes de seguridad. Incumplimiento evidenciado por enfoque de seguridad faltante, revisores no entrenados o guías de seguridad inadecuadas.
Mejora de Calidad y Consistencia de Código Verificar que procesos de revisión de código mejoren efectivamente la calidad y consistencia del código a través de equipos de desarrollo. Cumplimiento indica mejora demostrada de calidad con prácticas consistentes de codificación, defectos reducidos, y mantenibilidad mejorada del código. Incumplimiento evidenciado por calidad inconsistente del código, problemas recurrentes o falta de seguimiento de mejoras.
Transferencia de Conocimiento y Colaboración de Equipo Verificar que procesos de revisión de código faciliten transferencia efectiva de conocimiento y colaboración de equipo. Cumplimiento indica compartición efectiva de conocimiento con habilidades mejoradas del equipo, cultura colaborativa de revisión, y aprendizaje continuo. Incumplimiento evidenciado por transferencia deficiente de conocimiento, desarrollo aislado o falta de cultura colaborativa.</t>
  </si>
  <si>
    <t xml:space="preserve">Code Repository Review Configuration
aws codecommit list-repositories --query 'repositories[*].[repositoryName,repositoryDescription,lastModifiedDate]'
aws codecommit get-repository --repository-name &lt;repo-name&gt; --query '[repositoryMetadata.repositoryName,repositoryMetadata.defaultBranch]'
aws codecommit list-pull-requests --repository-name &lt;repo-name&gt; --query 'pullRequestIds[*]' --max-items 10
aws codecommit get-pull-request --pull-request-id &lt;pr-id&gt; --query '[pullRequest.pullRequestStatus,pullRequest.approvalRules]'
Automated Code Review Tools Integration
aws codeguru-reviewer list-repository-associations --query 'RepositoryAssociationSummaries[*].[AssociationId,RepositoryName,State]'
aws codeguru-reviewer describe-repository-association --association-arn &lt;association-arn&gt; --query '[RepositoryAssociation.State,RepositoryAssociation.StateReason]'
aws codeguru-security list-scans --query 'summaries[*].[scanName,scanState,createdAt,updatedAt]' --max-items 10
Code Review Process Documentation
aws s3api list-objects-v2 --bucket &lt;code-review-guidelines-bucket&gt; --prefix guidelines/ --query 'Contents[*].[Key,LastModified,Size]'
aws ssm get-parameters --names "/code-review/guidelines" "/code-review/checklist" --query 'Parameters[*].[Name,Value]'
aws s3api get-object-tagging --bucket &lt;guidelines-bucket&gt; --key &lt;guideline-file&gt; --query 'TagSet[*].[Key,Value]'
Code Review Training and Knowledge Management
aws s3api list-objects-v2 --bucket &lt;training-materials-bucket&gt; --prefix code-review-training/ --query 'Contents[*].[Key,LastModified]'
aws dynamodb list-tables --query 'TableNames[?contains(@, `training`) || contains(@, `review`)]'
aws dynamodb scan --table-name &lt;training-tracking-table&gt; --query 'Items[*].[UserId.S,TrainingModule.S,CompletionDate.S]' --max-items 10
Code Review Metrics and Analytics
aws cloudwatch describe-alarms --query 'MetricAlarms[?contains(AlarmName, `CodeReview`) || contains(AlarmName, `Quality`)][AlarmName,StateValue,MetricName]'
aws cloudwatch list-metrics --namespace Custom/CodeReview --query 'Metrics[*].[MetricName,Namespace]'
aws logs describe-log-groups --log-group-name-prefix /aws/codebuild --query 'LogGroups[*].[LogGroupName,RetentionInDays]' --max-items 5
CI/CD Pipeline Review Integration
aws codepipeline list-pipelines --query 'pipelines[*].[name,created,updated]'
aws codepipeline get-pipeline --name &lt;pipeline-name&gt; --query '[pipeline.stages[*].actions[*].actionTypeId.provider]'
aws codebuild list-projects --query 'projects[*]'
aws codebuild batch-get-projects --names &lt;project-name&gt; --query 'projects[*].[name,source.buildspec]'
Code Review Quality and Issue Tracking
aws dynamodb scan --table-name &lt;code-review-issues-table&gt; --query 'Items[*].[IssueId.S,Severity.S,Status.S,ReviewerId.S]' --max-items 10
aws sns list-topics --query 'Topics[?contains(TopicArn, `code-review`) || contains(TopicArn, `quality`)].TopicArn'
aws events list-rules --query 'Rules[?contains(Name, `code-review`) || contains(Name, `quality`)][Name,State,EventPattern]'
Branch Protection and Approval Rules
aws codecommit get-approval-rule-template --approval-rule-template-name &lt;template-name&gt; --query '[approvalRuleTemplateName,approvalRuleTemplateContent]'
aws codecommit list-approval-rule-templates --query 'approvalRuleTemplateNames[*]'
aws iam list-policies --scope Local --query 'Policies[?contains(PolicyName, `CodeReview`) || contains(PolicyName, `Repository`)][PolicyName,CreateDate]'
Code Review Automation and Workflow
aws lambda list-functions --query 'Functions[?contains(FunctionName, `code-review`) || contains(FunctionName, `quality`)][FunctionName,Runtime,LastModified]'
aws stepfunctions list-state-machines --query 'stateMachines[?contains(name, `code-review`) || contains(name, `quality`)][name,status,creationDate]'
aws cloudtrail lookup-events --lookup-attributes AttributeKey=EventName,AttributeValue=CreatePullRequest --start-time $(date -d '7 days ago' -I) --query 'Events[*].[EventTime,Username,Resources]' --max-items 5
</t>
  </si>
  <si>
    <r>
      <rPr>
        <b/>
        <sz val="11"/>
        <color rgb="FF000000"/>
        <rFont val="Montserrat"/>
      </rPr>
      <t>SEC11-BP05</t>
    </r>
    <r>
      <rPr>
        <sz val="11"/>
        <color rgb="FF000000"/>
        <rFont val="Montserrat"/>
      </rPr>
      <t xml:space="preserve"> Centralizar servicios para paquetes y dependencias</t>
    </r>
  </si>
  <si>
    <t>Proporcione servicios centralizados para que sus equipos obtengan paquetes de software y otras dependencias. De este modo, se podrán validar los paquetes antes de incluirlos en el software que escriba y se dispondrá de un origen de datos para el análisis del software que se utiliza en su organización.</t>
  </si>
  <si>
    <t>AWS CodeArtifact.
Centralized Package Repository Services
Servicio: AWS CodeArtifact, Amazon S3, Repositorios de paquetes privados
Recurso: Repositorios de paquetes, gestión de dependencias, y almacenamiento de artefactos
Configuración: Repositorios centralizados configurados con dominios AWS CodeArtifact, procesos de validación de paquetes, y controles de acceso seguros para equipos de desarrollo
Package Validation and Testing Automation
Servicio: AWS CodeBuild, AWS Lambda, Herramientas de escaneo de seguridad
Recurso: Pruebas automatizadas de paquetes, escaneo de seguridad, y flujos de trabajo de validación
Configuración: Sistemas de validación configurados con pruebas automatizadas de paquetes, escaneo de vulnerabilidades de seguridad, y flujos de trabajo de aprobación antes de publicación de paquetes
Package Metrics and Usage Tracking
Servicio: Amazon CloudWatch, Plataformas de análisis, Sistemas de monitoreo
Recurso: Métricas de uso de paquetes, seguimiento de dependencias, y análisis de consumo
Configuración: Sistemas de métricas configurados con seguimiento de uso de paquetes, análisis de dependencias, y monitoreo de consumo de equipos
Package Request and Approval Workflows
Servicio: AWS Systems Manager, Herramientas de automatización de flujos de trabajo
Recurso: Procesos de solicitud de paquetes, flujos de trabajo de aprobación, y mecanismos de retroalimentación
Configuración: Sistemas de solicitud configurados con flujos de trabajo automatizados de solicitud de paquetes, procesos de aprobación, y mecanismos de recolección de retroalimentación
Supply Chain Security and Vulnerability Management
Servicio: Amazon Inspector, Herramientas de escaneo de seguridad, Generación SBOM
Recurso: Escaneo de vulnerabilidades, análisis de cadena de suministro, y monitoreo de seguridad
Configuración: Sistemas de seguridad configurados con escaneo regular de vulnerabilidades, generación SBOM, y evaluación de riesgo de cadena de suministro</t>
  </si>
  <si>
    <t>Comprobar el uso central de repositorios unificados que permitan depurar dependencias o bibliotecas importadas antes de adjuntarse al código corporativo.
Implementación y Acceso de Repositorio Centralizado Verificar que repositorio centralizado de paquetes esté implementado con acceso fácil para equipos de desarrollo a través de todos los entornos. Cumplimiento indica implementación integral de repositorio con dominios CodeArtifact, acceso entre entornos, e integración con procesos de provisión de cuentas. Incumplimiento evidenciado por repositorios centralizados faltantes, acceso inconsistente o gestión manual de paquetes.
Validación y Pruebas Automatizadas de Paquetes Verificar que procesos automatizados de validación y pruebas de paquetes estén implementados antes de publicación. Cumplimiento indica validación integral con pruebas automatizadas, escaneo de seguridad, y flujos de trabajo de aprobación antes de disponibilidad de paquetes. Incumplimiento evidenciado por validación faltante, solo pruebas manuales o escaneo de seguridad inadecuado.
Métricas de Uso de Paquetes y Monitoreo Verificar que métricas integrales de uso de paquetes y monitoreo estén implementados para rastrear consumo e identificar tendencias. Cumplimiento indica recolección efectiva de métricas con seguimiento de uso, análisis de dependencias, y monitoreo de consumo de equipos. Incumplimiento evidenciado por métricas faltantes, visibilidad limitada o seguimiento inadecuado de uso.
Procesos Eficientes de Solicitud de Paquetes y Retroalimentación Verificar que procesos eficientes de solicitud de paquetes y retroalimentación estén establecidos para apoyar equipos de desarrollo. Cumplimiento indica procesos optimizados con flujos de trabajo automatizados de solicitud, aprobaciones oportunas, y mecanismos efectivos de retroalimentación. Incumplimiento evidenciado por procesos manuales de solicitud, aprobaciones lentas o sistemas de retroalimentación faltantes.
Escaneo Regular de Seguridad y Gestión de Vulnerabilidades Verificar que procesos regulares de escaneo de seguridad y gestión de vulnerabilidades estén implementados para identificar y abordar problemas de paquetes. Cumplimiento indica gestión integral de seguridad con escaneo regular, seguimiento de vulnerabilidades, y procesos oportunos de remediación. Incumplimiento evidenciado por escaneo de seguridad faltante, monitoreo irregular o respuesta inadecuada a vulnerabilidades.</t>
  </si>
  <si>
    <t xml:space="preserve">AWS CodeArtifact Repository Configuration
aws codeartifact list-domains --query 'domains[*].[name,status,createdTime]'
aws codeartifact list-repositories --query 'repositories[*].[name,domainName,description]'
aws codeartifact describe-repository --domain &lt;domain-name&gt; --repository &lt;repo-name&gt; --query '[repository.name,repository.upstreams,repository.externalConnections]'
aws codeartifact list-packages --domain &lt;domain-name&gt; --repository &lt;repo-name&gt; --query 'packages[*].[package,format]' --max-items 10
Package Repository Access and Permissions
aws codeartifact get-domain-permissions-policy --domain &lt;domain-name&gt; --query '[policy,resourceArn]'
aws codeartifact get-repository-permissions-policy --domain &lt;domain-name&gt; --repository &lt;repo-name&gt; --query '[policy,resourceArn]'
aws iam list-roles --query 'Roles[?contains(RoleName, `CodeArtifact`) || contains(RoleName, `Package`)][RoleName,CreateDate]'
Package Validation and Testing Infrastructure
aws codebuild list-projects --query 'projects[?contains(@, `package`) || contains(@, `validation`)]'
aws codebuild batch-get-projects --names &lt;validation-project&gt; --query 'projects[*].[name,source.buildspec,environment.image]'
aws lambda list-functions --query 'Functions[?contains(FunctionName, `package`) || contains(FunctionName, `validation`)][FunctionName,Runtime,LastModified]'
Package Metrics and Usage Tracking
aws cloudwatch describe-alarms --query 'MetricAlarms[?contains(AlarmName, `Package`) || contains(AlarmName, `Dependency`)][AlarmName,StateValue,MetricName]'
aws cloudwatch list-metrics --namespace AWS/CodeArtifact --query 'Metrics[*].[MetricName,Namespace]'
aws logs describe-log-groups --log-group-name-prefix /aws/codeartifact --query 'LogGroups[*].[LogGroupName,RetentionInDays]'
Package Request and Approval Workflows
aws stepfunctions list-state-machines --query 'stateMachines[?contains(name, `package`) || contains(name, `approval`)][name,status,creationDate]'
aws ssm list-documents --filters Key=DocumentType,Values=Automation --query 'DocumentIdentifiers[?contains(Name, `package`)][Name,DocumentType]'
aws events list-rules --query 'Rules[?contains(Name, `package`) || contains(Name, `dependency`)][Name,State,EventPattern]'
Security Scanning and Vulnerability Management
aws inspector2 list-findings --query 'findings[?contains(title, `package`) || contains(title, `dependency`)][findingArn,severity,status]' --max-items 10
aws s3api list-objects-v2 --bucket &lt;vulnerability-reports-bucket&gt; --prefix reports/ --query 'Contents[*].[Key,LastModified]'
aws dynamodb list-tables --query 'TableNames[?contains(@, `vulnerability`) || contains(@, `package`)]'
Supply Chain Security and SBOM Management
aws inspector2 list-sbom-exports --query 'sbomExports[*].[reportId,format,s3Destination,status]' --max-items 10
aws s3api list-objects-v2 --bucket &lt;sbom-bucket&gt; --prefix sbom/ --query 'Contents[*].[Key,LastModified,Size]'
aws ssm get-parameters --names "/package-management/sbom-config" "/package-management/security-policy" --query 'Parameters[*].[Name,Value]'
Package Repository Integration and Automation
aws codepipeline list-pipelines --query 'pipelines[?contains(name, `package`) || contains(name, `dependency`)][name,created,updated]'
aws sns list-topics --query 'Topics[?contains(TopicArn, `package`) || contains(TopicArn, `dependency`)].TopicArn'
aws cloudtrail lookup-events --lookup-attributes AttributeKey=EventName,AttributeValue=PublishPackageVersion --start-time $(date -d '30 days ago' -I) --query 'Events[*].[EventTime,Username,Resources]' --max-items 5
Cross-Environment Repository Access
aws organizations list-accounts --query 'Accounts[*].[Id,Name,Status]'
aws codeartifact describe-domain --domain &lt;domain-name&gt; --query '[domain.name,domain.status,domain.encryptionKey]'
aws iam list-policies --scope Local --query 'Policies[?contains(PolicyName, `CodeArtifact`) || contains(PolicyName, `Package`)][PolicyName,CreateDate]'
</t>
  </si>
  <si>
    <r>
      <rPr>
        <b/>
        <sz val="11"/>
        <color rgb="FF000000"/>
        <rFont val="Montserrat"/>
      </rPr>
      <t>SEC11-BP06</t>
    </r>
    <r>
      <rPr>
        <sz val="11"/>
        <color rgb="FF000000"/>
        <rFont val="Montserrat"/>
      </rPr>
      <t xml:space="preserve"> Implementar software programáticamente</t>
    </r>
  </si>
  <si>
    <t>Siempre que sea posible, lleve a cabo las implementaciones de software mediante programación. Con este enfoque se reduce la probabilidad de que se produzca un error en la implementación o de que surja un problema inesperado debido a un error humano.</t>
  </si>
  <si>
    <t>AWS CodeDeploy.
CI/CD Pipeline Infrastructure
Servicio: AWS CodePipeline, AWS CodeBuild, AWS CodeDeploy
Recurso: Pipelines de despliegue, proyectos de construcción, y procesos automatizados de despliegue
Configuración: Pipelines CI/CD configurados con flujos de trabajo automatizados de despliegue, integración de pruebas de seguridad, y procesos consistentes de despliegue a través de entornos
Multi-Account Environment Structure
Servicio: AWS Organizations, AWS Control Tower
Recurso: Separación de entornos, aislamiento de cuentas, y controles de acceso
Configuración: Estructura multi-cuenta configurada con cuentas separadas para entornos de desarrollo, staging, y producción con acceso humano restringido a producción
Software Package Signing and Verification
Servicio: AWS Signer, AWS Key Management Service (KMS)
Recurso: Firma de código, verificación criptográfica, e integridad de paquetes
Configuración: Infraestructura de firma configurada con AWS Signer para firma de código, claves KMS para operaciones criptográficas, y procesos de verificación
Configuration Externalization
Servicio: AWS Systems Manager Parameter Store, AWS Secrets Manager
Recurso: Gestión de configuración, parámetros específicos de entorno, y gestión de secretos
Configuración: Sistemas de configuración configurados con datos de configuración externalizados, parámetros específicos de entorno, y gestión segura de secretos
Blue/Green and Canary Deployment Strategies
Servicio: AWS CodeDeploy, Amazon ECS, AWS Lambda
Recurso: Estrategias de despliegue, cambio de tráfico, y capacidades de rollback
Configuración: Estrategias de despliegue configuradas con despliegues blue/green, lanzamientos canary, y mecanismos automatizados de rollback</t>
  </si>
  <si>
    <t>Garantizar que el despliegue del software dependa de sistemas orquestados minimizando el manejo de instalaciones manuales susceptibles de error humano.
Implementación Integral de Pipeline CI/CD Verificar que pipelines integrales CI/CD estén implementados con procesos automatizados de despliegue e integración de seguridad. Cumplimiento indica automatización completa de pipeline con CodePipeline, CodeBuild, integración de pruebas de seguridad, y procesos consistentes de despliegue. Incumplimiento evidenciado por despliegues manuales, automatización faltante o integración inadecuada de seguridad.
Separación de Entornos y Controles de Acceso Verificar que separación apropiada de entornos esté implementada con acceso humano restringido a entornos de producción. Cumplimiento indica separación integral de entornos con estructura multi-cuenta, acceso restringido a producción, y controles apropiados de acceso. Incumplimiento evidenciado por entornos compartidos, acceso humano persistente o controles inadecuados de acceso.
Firma de Paquetes de Software e Integridad Verificar que procesos de firma y verificación de paquetes de software estén implementados para asegurar integridad. Cumplimiento indica implementación integral de firma con AWS Signer, verificación criptográfica, y validación de integridad de paquetes. Incumplimiento evidenciado por paquetes sin firmar, verificación faltante o controles inadecuados de integridad.
Externalización y Gestión de Configuración Verificar que externalización de configuración esté apropiadamente implementada con gestión segura de configuración. Cumplimiento indica gestión integral de configuración con Parameter Store, configuración externalizada, y gestión segura de secretos. Incumplimiento evidenciado por configuración hardcodeada, externalización faltante o gestión insegura de configuración.
Estrategias Avanzadas de Despliegue y Rollback Verificar que estrategias avanzadas de despliegue estén implementadas con capacidades automatizadas de rollback. Cumplimiento indica estrategias integrales de despliegue con despliegues blue/green, lanzamientos canary, y mecanismos automatizados de rollback. Incumplimiento evidenciado por solo despliegues básicos, capacidades de rollback faltantes o estrategias inadecuadas de despliegue.</t>
  </si>
  <si>
    <t>CI/CD Pipeline Configuration Assessment
aws codepipeline list-pipelines --query 'pipelines[*].[name,created,updated]'
aws codepipeline get-pipeline --name &lt;pipeline-name&gt; --query '[pipeline.stages[*].name,pipeline.stages[*].actions[*].actionTypeId.provider]'
aws codebuild list-projects --query 'projects[*]'
aws codebuild batch-get-projects --names &lt;project-name&gt; --query 'projects[*].[name,source.type,artifacts.type,environment.type]'
Multi-Account Environment Structure
aws organizations describe-organization --query '[Organization.Id,Organization.MasterAccountId]'
aws organizations list-accounts --query 'Accounts[*].[Id,Name,Status,Email]'
aws sts get-caller-identity --query '[Account,UserId,Arn]'
aws iam list-roles --query 'Roles[?contains(RoleName, `CrossAccount`) || contains(RoleName, `Deploy`)][RoleName,CreateDate]'
Software Package Signing Infrastructure
aws signer list-signing-platforms --query 'platforms[*].[platformId,displayName,category]'
aws signer list-signing-jobs --query 'jobs[*].[jobId,source,status,createdAt]' --max-items 10
aws kms list-keys --query 'Keys[*].KeyId' --max-items 10
aws kms describe-key --key-id &lt;key-id&gt; --query '[KeyMetadata.KeyId,KeyMetadata.KeyUsage,KeyMetadata.KeySpec]'
Configuration Externalization Systems
aws ssm describe-parameters --query 'Parameters[*].[Name,Type,LastModifiedDate]' --max-items 20
aws ssm get-parameters --names &lt;parameter-name&gt; --query 'Parameters[*].[Name,Value,Type]'
aws secretsmanager list-secrets --query 'SecretList[*].[Name,Description,LastChangedDate]' --max-items 10
aws secretsmanager describe-secret --secret-id &lt;secret-name&gt; --query '[Name,Description,VersionIdsToStages]'
Deployment Strategy Configuration
aws codedeploy list-applications --query 'applications[*]'
aws codedeploy get-application --application-name &lt;app-name&gt; --query '[application.applicationName,application.computePlatform]'
aws codedeploy list-deployment-configs --query 'deploymentConfigsList[*]'
aws codedeploy get-deployment-config --deployment-config-name &lt;config-name&gt; --query '[deploymentConfigInfo.deploymentConfigName,deploymentConfigInfo.trafficRoutingConfig]'
Blue/Green and Canary Deployment Assessment
aws ecs list-services --cluster &lt;cluster-name&gt; --query 'serviceArns[*]'
aws ecs describe-services --cluster &lt;cluster-name&gt; --services &lt;service-name&gt; --query 'services[*].[serviceName,deploymentConfiguration,deployments[*].status]'
aws lambda list-functions --query 'Functions[*].[FunctionName,Runtime,LastModified]' --max-items 10
aws lambda get-alias --function-name &lt;function-name&gt; --name &lt;alias-name&gt; --query '[AliasArn,FunctionVersion,RoutingConfig]'
Deployment Monitoring and Logging
aws cloudwatch describe-alarms --query 'MetricAlarms[?contains(AlarmName, `Deploy`) || contains(AlarmName, `Pipeline`)][AlarmName,StateValue,MetricName]'
aws logs describe-log-groups --log-group-name-prefix /aws/codebuild --query 'LogGroups[*].[LogGroupName,RetentionInDays]' --max-items 10
aws cloudtrail lookup-events --lookup-attributes AttributeKey=EventName,AttributeValue=StartPipelineExecution --start-time $(date -d '7 days ago' -I) --query 'Events[*].[EventTime,Username,Resources]' --max-items 5
Infrastructure as Code Implementation
aws cloudformation list-stacks --query 'StackSummaries[*].[StackName,StackStatus,CreationTime]' --max-items 10
aws cloudformation describe-stack --stack-name &lt;stack-name&gt; --query '[Stacks[0].StackName,Stacks[0].StackStatus,Stacks[0].Parameters]'
aws s3api list-objects-v2 --bucket &lt;templates-bucket&gt; --prefix templates/ --query 'Contents[*].[Key,LastModified]'
Automated Rollback and Recovery Mechanisms
aws codedeploy list-deployments --application-name &lt;app-name&gt; --query 'deployments[*]' --max-items 10
aws codedeploy get-deployment --deployment-id &lt;deployment-id&gt; --query '[deploymentInfo.status,deploymentInfo.errorInformation,deploymentInfo.rollbackInfo]'
aws events list-rules --query 'Rules[?contains(Name, `rollback`) || contains(Name, `deployment`)][Name,State,EventPattern]'</t>
  </si>
  <si>
    <r>
      <rPr>
        <b/>
        <sz val="11"/>
        <color rgb="FF000000"/>
        <rFont val="Montserrat"/>
      </rPr>
      <t>SEC11-BP07</t>
    </r>
    <r>
      <rPr>
        <sz val="11"/>
        <color rgb="FF000000"/>
        <rFont val="Montserrat"/>
      </rPr>
      <t xml:space="preserve"> Evalúa regularmente las propiedades de seguridad de las tuberías</t>
    </r>
  </si>
  <si>
    <t>Aplique los principios del pilar de seguridad de Well-Architected a sus canalizaciones y preste especial atención a la separación de permisos. Evalúe periódicamente las propiedades de seguridad de su infraestructura de canalización. La administración eficaz de la seguridad de las canalizaciones le permite garantizar la seguridad del software que pasa por ellas.</t>
  </si>
  <si>
    <t>Políticas IAM en CI/CD.
Pipeline Security Architecture and Design
Servicio: AWS CodePipeline, AWS CodeBuild, AWS CodeDeploy
Recurso: Arquitectura de pipeline, controles de seguridad, y salvaguardas de despliegue
Configuración: Infraestructura de pipeline configurada con patrones seguros de arquitectura, pruebas de seguridad no evitables, y controles apropiados de despliegue de entornos
IAM Permissions and Access Controls
Servicio: AWS IAM, AWS IAM Access Analyzer
Recurso: Permisos de pipeline, acceso basado en roles, y políticas de menor privilegio
Configuración: Controles de acceso configurados con políticas IAM de menor privilegio, revisiones regulares de permisos, e integración IAM Access Analyzer para optimización de políticas
Pipeline Input Validation and Security Testing
Servicio: Herramientas de pruebas de seguridad, Sistemas de validación de entrada
Recurso: Mecanismos de validación de entrada, integración de pruebas de seguridad, y escaneo de vulnerabilidades
Configuración: Sistemas de validación configurados con validación integral de entrada, pruebas obligatorias de seguridad, y detección automatizada de vulnerabilidades
Credential Management and Authentication
Servicio: AWS Secrets Manager, AWS Systems Manager Parameter Store
Recurso: Gestión de credenciales, mecanismos de autenticación, y almacenamiento seguro de secretos
Configuración: Sistemas de credenciales configurados con gestión segura de credenciales, sin credenciales hardcodeadas, y rotación apropiada de secretos
Pipeline Monitoring and Alerting
Servicio: Amazon CloudWatch, Amazon EventBridge, AWS CloudTrail
Recurso: Monitoreo de pipeline, alertas de seguridad, y registro de auditoría
Configuración: Sistemas de monitoreo configurados con monitoreo integral de pipeline, alertas de eventos de seguridad, y pistas detalladas de auditoría</t>
  </si>
  <si>
    <t>Analizar asiduamente la seguridad intrínseca y segregación de perfiles operando el canal de despliegues para asegurar un traslado limpio de software.
Implementación de Arquitectura Segura de Pipeline Verificar que arquitectura segura de pipeline esté implementada con controles de seguridad no evitables y salvaguardas apropiadas. Cumplimiento indica arquitectura integral de seguridad con pruebas obligatorias de seguridad, controles apropiados de entornos, y salvaguardas de despliegue que no pueden ser evitadas. Incumplimiento evidenciado por pruebas de seguridad evitables, salvaguardas faltantes o controles inadecuados de arquitectura.
Permisos IAM de Menor Privilegio Verificar que permisos IAM de menor privilegio estén implementados con revisiones regulares y optimización. Cumplimiento indica gestión integral de permisos con políticas de menor privilegio, revisiones regulares IAM, y utilización de IAM Access Analyzer. Incumplimiento evidenciado por permisos excesivamente amplios, revisiones infrecuentes o análisis de acceso faltante.
Validación Integral de Entrada y Pruebas de Seguridad Verificar que validación integral de entrada y pruebas de seguridad estén integradas a lo largo de etapas de pipeline. Cumplimiento indica validación robusta con validación integral de entrada, pruebas obligatorias de seguridad, y detección automatizada de vulnerabilidades. Incumplimiento evidenciado por validación de entrada faltante, pruebas de seguridad opcionales o escaneo inadecuado de vulnerabilidades.
Prácticas Seguras de Gestión de Credenciales Verificar que prácticas seguras de gestión de credenciales estén implementadas sin credenciales hardcodeadas. Cumplimiento indica seguridad integral de credenciales con almacenamiento seguro de credenciales, gestión apropiada de secretos, y sin credenciales hardcodeadas en configuraciones de pipeline. Incumplimiento evidenciado por credenciales hardcodeadas, almacenamiento inseguro o rotación de credenciales faltante.
Monitoreo Continuo de Seguridad de Pipeline Verificar que monitoreo continuo de seguridad de pipeline esté implementado con capacidades de alertas y auditoría. Cumplimiento indica monitoreo integral con monitoreo de seguridad de pipeline, detección de actividad sospechosa, y registro integral de auditoría. Incumplimiento evidenciado por monitoreo faltante, alertas inadecuadas o pistas de auditoría insuficientes.</t>
  </si>
  <si>
    <t xml:space="preserve">Pipeline Security Architecture Assessment
aws codepipeline list-pipelines --query 'pipelines[*].[name,created,updated]'
aws codepipeline get-pipeline --name &lt;pipeline-name&gt; --query '[pipeline.stages[*].name,pipeline.stages[*].actions[*].configuration]'
aws codebuild list-projects --query 'projects[*]'
aws codebuild batch-get-projects --names &lt;project-name&gt; --query 'projects[*].[name,source.buildspec,environment.privilegedMode]'
IAM Permissions and Access Analysis
aws iam list-roles --query 'Roles[?contains(RoleName, `CodePipeline`) || contains(RoleName, `CodeBuild`)][RoleName,CreateDate]'
aws iam get-role --role-name &lt;pipeline-role&gt; --query '[Role.RoleName,Role.AssumeRolePolicyDocument]'
aws iam list-attached-role-policies --role-name &lt;pipeline-role&gt; --query 'AttachedPolicies[*].[PolicyName,PolicyArn]'
aws accessanalyzer list-analyzers --query 'analyzers[*].[name,status,type]'
Security Testing Integration Assessment
aws codeguru-security list-scans --query 'summaries[*].[scanName,scanState,createdAt]' --max-items 10
aws inspector2 list-findings --query 'findings[*].[findingArn,severity,status,type]' --max-items 10
aws ssm get-parameters --names "/pipeline/security-tests" "/pipeline/validation-rules" --query 'Parameters[*].[Name,Value]'
Credential Management and Security
aws secretsmanager list-secrets --query 'SecretList[?contains(Name, `pipeline`) || contains(Name, `build`)][Name,Description,LastChangedDate]'
aws ssm describe-parameters --query 'Parameters[?contains(Name, `pipeline`) || contains(Name, `build`)][Name,Type,LastModifiedDate]'
aws kms list-keys --query 'Keys[*].KeyId' --max-items 10
aws kms describe-key --key-id &lt;key-id&gt; --query '[KeyMetadata.KeyId,KeyMetadata.KeyUsage,KeyMetadata.Description]'
Pipeline Monitoring and Alerting
aws cloudwatch describe-alarms --query 'MetricAlarms[?contains(AlarmName, `Pipeline`) || contains(AlarmName, `CodeBuild`)][AlarmName,StateValue,MetricName]'
aws events list-rules --query 'Rules[?contains(Name, `pipeline`) || contains(Name, `codebuild`)][Name,State,EventPattern]'
aws logs describe-log-groups --log-group-name-prefix /aws/codebuild --query 'LogGroups[*].[LogGroupName,RetentionInDays]' --max-items 10
Pipeline Audit and Compliance Tracking
aws cloudtrail lookup-events --lookup-attributes AttributeKey=EventName,AttributeValue=StartPipelineExecution --start-time $(date -d '7 days ago' -I) --query 'Events[*].[EventTime,Username,Resources]' --max-items 10
aws cloudtrail lookup-events --lookup-attributes AttributeKey=EventName,AttributeValue=StartBuild --start-time $(date -d '7 days ago' -I) --query 'Events[*].[EventTime,Username,Resources]' --max-items 10
aws config describe-config-rules --query 'ConfigRules[?contains(ConfigRuleName, `pipeline`) || contains(ConfigRuleName, `codebuild`)][ConfigRuleName,ConfigRuleState]'
Environment Deployment Controls
aws codedeploy list-applications --query 'applications[*]'
aws codedeploy get-application --application-name &lt;app-name&gt; --query '[application.applicationName,application.computePlatform]'
aws organizations list-accounts --query 'Accounts[*].[Id,Name,Status]'
aws sts get-caller-identity --query '[Account,UserId,Arn]'
Security Policy and Compliance Assessment
aws iam list-policies --scope Local --query 'Policies[?contains(PolicyName, `Pipeline`) || contains(PolicyName, `Security`)][PolicyName,CreateDate]'
aws iam get-policy --policy-arn &lt;policy-arn&gt; --query '[Policy.PolicyName,Policy.Description]'
aws iam get-policy-version --policy-arn &lt;policy-arn&gt; --version-id &lt;version-id&gt; --query 'PolicyVersion.Document'
Pipeline Security Metrics and Reporting
aws cloudwatch list-metrics --namespace AWS/CodePipeline --query 'Metrics[*].[MetricName,Namespace]'
aws cloudwatch list-metrics --namespace AWS/CodeBuild --query 'Metrics[*].[MetricName,Namespace]'
aws s3api list-objects-v2 --bucket &lt;security-reports-bucket&gt; --prefix pipeline-assessments/ --query 'Contents[*].[Key,LastModified]'
</t>
  </si>
  <si>
    <r>
      <rPr>
        <b/>
        <sz val="11"/>
        <color rgb="FF000000"/>
        <rFont val="Montserrat"/>
      </rPr>
      <t>SEC11-BP08</t>
    </r>
    <r>
      <rPr>
        <sz val="11"/>
        <color rgb="FF000000"/>
        <rFont val="Montserrat"/>
      </rPr>
      <t xml:space="preserve"> Cree un programa que incorpore la propiedad de seguridad en los equipos de carga de trabajo</t>
    </r>
  </si>
  <si>
    <t>Elabore un programa o un mecanismo que permita a los equipos de creadores tomar decisiones de seguridad sobre el software que crean. Aun así, su equipo de seguridad debe validar estas decisiones durante una revisión, pero integrar la propiedad de la seguridad en los equipos de creadores permite crear cargas de trabajo más rápidas y seguras. Este mecanismo también fomenta una cultura de propiedad que repercute positivamente en el funcionamiento de los sistemas que se crean.</t>
  </si>
  <si>
    <t>Comités de Creadores (Security Champions).
Security Champions/Guardians Program Infrastructure
Servicio: Plataformas de entrenamiento, Sistemas de gestión de comunidad
Recurso: Programa de campeones de seguridad, construcción de comunidad, y procesos de incorporación
Configuración: Infraestructura de programa configurada con identificación de campeones de seguridad, plataformas de comunidad, y procesos estructurados de incorporación para equipos de carga de trabajo
Security Training and Education Systems
Servicio: AWS Training and Certification, Plataformas de gestión de aprendizaje
Recurso: Entrenamiento de seguridad de aplicaciones, educación continua, y desarrollo de habilidades
Configuración: Sistemas de entrenamiento configurados con educación integral de seguridad, rutas de aprendizaje continuo, y mecanismos de evaluación de habilidades
Collaboration and Communication Platforms
Servicio: Herramientas de comunicación, Plataformas de compartición de conocimiento
Recurso: Colaboración constructor-seguridad, compartición de conocimiento, y compromiso de comunidad
Configuración: Plataformas de colaboración configuradas con canales efectivos de comunicación, repositorios de conocimiento, y herramientas de compromiso de comunidad
Security Ownership Metrics and Tracking
Servicio: Plataformas de análisis, Sistemas de seguimiento de rendimiento
Recurso: Métricas de programa, medición de efectividad, y seguimiento de mejoras
Configuración: Sistemas de métricas configurados con seguimiento de participación de programa, medición de tiempo de revisión de seguridad, y mecanismos de recolección de retroalimentación
Embedded Security Support Models
Servicio: Estructuras organizacionales, Sistemas de asignación de recursos
Recurso: Ingenieros de seguridad embebidos, roles de afinidad de seguridad, y modelos de soporte
Configuración: Modelos de soporte configurados con recursos de seguridad embebidos, definiciones de roles, y estrategias de integración de equipos</t>
  </si>
  <si>
    <t xml:space="preserve">Comprobar que los ingenieros asuman proactivamente las decisiones protectoras y estas, a su vez, tengan el respectivo aval final del área de seguridad.
Programa Establecido de Campeones de Seguridad Verificar que programa establecido de campeones de seguridad esté implementado con roles claros, responsabilidades, y estructura de comunidad. Cumplimiento indica programa integral con campeones de seguridad identificados, incorporación estructurada, y compromiso activo de comunidad. Incumplimiento evidenciado por programa de campeones faltante, roles poco claros o falta de estructura de comunidad.
Integración Integral de Entrenamiento de Seguridad Verificar que entrenamiento integral de seguridad esté integrado en equipos de carga de trabajo con educación continua y desarrollo de habilidades. Cumplimiento indica integración efectiva de entrenamiento con entrenamiento de seguridad de aplicaciones, aprendizaje continuo, y procesos de evaluación de habilidades. Incumplimiento evidenciado por integración de entrenamiento faltante, solo entrenamiento único o desarrollo inadecuado de habilidades.
Colaboración Efectiva Constructor-Seguridad Verificar que mecanismos efectivos de colaboración estén establecidos entre constructores y equipos de seguridad. Cumplimiento indica colaboración fuerte con canales efectivos de comunicación, compartición de conocimiento, y procesos colaborativos de toma de decisiones. Incumplimiento evidenciado por colaboración deficiente, equipos aislados o comunicación inadecuada.
Efectividad Medible del Programa Verificar que efectividad del programa sea medida con métricas apropiadas y procesos de mejora continua. Cumplimiento indica medición integral con métricas de participación, seguimiento de tiempo de revisión, y mejoras impulsadas por retroalimentación. Incumplimiento evidenciado por métricas faltantes, efectividad no medida o falta de procesos de mejora.
Desarrollo de Cultura de Propiedad de Seguridad Verificar que cultura de propiedad de seguridad esté desarrollada dentro de equipos de carga de trabajo con toma de decisiones empoderada. Cumplimiento indica cultura fuerte de propiedad con equipos empoderados, toma de decisiones consciente de seguridad, y prácticas proactivas de seguridad. Incumplimiento evidenciado por solo decisiones centralizadas de seguridad, prácticas reactivas de seguridad o falta de empoderamiento de equipos.
</t>
  </si>
  <si>
    <t xml:space="preserve">Security Champions Program Documentation
aws s3api list-objects-v2 --bucket &lt;security-champions-bucket&gt; --prefix champions/ --query 'Contents[*].[Key,LastModified,Size]'
aws ssm get-parameters --names "/security-champions/program-structure" "/security-champions/roles" --query 'Parameters[*].[Name,Value]'
aws dynamodb list-tables --query 'TableNames[?contains(@, `champions`) || contains(@, `security-program`)]'
Training and Education Infrastructure
aws s3api list-objects-v2 --bucket &lt;security-training-bucket&gt; --prefix training-materials/ --query 'Contents[*].[Key,LastModified]'
aws dynamodb scan --table-name &lt;training-tracking-table&gt; --query 'Items[*].[UserId.S,TrainingModule.S,CompletionDate.S,Role.S]' --max-items 20
aws lambda list-functions --query 'Functions[?contains(FunctionName, `training`) || contains(FunctionName, `champions`)][FunctionName,Runtime,LastModified]'
Collaboration and Communication Systems
aws sns list-topics --query 'Topics[?contains(TopicArn, `security-champions`) || contains(TopicArn, `builder-security`)].TopicArn'
aws sns list-subscriptions --query 'Subscriptions[?contains(TopicArn, `security-champions`)][TopicArn,Protocol,Endpoint]'
aws s3api list-objects-v2 --bucket &lt;knowledge-sharing-bucket&gt; --prefix community/ --query 'Contents[*].[Key,LastModified]'
Program Metrics and Performance Tracking
aws cloudwatch describe-alarms --query 'MetricAlarms[?contains(AlarmName, `SecurityChampions`) || contains(AlarmName, `Program`)][AlarmName,StateValue,MetricName]'
aws cloudwatch list-metrics --namespace Custom/SecurityProgram --query 'Metrics[*].[MetricName,Namespace]'
aws dynamodb scan --table-name &lt;program-metrics-table&gt; --query 'Items[*].[TeamId.S,ChampionCount.N,ReviewTime.N,Feedback.S]' --max-items 10
Security Review and Feedback Systems
aws dynamodb scan --table-name &lt;security-reviews-table&gt; --query 'Items[*].[ReviewId.S,TeamId.S,ReviewTime.N,Issues.N,Status.S]' --max-items 15
aws s3api list-objects-v2 --bucket &lt;feedback-bucket&gt; --prefix feedback/ --query 'Contents[*].[Key,LastModified]'
aws events list-rules --query 'Rules[?contains(Name, `security-review`) || contains(Name, `champions`)][Name,State,EventPattern]'
Embedded Security Support Assessment
aws iam list-roles --query 'Roles[?contains(RoleName, `SecurityChampion`) || contains(RoleName, `EmbeddedSecurity`)][RoleName,CreateDate]'
aws organizations list-accounts --query 'Accounts[*].[Id,Name,Status]'
aws ssm get-parameters --names "/security-program/embedded-model" "/security-program/support-structure" --query 'Parameters[*].[Name,Value]'
Community Engagement and Activity Tracking
aws logs describe-log-groups --log-group-name-prefix /aws/lambda --query 'LogGroups[?contains(LogGroupName, `champions`)][LogGroupName,RetentionInDays]'
aws cloudtrail lookup-events --lookup-attributes AttributeKey=EventName,AttributeValue=PutObject --start-time $(date -d '30 days ago' -I) --query 'Events[?contains(Resources[0].ResourceName, `champions`)][EventTime,Username,Resources]' --max-items 10
aws stepfunctions list-state-machines --query 'stateMachines[?contains(name, `security-program`) || contains(name, `champions`)][name,status,creationDate]'
Security Ownership Culture Assessment
aws s3api list-objects-v2 --bucket &lt;culture-assessment-bucket&gt; --prefix assessments/ --query 'Contents[*].[Key,LastModified]'
aws dynamodb scan --table-name &lt;ownership-metrics-table&gt; --query 'Items[*].[TeamId.S,OwnershipScore.N,SecurityDecisions.N,ProactiveActions.N]' --max-items 10
aws cloudwatch get-metric-statistics --namespace Custom/SecurityOwnership --metric-name TeamEngagement --start-time $(date -d '30 days ago' -I) --end-time $(date -I) --period 86400 --statistics Average
Program Improvement and Evolution Tracking
aws s3api list-objects-v2 --bucket &lt;program-evolution-bucket&gt; --prefix improvements/ --query 'Contents[*].[Key,LastModified]'
aws dynamodb scan --table-name &lt;improvement-tracking-table&gt; --query 'Items[*].[ImprovementId.S,Status.S,Impact.S,Implementation.S]' --max-items 10
aws codecommit list-repositories --query 'repositories[?contains(repositoryName, `security-program`) || contains(repositoryName, `champions`)][repositoryName,repositoryDescription]'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</si>
</sst>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u/>
      <sz val="11"/>
      <color rgb="FFFFFFFF"/>
      <name val="Montserrat"/>
    </font>
    <font>
      <b/>
      <sz val="11"/>
      <color rgb="FFFFFFFF"/>
      <name val="Montserrat"/>
    </font>
    <font>
      <sz val="11"/>
      <color rgb="FFFFFFFF"/>
      <name val="Montserrat"/>
    </font>
    <font>
      <sz val="10"/>
      <color rgb="FF1F1F1F"/>
      <name val="&quot;Google Sans Text&quot;"/>
    </font>
    <font>
      <sz val="10"/>
      <color theme="1"/>
      <name val="Arial"/>
      <scheme val="minor"/>
    </font>
    <font>
      <u/>
      <sz val="11"/>
      <color rgb="FF0000FF"/>
      <name val="Montserrat"/>
    </font>
    <font>
      <b/>
      <sz val="11"/>
      <color rgb="FF000000"/>
      <name val="Montserrat"/>
    </font>
    <font>
      <sz val="11"/>
      <color rgb="FF000000"/>
      <name val="Montserrat"/>
    </font>
    <font>
      <sz val="11"/>
      <color theme="1"/>
      <name val="Montserrat"/>
    </font>
    <font>
      <b/>
      <sz val="11"/>
      <name val="Montserrat"/>
    </font>
    <font>
      <sz val="11"/>
      <name val="Montserrat"/>
    </font>
    <font>
      <b/>
      <sz val="10"/>
      <color rgb="FF1F1F1F"/>
      <name val="&quot;Google Sans Text&quot;"/>
    </font>
    <font>
      <b/>
      <u/>
      <sz val="11"/>
      <color rgb="FF000000"/>
      <name val="Montserrat"/>
    </font>
    <font>
      <u/>
      <sz val="11"/>
      <color rgb="FF000000"/>
      <name val="Montserrat"/>
    </font>
  </fonts>
  <fills count="4">
    <fill>
      <patternFill patternType="none"/>
    </fill>
    <fill>
      <patternFill patternType="gray125"/>
    </fill>
    <fill>
      <patternFill patternType="solid">
        <fgColor rgb="FF253B5C"/>
        <bgColor rgb="FF253B5C"/>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Alignment="1">
      <alignment vertical="center"/>
    </xf>
    <xf numFmtId="0" fontId="5" fillId="0" borderId="0" xfId="0" applyFont="1" applyAlignment="1">
      <alignment vertical="center"/>
    </xf>
    <xf numFmtId="0" fontId="6" fillId="3" borderId="1" xfId="0" applyFont="1" applyFill="1" applyBorder="1" applyAlignment="1">
      <alignment vertical="center" wrapText="1"/>
    </xf>
    <xf numFmtId="0" fontId="9" fillId="3" borderId="1" xfId="0" applyFont="1" applyFill="1" applyBorder="1" applyAlignment="1">
      <alignment vertical="center" wrapText="1"/>
    </xf>
    <xf numFmtId="0" fontId="4" fillId="0" borderId="1" xfId="0" applyFont="1" applyBorder="1" applyAlignment="1">
      <alignment vertical="center" wrapText="1"/>
    </xf>
    <xf numFmtId="0" fontId="12" fillId="0" borderId="0" xfId="0" applyFont="1" applyAlignment="1">
      <alignment vertical="center"/>
    </xf>
    <xf numFmtId="0" fontId="4" fillId="0" borderId="1" xfId="0" applyFont="1" applyBorder="1" applyAlignment="1">
      <alignment vertical="center"/>
    </xf>
    <xf numFmtId="0" fontId="6" fillId="3" borderId="1" xfId="0" applyFont="1" applyFill="1" applyBorder="1" applyAlignment="1">
      <alignment vertical="center"/>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aws.amazon.com/en_us/wellarchitected/latest/framework/sec_permissions_share_securely_third_party.html" TargetMode="External"/><Relationship Id="rId21" Type="http://schemas.openxmlformats.org/officeDocument/2006/relationships/hyperlink" Target="https://docs.aws.amazon.com/en_us/wellarchitected/latest/framework/sec_permissions_continuous_reduction.html" TargetMode="External"/><Relationship Id="rId42" Type="http://schemas.openxmlformats.org/officeDocument/2006/relationships/hyperlink" Target="https://docs.aws.amazon.com/en_us/wellarchitected/latest/framework/sec_protect_compute_auto_protection.html" TargetMode="External"/><Relationship Id="rId47" Type="http://schemas.openxmlformats.org/officeDocument/2006/relationships/hyperlink" Target="https://docs.aws.amazon.com/en_us/wellarchitected/latest/framework/sec_data_classification_lifecycle_management.html" TargetMode="External"/><Relationship Id="rId63" Type="http://schemas.openxmlformats.org/officeDocument/2006/relationships/hyperlink" Target="https://docs.aws.amazon.com/en_us/wellarchitected/latest/framework/sec_incident_response_pre_deploy_tools.html" TargetMode="External"/><Relationship Id="rId68" Type="http://schemas.openxmlformats.org/officeDocument/2006/relationships/hyperlink" Target="https://docs.aws.amazon.com/en_us/wellarchitected/latest/framework/sec_appsec_automate_testing_throughout_lifecycle.html" TargetMode="External"/><Relationship Id="rId2" Type="http://schemas.openxmlformats.org/officeDocument/2006/relationships/hyperlink" Target="https://docs.aws.amazon.com/en_us/wellarchitected/latest/framework/sec_securely_operate_multi_accounts.html" TargetMode="External"/><Relationship Id="rId16" Type="http://schemas.openxmlformats.org/officeDocument/2006/relationships/hyperlink" Target="https://docs.aws.amazon.com/en_us/wellarchitected/latest/framework/sec_identities_groups_attributes.html" TargetMode="External"/><Relationship Id="rId29" Type="http://schemas.openxmlformats.org/officeDocument/2006/relationships/hyperlink" Target="https://docs.aws.amazon.com/en_us/wellarchitected/latest/framework/sec_detect_investigate_events_logs.html" TargetMode="External"/><Relationship Id="rId11" Type="http://schemas.openxmlformats.org/officeDocument/2006/relationships/hyperlink" Target="https://docs.aws.amazon.com/en_us/wellarchitected/latest/framework/sec_identities_enforce_mechanisms.html" TargetMode="External"/><Relationship Id="rId24" Type="http://schemas.openxmlformats.org/officeDocument/2006/relationships/hyperlink" Target="https://docs.aws.amazon.com/en_us/wellarchitected/latest/framework/sec_permissions_analyze_cross_account.html" TargetMode="External"/><Relationship Id="rId32" Type="http://schemas.openxmlformats.org/officeDocument/2006/relationships/hyperlink" Target="https://docs.aws.amazon.com/en_us/wellarchitected/latest/framework/sec-05.html" TargetMode="External"/><Relationship Id="rId37" Type="http://schemas.openxmlformats.org/officeDocument/2006/relationships/hyperlink" Target="https://docs.aws.amazon.com/en_us/wellarchitected/latest/framework/sec-06.html" TargetMode="External"/><Relationship Id="rId40" Type="http://schemas.openxmlformats.org/officeDocument/2006/relationships/hyperlink" Target="https://docs.aws.amazon.com/en_us/wellarchitected/latest/framework/sec_protect_compute_reduce_manual_management.html" TargetMode="External"/><Relationship Id="rId45" Type="http://schemas.openxmlformats.org/officeDocument/2006/relationships/hyperlink" Target="https://docs.aws.amazon.com/en_us/wellarchitected/latest/framework/sec_data_classification_define_protection.html" TargetMode="External"/><Relationship Id="rId53" Type="http://schemas.openxmlformats.org/officeDocument/2006/relationships/hyperlink" Target="https://docs.aws.amazon.com/en_us/wellarchitected/latest/framework/sec-08.html" TargetMode="External"/><Relationship Id="rId58" Type="http://schemas.openxmlformats.org/officeDocument/2006/relationships/hyperlink" Target="https://docs.aws.amazon.com/en_us/wellarchitected/latest/framework/sec_incident_response_identify_personnel.html" TargetMode="External"/><Relationship Id="rId66" Type="http://schemas.openxmlformats.org/officeDocument/2006/relationships/hyperlink" Target="https://docs.aws.amazon.com/en_us/wellarchitected/latest/framework/sec-11.html" TargetMode="External"/><Relationship Id="rId74" Type="http://schemas.openxmlformats.org/officeDocument/2006/relationships/hyperlink" Target="https://docs.aws.amazon.com/en_us/wellarchitected/latest/framework/sec_appsec_build_program_that_embeds_security_ownership_in_teams.html" TargetMode="External"/><Relationship Id="rId5" Type="http://schemas.openxmlformats.org/officeDocument/2006/relationships/hyperlink" Target="https://docs.aws.amazon.com/en_us/wellarchitected/latest/framework/sec_securely_operate_updated_threats.html" TargetMode="External"/><Relationship Id="rId61" Type="http://schemas.openxmlformats.org/officeDocument/2006/relationships/hyperlink" Target="https://docs.aws.amazon.com/en_us/wellarchitected/latest/framework/sec_incident_response_playbooks.html" TargetMode="External"/><Relationship Id="rId19" Type="http://schemas.openxmlformats.org/officeDocument/2006/relationships/hyperlink" Target="https://docs.aws.amazon.com/en_us/wellarchitected/latest/framework/sec_permissions_least_privileges.html" TargetMode="External"/><Relationship Id="rId14" Type="http://schemas.openxmlformats.org/officeDocument/2006/relationships/hyperlink" Target="https://docs.aws.amazon.com/en_us/wellarchitected/latest/framework/sec_identities_identity_provider.html" TargetMode="External"/><Relationship Id="rId22" Type="http://schemas.openxmlformats.org/officeDocument/2006/relationships/hyperlink" Target="https://docs.aws.amazon.com/en_us/wellarchitected/latest/framework/sec_permissions_define_guardrails.html" TargetMode="External"/><Relationship Id="rId27" Type="http://schemas.openxmlformats.org/officeDocument/2006/relationships/hyperlink" Target="https://docs.aws.amazon.com/en_us/wellarchitected/latest/framework/sec-04.html" TargetMode="External"/><Relationship Id="rId30" Type="http://schemas.openxmlformats.org/officeDocument/2006/relationships/hyperlink" Target="https://docs.aws.amazon.com/en_us/wellarchitected/latest/framework/sec_detect_investigate_events_security_alerts.html" TargetMode="External"/><Relationship Id="rId35" Type="http://schemas.openxmlformats.org/officeDocument/2006/relationships/hyperlink" Target="https://docs.aws.amazon.com/en_us/wellarchitected/latest/framework/sec_network_protection_inspection.html" TargetMode="External"/><Relationship Id="rId43" Type="http://schemas.openxmlformats.org/officeDocument/2006/relationships/hyperlink" Target="https://docs.aws.amazon.com/en_us/wellarchitected/latest/framework/sec-07.html" TargetMode="External"/><Relationship Id="rId48" Type="http://schemas.openxmlformats.org/officeDocument/2006/relationships/hyperlink" Target="https://docs.aws.amazon.com/en_us/wellarchitected/latest/framework/sec-07.html" TargetMode="External"/><Relationship Id="rId56" Type="http://schemas.openxmlformats.org/officeDocument/2006/relationships/hyperlink" Target="https://docs.aws.amazon.com/en_us/wellarchitected/latest/framework/sec_protect_data_transit_authentication.html" TargetMode="External"/><Relationship Id="rId64" Type="http://schemas.openxmlformats.org/officeDocument/2006/relationships/hyperlink" Target="https://docs.aws.amazon.com/en_us/wellarchitected/latest/framework/sec_incident_response_run_game_days.html" TargetMode="External"/><Relationship Id="rId69" Type="http://schemas.openxmlformats.org/officeDocument/2006/relationships/hyperlink" Target="https://docs.aws.amazon.com/en_us/wellarchitected/latest/framework/sec_appsec_perform_regular_penetration_testing.html" TargetMode="External"/><Relationship Id="rId8" Type="http://schemas.openxmlformats.org/officeDocument/2006/relationships/hyperlink" Target="https://docs.aws.amazon.com/en_us/wellarchitected/latest/framework/sec_securely_operate_threat_model.html" TargetMode="External"/><Relationship Id="rId51" Type="http://schemas.openxmlformats.org/officeDocument/2006/relationships/hyperlink" Target="https://docs.aws.amazon.com/en_us/wellarchitected/latest/framework/sec_protect_data_rest_automate_protection.html" TargetMode="External"/><Relationship Id="rId72" Type="http://schemas.openxmlformats.org/officeDocument/2006/relationships/hyperlink" Target="https://docs.aws.amazon.com/en_us/wellarchitected/latest/framework/sec_appsec_deploy_software_programmatically.html" TargetMode="External"/><Relationship Id="rId3" Type="http://schemas.openxmlformats.org/officeDocument/2006/relationships/hyperlink" Target="https://docs.aws.amazon.com/en_us/wellarchitected/latest/framework/sec_securely_operate_aws_account.html" TargetMode="External"/><Relationship Id="rId12" Type="http://schemas.openxmlformats.org/officeDocument/2006/relationships/hyperlink" Target="https://docs.aws.amazon.com/en_us/wellarchitected/latest/framework/sec_identities_unique.html" TargetMode="External"/><Relationship Id="rId17" Type="http://schemas.openxmlformats.org/officeDocument/2006/relationships/hyperlink" Target="https://docs.aws.amazon.com/en_us/wellarchitected/latest/framework/sec-03.html" TargetMode="External"/><Relationship Id="rId25" Type="http://schemas.openxmlformats.org/officeDocument/2006/relationships/hyperlink" Target="https://docs.aws.amazon.com/en_us/wellarchitected/latest/framework/sec_permissions_share_securely.html" TargetMode="External"/><Relationship Id="rId33" Type="http://schemas.openxmlformats.org/officeDocument/2006/relationships/hyperlink" Target="https://docs.aws.amazon.com/en_us/wellarchitected/latest/framework/sec_network_protection_create_layers.html" TargetMode="External"/><Relationship Id="rId38" Type="http://schemas.openxmlformats.org/officeDocument/2006/relationships/hyperlink" Target="https://docs.aws.amazon.com/en_us/wellarchitected/latest/framework/sec_protect_compute_vulnerability_management.html" TargetMode="External"/><Relationship Id="rId46" Type="http://schemas.openxmlformats.org/officeDocument/2006/relationships/hyperlink" Target="https://docs.aws.amazon.com/en_us/wellarchitected/latest/framework/sec_data_classification_auto_classification.html" TargetMode="External"/><Relationship Id="rId59" Type="http://schemas.openxmlformats.org/officeDocument/2006/relationships/hyperlink" Target="https://docs.aws.amazon.com/en_us/wellarchitected/latest/framework/sec_incident_response_develop_management_plans.html" TargetMode="External"/><Relationship Id="rId67" Type="http://schemas.openxmlformats.org/officeDocument/2006/relationships/hyperlink" Target="https://docs.aws.amazon.com/en_us/wellarchitected/latest/framework/sec_appsec_train_for_application_security.html" TargetMode="External"/><Relationship Id="rId20" Type="http://schemas.openxmlformats.org/officeDocument/2006/relationships/hyperlink" Target="https://docs.aws.amazon.com/en_us/wellarchitected/latest/framework/sec_permissions_emergency_process.html" TargetMode="External"/><Relationship Id="rId41" Type="http://schemas.openxmlformats.org/officeDocument/2006/relationships/hyperlink" Target="https://docs.aws.amazon.com/en_us/wellarchitected/latest/framework/sec_protect_compute_validate_software_integrity.html" TargetMode="External"/><Relationship Id="rId54" Type="http://schemas.openxmlformats.org/officeDocument/2006/relationships/hyperlink" Target="https://docs.aws.amazon.com/en_us/wellarchitected/latest/framework/sec_protect_data_transit_key_cert_mgmt.html" TargetMode="External"/><Relationship Id="rId62" Type="http://schemas.openxmlformats.org/officeDocument/2006/relationships/hyperlink" Target="https://docs.aws.amazon.com/en_us/wellarchitected/latest/framework/sec_incident_response_pre_provision_access.html" TargetMode="External"/><Relationship Id="rId70" Type="http://schemas.openxmlformats.org/officeDocument/2006/relationships/hyperlink" Target="https://docs.aws.amazon.com/en_us/wellarchitected/latest/framework/sec_appsec_manual_code_reviews.html" TargetMode="External"/><Relationship Id="rId75" Type="http://schemas.openxmlformats.org/officeDocument/2006/relationships/vmlDrawing" Target="../drawings/vmlDrawing1.vml"/><Relationship Id="rId1" Type="http://schemas.openxmlformats.org/officeDocument/2006/relationships/hyperlink" Target="https://docs.aws.amazon.com/en_us/wellarchitected/latest/framework/sec-01.html" TargetMode="External"/><Relationship Id="rId6" Type="http://schemas.openxmlformats.org/officeDocument/2006/relationships/hyperlink" Target="https://docs.aws.amazon.com/en_us/wellarchitected/latest/framework/sec_securely_operate_reduce_management_scope.html" TargetMode="External"/><Relationship Id="rId15" Type="http://schemas.openxmlformats.org/officeDocument/2006/relationships/hyperlink" Target="https://docs.aws.amazon.com/en_us/wellarchitected/latest/framework/sec_identities_audit.html" TargetMode="External"/><Relationship Id="rId23" Type="http://schemas.openxmlformats.org/officeDocument/2006/relationships/hyperlink" Target="https://docs.aws.amazon.com/en_us/wellarchitected/latest/framework/sec_permissions_lifecycle.html" TargetMode="External"/><Relationship Id="rId28" Type="http://schemas.openxmlformats.org/officeDocument/2006/relationships/hyperlink" Target="https://docs.aws.amazon.com/en_us/wellarchitected/latest/framework/sec_detect_investigate_events_app_service_logging.html" TargetMode="External"/><Relationship Id="rId36" Type="http://schemas.openxmlformats.org/officeDocument/2006/relationships/hyperlink" Target="https://docs.aws.amazon.com/en_us/wellarchitected/latest/framework/sec_network_auto_protect.html" TargetMode="External"/><Relationship Id="rId49" Type="http://schemas.openxmlformats.org/officeDocument/2006/relationships/hyperlink" Target="https://docs.aws.amazon.com/en_us/wellarchitected/latest/framework/sec_protect_data_rest_key_mgmt.html" TargetMode="External"/><Relationship Id="rId57" Type="http://schemas.openxmlformats.org/officeDocument/2006/relationships/hyperlink" Target="https://docs.aws.amazon.com/en_us/wellarchitected/latest/framework/sec-10.html" TargetMode="External"/><Relationship Id="rId10" Type="http://schemas.openxmlformats.org/officeDocument/2006/relationships/hyperlink" Target="https://docs.aws.amazon.com/en_us/wellarchitected/latest/framework/sec-02.html" TargetMode="External"/><Relationship Id="rId31" Type="http://schemas.openxmlformats.org/officeDocument/2006/relationships/hyperlink" Target="https://docs.aws.amazon.com/en_us/wellarchitected/latest/framework/sec_detect_investigate_events_noncompliant_resources.html" TargetMode="External"/><Relationship Id="rId44" Type="http://schemas.openxmlformats.org/officeDocument/2006/relationships/hyperlink" Target="https://docs.aws.amazon.com/en_us/wellarchitected/latest/framework/sec_data_classification_identify_data.html" TargetMode="External"/><Relationship Id="rId52" Type="http://schemas.openxmlformats.org/officeDocument/2006/relationships/hyperlink" Target="https://docs.aws.amazon.com/en_us/wellarchitected/latest/framework/sec_protect_data_rest_access_control.html" TargetMode="External"/><Relationship Id="rId60" Type="http://schemas.openxmlformats.org/officeDocument/2006/relationships/hyperlink" Target="https://docs.aws.amazon.com/en_us/wellarchitected/latest/framework/sec_incident_response_prepare_forensic.html" TargetMode="External"/><Relationship Id="rId65" Type="http://schemas.openxmlformats.org/officeDocument/2006/relationships/hyperlink" Target="https://docs.aws.amazon.com/en_us/wellarchitected/latest/framework/sec_incident_response_establish_incident_framework.html" TargetMode="External"/><Relationship Id="rId73" Type="http://schemas.openxmlformats.org/officeDocument/2006/relationships/hyperlink" Target="https://docs.aws.amazon.com/en_us/wellarchitected/latest/framework/sec_appsec_regularly_assess_security_properties_of_pipelines.html" TargetMode="External"/><Relationship Id="rId4" Type="http://schemas.openxmlformats.org/officeDocument/2006/relationships/hyperlink" Target="https://docs.aws.amazon.com/en_us/wellarchitected/latest/framework/sec_securely_operate_control_objectives.html" TargetMode="External"/><Relationship Id="rId9" Type="http://schemas.openxmlformats.org/officeDocument/2006/relationships/hyperlink" Target="https://docs.aws.amazon.com/en_us/wellarchitected/latest/framework/sec_securely_operate_implement_services_features.html" TargetMode="External"/><Relationship Id="rId13" Type="http://schemas.openxmlformats.org/officeDocument/2006/relationships/hyperlink" Target="https://docs.aws.amazon.com/en_us/wellarchitected/latest/framework/sec_identities_secrets.html" TargetMode="External"/><Relationship Id="rId18" Type="http://schemas.openxmlformats.org/officeDocument/2006/relationships/hyperlink" Target="https://docs.aws.amazon.com/en_us/wellarchitected/latest/framework/sec_permissions_define.html" TargetMode="External"/><Relationship Id="rId39" Type="http://schemas.openxmlformats.org/officeDocument/2006/relationships/hyperlink" Target="https://docs.aws.amazon.com/en_us/wellarchitected/latest/framework/sec_protect_compute_hardened_images.html" TargetMode="External"/><Relationship Id="rId34" Type="http://schemas.openxmlformats.org/officeDocument/2006/relationships/hyperlink" Target="https://docs.aws.amazon.com/en_us/wellarchitected/latest/framework/sec_network_protection_layered.html" TargetMode="External"/><Relationship Id="rId50" Type="http://schemas.openxmlformats.org/officeDocument/2006/relationships/hyperlink" Target="https://docs.aws.amazon.com/en_us/wellarchitected/latest/framework/sec_protect_data_rest_encrypt.html" TargetMode="External"/><Relationship Id="rId55" Type="http://schemas.openxmlformats.org/officeDocument/2006/relationships/hyperlink" Target="https://docs.aws.amazon.com/en_us/wellarchitected/latest/framework/sec_protect_data_transit_encrypt.html" TargetMode="External"/><Relationship Id="rId76" Type="http://schemas.openxmlformats.org/officeDocument/2006/relationships/comments" Target="../comments1.xml"/><Relationship Id="rId7" Type="http://schemas.openxmlformats.org/officeDocument/2006/relationships/hyperlink" Target="https://docs.aws.amazon.com/en_us/wellarchitected/latest/framework/sec_securely_operate_automate_security_controls.html" TargetMode="External"/><Relationship Id="rId71" Type="http://schemas.openxmlformats.org/officeDocument/2006/relationships/hyperlink" Target="https://docs.aws.amazon.com/en_us/wellarchitected/latest/framework/sec_appsec_centralize_services_for_packages_and_dependencie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3183-7002-4E74-9A67-4C946F6372F8}">
  <sheetPr>
    <outlinePr summaryBelow="0" summaryRight="0"/>
    <pageSetUpPr fitToPage="1"/>
  </sheetPr>
  <dimension ref="A1:Y1000"/>
  <sheetViews>
    <sheetView showGridLines="0" tabSelected="1" workbookViewId="0">
      <pane xSplit="2" ySplit="1" topLeftCell="C3" activePane="bottomRight" state="frozen"/>
      <selection pane="topRight" activeCell="C1" sqref="C1"/>
      <selection pane="bottomLeft" activeCell="A2" sqref="A2"/>
      <selection pane="bottomRight" sqref="A1:XFD1048576"/>
    </sheetView>
  </sheetViews>
  <sheetFormatPr baseColWidth="10" defaultColWidth="12.5703125" defaultRowHeight="12.75"/>
  <cols>
    <col min="1" max="1" width="28.42578125" customWidth="1"/>
    <col min="2" max="2" width="33.28515625" customWidth="1"/>
    <col min="3" max="3" width="52.7109375" customWidth="1"/>
    <col min="4" max="4" width="63.5703125" customWidth="1"/>
    <col min="5" max="5" width="106.28515625" customWidth="1"/>
    <col min="7" max="7" width="38.28515625" customWidth="1"/>
  </cols>
  <sheetData>
    <row r="1" spans="1:25" ht="108">
      <c r="A1" s="1" t="s">
        <v>0</v>
      </c>
      <c r="B1" s="2" t="str">
        <f>CONCATENATE("Fundamentos de seguridad: ",COUNTIF(B2:B9,"&lt;&gt;0"))</f>
        <v>Fundamentos de seguridad: 8</v>
      </c>
      <c r="C1" s="3" t="s">
        <v>1</v>
      </c>
      <c r="D1" s="3" t="s">
        <v>2</v>
      </c>
      <c r="E1" s="3" t="s">
        <v>3</v>
      </c>
      <c r="F1" s="4"/>
      <c r="G1" s="5"/>
      <c r="H1" s="5"/>
      <c r="I1" s="5"/>
      <c r="J1" s="5"/>
      <c r="K1" s="5"/>
      <c r="L1" s="5"/>
      <c r="M1" s="5"/>
      <c r="N1" s="5"/>
      <c r="O1" s="5"/>
      <c r="P1" s="5"/>
      <c r="Q1" s="5"/>
      <c r="R1" s="5"/>
      <c r="S1" s="5"/>
      <c r="T1" s="5"/>
      <c r="U1" s="5"/>
      <c r="V1" s="5"/>
      <c r="W1" s="5"/>
      <c r="X1" s="5"/>
      <c r="Y1" s="5"/>
    </row>
    <row r="2" spans="1:25" ht="409.5">
      <c r="A2" s="6" t="s">
        <v>4</v>
      </c>
      <c r="B2" s="7" t="s">
        <v>5</v>
      </c>
      <c r="C2" s="8" t="s">
        <v>6</v>
      </c>
      <c r="D2" s="8" t="s">
        <v>7</v>
      </c>
      <c r="E2" s="8" t="s">
        <v>8</v>
      </c>
      <c r="F2" s="5"/>
      <c r="G2" s="4"/>
      <c r="H2" s="4"/>
      <c r="I2" s="4"/>
      <c r="J2" s="5"/>
      <c r="K2" s="5"/>
      <c r="L2" s="5"/>
      <c r="M2" s="5"/>
      <c r="N2" s="5"/>
      <c r="O2" s="5"/>
      <c r="P2" s="5"/>
      <c r="Q2" s="5"/>
      <c r="R2" s="5"/>
      <c r="S2" s="5"/>
      <c r="T2" s="5"/>
      <c r="U2" s="5"/>
      <c r="V2" s="5"/>
      <c r="W2" s="5"/>
      <c r="X2" s="5"/>
      <c r="Y2" s="5"/>
    </row>
    <row r="3" spans="1:25" ht="409.5">
      <c r="A3" s="6" t="s">
        <v>9</v>
      </c>
      <c r="B3" s="7" t="s">
        <v>10</v>
      </c>
      <c r="C3" s="8" t="s">
        <v>11</v>
      </c>
      <c r="D3" s="8" t="s">
        <v>12</v>
      </c>
      <c r="E3" s="8" t="s">
        <v>13</v>
      </c>
      <c r="F3" s="5"/>
      <c r="G3" s="9"/>
      <c r="H3" s="4"/>
      <c r="I3" s="4"/>
      <c r="J3" s="5"/>
      <c r="K3" s="5"/>
      <c r="L3" s="5"/>
      <c r="M3" s="5"/>
      <c r="N3" s="5"/>
      <c r="O3" s="5"/>
      <c r="P3" s="5"/>
      <c r="Q3" s="5"/>
      <c r="R3" s="5"/>
      <c r="S3" s="5"/>
      <c r="T3" s="5"/>
      <c r="U3" s="5"/>
      <c r="V3" s="5"/>
      <c r="W3" s="5"/>
      <c r="X3" s="5"/>
      <c r="Y3" s="5"/>
    </row>
    <row r="4" spans="1:25" ht="409.5">
      <c r="A4" s="6" t="s">
        <v>14</v>
      </c>
      <c r="B4" s="7" t="s">
        <v>15</v>
      </c>
      <c r="C4" s="8" t="s">
        <v>16</v>
      </c>
      <c r="D4" s="8" t="s">
        <v>17</v>
      </c>
      <c r="E4" s="8" t="s">
        <v>18</v>
      </c>
      <c r="F4" s="5"/>
      <c r="G4" s="9"/>
      <c r="H4" s="9"/>
      <c r="I4" s="9"/>
      <c r="J4" s="5"/>
      <c r="K4" s="5"/>
      <c r="L4" s="5"/>
      <c r="M4" s="5"/>
      <c r="N4" s="5"/>
      <c r="O4" s="5"/>
      <c r="P4" s="5"/>
      <c r="Q4" s="5"/>
      <c r="R4" s="5"/>
      <c r="S4" s="5"/>
      <c r="T4" s="5"/>
      <c r="U4" s="5"/>
      <c r="V4" s="5"/>
      <c r="W4" s="5"/>
      <c r="X4" s="5"/>
      <c r="Y4" s="5"/>
    </row>
    <row r="5" spans="1:25" ht="409.5">
      <c r="A5" s="6" t="s">
        <v>19</v>
      </c>
      <c r="B5" s="7" t="s">
        <v>20</v>
      </c>
      <c r="C5" s="10" t="s">
        <v>21</v>
      </c>
      <c r="D5" s="8" t="s">
        <v>22</v>
      </c>
      <c r="E5" s="8" t="s">
        <v>23</v>
      </c>
      <c r="F5" s="5"/>
      <c r="G5" s="9"/>
      <c r="H5" s="4"/>
      <c r="I5" s="4"/>
      <c r="J5" s="5"/>
      <c r="K5" s="5"/>
      <c r="L5" s="5"/>
      <c r="M5" s="5"/>
      <c r="N5" s="5"/>
      <c r="O5" s="5"/>
      <c r="P5" s="5"/>
      <c r="Q5" s="5"/>
      <c r="R5" s="5"/>
      <c r="S5" s="5"/>
      <c r="T5" s="5"/>
      <c r="U5" s="5"/>
      <c r="V5" s="5"/>
      <c r="W5" s="5"/>
      <c r="X5" s="5"/>
      <c r="Y5" s="5"/>
    </row>
    <row r="6" spans="1:25" ht="409.5">
      <c r="A6" s="6" t="s">
        <v>24</v>
      </c>
      <c r="B6" s="7" t="s">
        <v>25</v>
      </c>
      <c r="C6" s="8" t="s">
        <v>26</v>
      </c>
      <c r="D6" s="8" t="s">
        <v>27</v>
      </c>
      <c r="E6" s="8" t="s">
        <v>28</v>
      </c>
      <c r="F6" s="5"/>
      <c r="G6" s="9"/>
      <c r="H6" s="9"/>
      <c r="I6" s="9"/>
      <c r="J6" s="5"/>
      <c r="K6" s="5"/>
      <c r="L6" s="5"/>
      <c r="M6" s="5"/>
      <c r="N6" s="5"/>
      <c r="O6" s="5"/>
      <c r="P6" s="5"/>
      <c r="Q6" s="5"/>
      <c r="R6" s="5"/>
      <c r="S6" s="5"/>
      <c r="T6" s="5"/>
      <c r="U6" s="5"/>
      <c r="V6" s="5"/>
      <c r="W6" s="5"/>
      <c r="X6" s="5"/>
      <c r="Y6" s="5"/>
    </row>
    <row r="7" spans="1:25" ht="409.5">
      <c r="A7" s="6" t="s">
        <v>29</v>
      </c>
      <c r="B7" s="7" t="s">
        <v>30</v>
      </c>
      <c r="C7" s="8" t="s">
        <v>31</v>
      </c>
      <c r="D7" s="8" t="s">
        <v>32</v>
      </c>
      <c r="E7" s="8" t="s">
        <v>33</v>
      </c>
      <c r="F7" s="5"/>
      <c r="G7" s="9"/>
      <c r="H7" s="4"/>
      <c r="I7" s="4"/>
      <c r="J7" s="5"/>
      <c r="K7" s="5"/>
      <c r="L7" s="5"/>
      <c r="M7" s="5"/>
      <c r="N7" s="5"/>
      <c r="O7" s="5"/>
      <c r="P7" s="5"/>
      <c r="Q7" s="5"/>
      <c r="R7" s="5"/>
      <c r="S7" s="5"/>
      <c r="T7" s="5"/>
      <c r="U7" s="5"/>
      <c r="V7" s="5"/>
      <c r="W7" s="5"/>
      <c r="X7" s="5"/>
      <c r="Y7" s="5"/>
    </row>
    <row r="8" spans="1:25" ht="409.5">
      <c r="A8" s="6" t="s">
        <v>34</v>
      </c>
      <c r="B8" s="7" t="s">
        <v>35</v>
      </c>
      <c r="C8" s="8" t="s">
        <v>36</v>
      </c>
      <c r="D8" s="8" t="s">
        <v>37</v>
      </c>
      <c r="E8" s="8" t="s">
        <v>38</v>
      </c>
      <c r="F8" s="5"/>
      <c r="G8" s="9"/>
      <c r="H8" s="9"/>
      <c r="I8" s="9"/>
      <c r="J8" s="5"/>
      <c r="K8" s="5"/>
      <c r="L8" s="5"/>
      <c r="M8" s="5"/>
      <c r="N8" s="5"/>
      <c r="O8" s="5"/>
      <c r="P8" s="5"/>
      <c r="Q8" s="5"/>
      <c r="R8" s="5"/>
      <c r="S8" s="5"/>
      <c r="T8" s="5"/>
      <c r="U8" s="5"/>
      <c r="V8" s="5"/>
      <c r="W8" s="5"/>
      <c r="X8" s="5"/>
      <c r="Y8" s="5"/>
    </row>
    <row r="9" spans="1:25" ht="409.5">
      <c r="A9" s="6" t="s">
        <v>39</v>
      </c>
      <c r="B9" s="7" t="s">
        <v>40</v>
      </c>
      <c r="C9" s="8" t="s">
        <v>41</v>
      </c>
      <c r="D9" s="8" t="s">
        <v>42</v>
      </c>
      <c r="E9" s="8" t="s">
        <v>43</v>
      </c>
      <c r="F9" s="5"/>
      <c r="G9" s="9"/>
      <c r="H9" s="4"/>
      <c r="I9" s="4"/>
      <c r="J9" s="5"/>
      <c r="K9" s="5"/>
      <c r="L9" s="5"/>
      <c r="M9" s="5"/>
      <c r="N9" s="5"/>
      <c r="O9" s="5"/>
      <c r="P9" s="5"/>
      <c r="Q9" s="5"/>
      <c r="R9" s="5"/>
      <c r="S9" s="5"/>
      <c r="T9" s="5"/>
      <c r="U9" s="5"/>
      <c r="V9" s="5"/>
      <c r="W9" s="5"/>
      <c r="X9" s="5"/>
      <c r="Y9" s="5"/>
    </row>
    <row r="10" spans="1:25" ht="126">
      <c r="A10" s="1" t="s">
        <v>44</v>
      </c>
      <c r="B10" s="2" t="str">
        <f>CONCATENATE("Gestión de identidad y acceso: ",COUNTIF(B11:B16,"&lt;&gt;0"))</f>
        <v>Gestión de identidad y acceso: 6</v>
      </c>
      <c r="C10" s="8"/>
      <c r="D10" s="8"/>
      <c r="E10" s="8"/>
      <c r="F10" s="5"/>
      <c r="G10" s="9"/>
      <c r="H10" s="9"/>
      <c r="I10" s="9"/>
      <c r="J10" s="5"/>
      <c r="K10" s="5"/>
      <c r="L10" s="5"/>
      <c r="M10" s="5"/>
      <c r="N10" s="5"/>
      <c r="O10" s="5"/>
      <c r="P10" s="5"/>
      <c r="Q10" s="5"/>
      <c r="R10" s="5"/>
      <c r="S10" s="5"/>
      <c r="T10" s="5"/>
      <c r="U10" s="5"/>
      <c r="V10" s="5"/>
      <c r="W10" s="5"/>
      <c r="X10" s="5"/>
      <c r="Y10" s="5"/>
    </row>
    <row r="11" spans="1:25" ht="409.5">
      <c r="A11" s="6" t="s">
        <v>45</v>
      </c>
      <c r="B11" s="7" t="s">
        <v>46</v>
      </c>
      <c r="C11" s="8" t="s">
        <v>47</v>
      </c>
      <c r="D11" s="8" t="s">
        <v>48</v>
      </c>
      <c r="E11" s="8" t="s">
        <v>49</v>
      </c>
      <c r="F11" s="5"/>
      <c r="G11" s="9"/>
      <c r="H11" s="9"/>
      <c r="I11" s="9"/>
      <c r="J11" s="5"/>
      <c r="K11" s="5"/>
      <c r="L11" s="5"/>
      <c r="M11" s="5"/>
      <c r="N11" s="5"/>
      <c r="O11" s="5"/>
      <c r="P11" s="5"/>
      <c r="Q11" s="5"/>
      <c r="R11" s="5"/>
      <c r="S11" s="5"/>
      <c r="T11" s="5"/>
      <c r="U11" s="5"/>
      <c r="V11" s="5"/>
      <c r="W11" s="5"/>
      <c r="X11" s="5"/>
      <c r="Y11" s="5"/>
    </row>
    <row r="12" spans="1:25" ht="409.5">
      <c r="A12" s="6" t="s">
        <v>50</v>
      </c>
      <c r="B12" s="7" t="s">
        <v>51</v>
      </c>
      <c r="C12" s="8" t="s">
        <v>52</v>
      </c>
      <c r="D12" s="8" t="s">
        <v>53</v>
      </c>
      <c r="E12" s="8" t="s">
        <v>54</v>
      </c>
      <c r="F12" s="5"/>
      <c r="G12" s="9"/>
      <c r="H12" s="9"/>
      <c r="I12" s="9"/>
      <c r="J12" s="5"/>
      <c r="K12" s="5"/>
      <c r="L12" s="5"/>
      <c r="M12" s="5"/>
      <c r="N12" s="5"/>
      <c r="O12" s="5"/>
      <c r="P12" s="5"/>
      <c r="Q12" s="5"/>
      <c r="R12" s="5"/>
      <c r="S12" s="5"/>
      <c r="T12" s="5"/>
      <c r="U12" s="5"/>
      <c r="V12" s="5"/>
      <c r="W12" s="5"/>
      <c r="X12" s="5"/>
      <c r="Y12" s="5"/>
    </row>
    <row r="13" spans="1:25" ht="409.5">
      <c r="A13" s="6" t="s">
        <v>55</v>
      </c>
      <c r="B13" s="7" t="s">
        <v>56</v>
      </c>
      <c r="C13" s="8" t="s">
        <v>57</v>
      </c>
      <c r="D13" s="8" t="s">
        <v>58</v>
      </c>
      <c r="E13" s="8" t="s">
        <v>59</v>
      </c>
      <c r="F13" s="5"/>
      <c r="G13" s="9"/>
      <c r="H13" s="4"/>
      <c r="I13" s="4"/>
      <c r="J13" s="5"/>
      <c r="K13" s="5"/>
      <c r="L13" s="5"/>
      <c r="M13" s="5"/>
      <c r="N13" s="5"/>
      <c r="O13" s="5"/>
      <c r="P13" s="5"/>
      <c r="Q13" s="5"/>
      <c r="R13" s="5"/>
      <c r="S13" s="5"/>
      <c r="T13" s="5"/>
      <c r="U13" s="5"/>
      <c r="V13" s="5"/>
      <c r="W13" s="5"/>
      <c r="X13" s="5"/>
      <c r="Y13" s="5"/>
    </row>
    <row r="14" spans="1:25" ht="409.5">
      <c r="A14" s="6" t="s">
        <v>60</v>
      </c>
      <c r="B14" s="7" t="s">
        <v>61</v>
      </c>
      <c r="C14" s="8" t="s">
        <v>62</v>
      </c>
      <c r="D14" s="8" t="s">
        <v>63</v>
      </c>
      <c r="E14" s="8" t="s">
        <v>64</v>
      </c>
      <c r="F14" s="5"/>
      <c r="G14" s="9"/>
      <c r="H14" s="9"/>
      <c r="I14" s="9"/>
      <c r="J14" s="5"/>
      <c r="K14" s="5"/>
      <c r="L14" s="5"/>
      <c r="M14" s="5"/>
      <c r="N14" s="5"/>
      <c r="O14" s="5"/>
      <c r="P14" s="5"/>
      <c r="Q14" s="5"/>
      <c r="R14" s="5"/>
      <c r="S14" s="5"/>
      <c r="T14" s="5"/>
      <c r="U14" s="5"/>
      <c r="V14" s="5"/>
      <c r="W14" s="5"/>
      <c r="X14" s="5"/>
      <c r="Y14" s="5"/>
    </row>
    <row r="15" spans="1:25" ht="409.5">
      <c r="A15" s="6" t="s">
        <v>65</v>
      </c>
      <c r="B15" s="7" t="s">
        <v>66</v>
      </c>
      <c r="C15" s="8" t="s">
        <v>67</v>
      </c>
      <c r="D15" s="8" t="s">
        <v>68</v>
      </c>
      <c r="E15" s="8" t="s">
        <v>69</v>
      </c>
      <c r="F15" s="5"/>
      <c r="G15" s="9"/>
      <c r="H15" s="4"/>
      <c r="I15" s="4"/>
      <c r="J15" s="5"/>
      <c r="K15" s="5"/>
      <c r="L15" s="5"/>
      <c r="M15" s="5"/>
      <c r="N15" s="5"/>
      <c r="O15" s="5"/>
      <c r="P15" s="5"/>
      <c r="Q15" s="5"/>
      <c r="R15" s="5"/>
      <c r="S15" s="5"/>
      <c r="T15" s="5"/>
      <c r="U15" s="5"/>
      <c r="V15" s="5"/>
      <c r="W15" s="5"/>
      <c r="X15" s="5"/>
      <c r="Y15" s="5"/>
    </row>
    <row r="16" spans="1:25" ht="409.5">
      <c r="A16" s="6" t="s">
        <v>70</v>
      </c>
      <c r="B16" s="7" t="s">
        <v>71</v>
      </c>
      <c r="C16" s="8" t="s">
        <v>72</v>
      </c>
      <c r="D16" s="8" t="s">
        <v>73</v>
      </c>
      <c r="E16" s="8" t="s">
        <v>74</v>
      </c>
      <c r="F16" s="5"/>
      <c r="G16" s="9"/>
      <c r="H16" s="9"/>
      <c r="I16" s="9"/>
      <c r="J16" s="5"/>
      <c r="K16" s="5"/>
      <c r="L16" s="5"/>
      <c r="M16" s="5"/>
      <c r="N16" s="5"/>
      <c r="O16" s="5"/>
      <c r="P16" s="5"/>
      <c r="Q16" s="5"/>
      <c r="R16" s="5"/>
      <c r="S16" s="5"/>
      <c r="T16" s="5"/>
      <c r="U16" s="5"/>
      <c r="V16" s="5"/>
      <c r="W16" s="5"/>
      <c r="X16" s="5"/>
      <c r="Y16" s="5"/>
    </row>
    <row r="17" spans="1:25" ht="126">
      <c r="A17" s="1" t="s">
        <v>75</v>
      </c>
      <c r="B17" s="2" t="str">
        <f>CONCATENATE("Gestión de identidad y acceso: ",COUNTIF(B18:B26,"&lt;&gt;0"))</f>
        <v>Gestión de identidad y acceso: 9</v>
      </c>
      <c r="C17" s="8"/>
      <c r="D17" s="8"/>
      <c r="E17" s="8"/>
      <c r="F17" s="5"/>
      <c r="G17" s="5"/>
      <c r="H17" s="5"/>
      <c r="I17" s="5"/>
      <c r="J17" s="5"/>
      <c r="K17" s="5"/>
      <c r="L17" s="5"/>
      <c r="M17" s="5"/>
      <c r="N17" s="5"/>
      <c r="O17" s="5"/>
      <c r="P17" s="5"/>
      <c r="Q17" s="5"/>
      <c r="R17" s="5"/>
      <c r="S17" s="5"/>
      <c r="T17" s="5"/>
      <c r="U17" s="5"/>
      <c r="V17" s="5"/>
      <c r="W17" s="5"/>
      <c r="X17" s="5"/>
      <c r="Y17" s="5"/>
    </row>
    <row r="18" spans="1:25" ht="409.5">
      <c r="A18" s="6" t="s">
        <v>76</v>
      </c>
      <c r="B18" s="7" t="s">
        <v>77</v>
      </c>
      <c r="C18" s="8" t="s">
        <v>78</v>
      </c>
      <c r="D18" s="8" t="s">
        <v>79</v>
      </c>
      <c r="E18" s="8" t="s">
        <v>80</v>
      </c>
      <c r="F18" s="5"/>
      <c r="G18" s="5"/>
      <c r="H18" s="5"/>
      <c r="I18" s="5"/>
      <c r="J18" s="5"/>
      <c r="K18" s="5"/>
      <c r="L18" s="5"/>
      <c r="M18" s="5"/>
      <c r="N18" s="5"/>
      <c r="O18" s="5"/>
      <c r="P18" s="5"/>
      <c r="Q18" s="5"/>
      <c r="R18" s="5"/>
      <c r="S18" s="5"/>
      <c r="T18" s="5"/>
      <c r="U18" s="5"/>
      <c r="V18" s="5"/>
      <c r="W18" s="5"/>
      <c r="X18" s="5"/>
      <c r="Y18" s="5"/>
    </row>
    <row r="19" spans="1:25" ht="409.5">
      <c r="A19" s="6" t="s">
        <v>81</v>
      </c>
      <c r="B19" s="7" t="s">
        <v>82</v>
      </c>
      <c r="C19" s="8" t="s">
        <v>83</v>
      </c>
      <c r="D19" s="8" t="s">
        <v>84</v>
      </c>
      <c r="E19" s="8" t="s">
        <v>85</v>
      </c>
      <c r="F19" s="5"/>
      <c r="G19" s="5"/>
      <c r="H19" s="5"/>
      <c r="I19" s="5"/>
      <c r="J19" s="5"/>
      <c r="K19" s="5"/>
      <c r="L19" s="5"/>
      <c r="M19" s="5"/>
      <c r="N19" s="5"/>
      <c r="O19" s="5"/>
      <c r="P19" s="5"/>
      <c r="Q19" s="5"/>
      <c r="R19" s="5"/>
      <c r="S19" s="5"/>
      <c r="T19" s="5"/>
      <c r="U19" s="5"/>
      <c r="V19" s="5"/>
      <c r="W19" s="5"/>
      <c r="X19" s="5"/>
      <c r="Y19" s="5"/>
    </row>
    <row r="20" spans="1:25" ht="409.5">
      <c r="A20" s="6" t="s">
        <v>86</v>
      </c>
      <c r="B20" s="7" t="s">
        <v>87</v>
      </c>
      <c r="C20" s="8" t="s">
        <v>88</v>
      </c>
      <c r="D20" s="8" t="s">
        <v>89</v>
      </c>
      <c r="E20" s="8" t="s">
        <v>90</v>
      </c>
      <c r="F20" s="5"/>
      <c r="G20" s="5"/>
      <c r="H20" s="5"/>
      <c r="I20" s="5"/>
      <c r="J20" s="5"/>
      <c r="K20" s="5"/>
      <c r="L20" s="5"/>
      <c r="M20" s="5"/>
      <c r="N20" s="5"/>
      <c r="O20" s="5"/>
      <c r="P20" s="5"/>
      <c r="Q20" s="5"/>
      <c r="R20" s="5"/>
      <c r="S20" s="5"/>
      <c r="T20" s="5"/>
      <c r="U20" s="5"/>
      <c r="V20" s="5"/>
      <c r="W20" s="5"/>
      <c r="X20" s="5"/>
      <c r="Y20" s="5"/>
    </row>
    <row r="21" spans="1:25" ht="409.5">
      <c r="A21" s="6" t="s">
        <v>91</v>
      </c>
      <c r="B21" s="7" t="s">
        <v>92</v>
      </c>
      <c r="C21" s="8" t="s">
        <v>93</v>
      </c>
      <c r="D21" s="8" t="s">
        <v>94</v>
      </c>
      <c r="E21" s="8" t="s">
        <v>95</v>
      </c>
      <c r="F21" s="5"/>
      <c r="G21" s="5"/>
      <c r="H21" s="5"/>
      <c r="I21" s="5"/>
      <c r="J21" s="5"/>
      <c r="K21" s="5"/>
      <c r="L21" s="5"/>
      <c r="M21" s="5"/>
      <c r="N21" s="5"/>
      <c r="O21" s="5"/>
      <c r="P21" s="5"/>
      <c r="Q21" s="5"/>
      <c r="R21" s="5"/>
      <c r="S21" s="5"/>
      <c r="T21" s="5"/>
      <c r="U21" s="5"/>
      <c r="V21" s="5"/>
      <c r="W21" s="5"/>
      <c r="X21" s="5"/>
      <c r="Y21" s="5"/>
    </row>
    <row r="22" spans="1:25" ht="409.5">
      <c r="A22" s="6" t="s">
        <v>96</v>
      </c>
      <c r="B22" s="7" t="s">
        <v>97</v>
      </c>
      <c r="C22" s="8" t="s">
        <v>98</v>
      </c>
      <c r="D22" s="8" t="s">
        <v>99</v>
      </c>
      <c r="E22" s="8" t="s">
        <v>100</v>
      </c>
      <c r="F22" s="5"/>
      <c r="G22" s="5"/>
      <c r="H22" s="5"/>
      <c r="I22" s="5"/>
      <c r="J22" s="5"/>
      <c r="K22" s="5"/>
      <c r="L22" s="5"/>
      <c r="M22" s="5"/>
      <c r="N22" s="5"/>
      <c r="O22" s="5"/>
      <c r="P22" s="5"/>
      <c r="Q22" s="5"/>
      <c r="R22" s="5"/>
      <c r="S22" s="5"/>
      <c r="T22" s="5"/>
      <c r="U22" s="5"/>
      <c r="V22" s="5"/>
      <c r="W22" s="5"/>
      <c r="X22" s="5"/>
      <c r="Y22" s="5"/>
    </row>
    <row r="23" spans="1:25" ht="409.5">
      <c r="A23" s="6" t="s">
        <v>101</v>
      </c>
      <c r="B23" s="7" t="s">
        <v>102</v>
      </c>
      <c r="C23" s="8" t="s">
        <v>103</v>
      </c>
      <c r="D23" s="8" t="s">
        <v>104</v>
      </c>
      <c r="E23" s="8" t="s">
        <v>105</v>
      </c>
      <c r="F23" s="5"/>
      <c r="G23" s="5"/>
      <c r="H23" s="5"/>
      <c r="I23" s="5"/>
      <c r="J23" s="5"/>
      <c r="K23" s="5"/>
      <c r="L23" s="5"/>
      <c r="M23" s="5"/>
      <c r="N23" s="5"/>
      <c r="O23" s="5"/>
      <c r="P23" s="5"/>
      <c r="Q23" s="5"/>
      <c r="R23" s="5"/>
      <c r="S23" s="5"/>
      <c r="T23" s="5"/>
      <c r="U23" s="5"/>
      <c r="V23" s="5"/>
      <c r="W23" s="5"/>
      <c r="X23" s="5"/>
      <c r="Y23" s="5"/>
    </row>
    <row r="24" spans="1:25" ht="409.5">
      <c r="A24" s="6" t="s">
        <v>106</v>
      </c>
      <c r="B24" s="7" t="s">
        <v>107</v>
      </c>
      <c r="C24" s="8" t="s">
        <v>108</v>
      </c>
      <c r="D24" s="8" t="s">
        <v>109</v>
      </c>
      <c r="E24" s="8" t="s">
        <v>110</v>
      </c>
      <c r="F24" s="5"/>
      <c r="G24" s="5"/>
      <c r="H24" s="5"/>
      <c r="I24" s="5"/>
      <c r="J24" s="5"/>
      <c r="K24" s="5"/>
      <c r="L24" s="5"/>
      <c r="M24" s="5"/>
      <c r="N24" s="5"/>
      <c r="O24" s="5"/>
      <c r="P24" s="5"/>
      <c r="Q24" s="5"/>
      <c r="R24" s="5"/>
      <c r="S24" s="5"/>
      <c r="T24" s="5"/>
      <c r="U24" s="5"/>
      <c r="V24" s="5"/>
      <c r="W24" s="5"/>
      <c r="X24" s="5"/>
      <c r="Y24" s="5"/>
    </row>
    <row r="25" spans="1:25" ht="409.5">
      <c r="A25" s="6" t="s">
        <v>111</v>
      </c>
      <c r="B25" s="7" t="s">
        <v>112</v>
      </c>
      <c r="C25" s="8" t="s">
        <v>113</v>
      </c>
      <c r="D25" s="8" t="s">
        <v>114</v>
      </c>
      <c r="E25" s="8" t="s">
        <v>115</v>
      </c>
      <c r="F25" s="5"/>
      <c r="G25" s="5"/>
      <c r="H25" s="5"/>
      <c r="I25" s="5"/>
      <c r="J25" s="5"/>
      <c r="K25" s="5"/>
      <c r="L25" s="5"/>
      <c r="M25" s="5"/>
      <c r="N25" s="5"/>
      <c r="O25" s="5"/>
      <c r="P25" s="5"/>
      <c r="Q25" s="5"/>
      <c r="R25" s="5"/>
      <c r="S25" s="5"/>
      <c r="T25" s="5"/>
      <c r="U25" s="5"/>
      <c r="V25" s="5"/>
      <c r="W25" s="5"/>
      <c r="X25" s="5"/>
      <c r="Y25" s="5"/>
    </row>
    <row r="26" spans="1:25" ht="409.5">
      <c r="A26" s="6" t="s">
        <v>116</v>
      </c>
      <c r="B26" s="7" t="s">
        <v>117</v>
      </c>
      <c r="C26" s="8" t="s">
        <v>118</v>
      </c>
      <c r="D26" s="8" t="s">
        <v>119</v>
      </c>
      <c r="E26" s="8" t="s">
        <v>120</v>
      </c>
      <c r="F26" s="5"/>
      <c r="G26" s="5"/>
      <c r="H26" s="5"/>
      <c r="I26" s="5"/>
      <c r="J26" s="5"/>
      <c r="K26" s="5"/>
      <c r="L26" s="5"/>
      <c r="M26" s="5"/>
      <c r="N26" s="5"/>
      <c r="O26" s="5"/>
      <c r="P26" s="5"/>
      <c r="Q26" s="5"/>
      <c r="R26" s="5"/>
      <c r="S26" s="5"/>
      <c r="T26" s="5"/>
      <c r="U26" s="5"/>
      <c r="V26" s="5"/>
      <c r="W26" s="5"/>
      <c r="X26" s="5"/>
      <c r="Y26" s="5"/>
    </row>
    <row r="27" spans="1:25" ht="108">
      <c r="A27" s="1" t="s">
        <v>121</v>
      </c>
      <c r="B27" s="2" t="str">
        <f>CONCATENATE("Detección: ",COUNTIF(B28:B31,"&lt;&gt;0"))</f>
        <v>Detección: 4</v>
      </c>
      <c r="C27" s="8"/>
      <c r="D27" s="8"/>
      <c r="E27" s="8"/>
      <c r="F27" s="5"/>
      <c r="G27" s="5"/>
      <c r="H27" s="5"/>
      <c r="I27" s="5"/>
      <c r="J27" s="5"/>
      <c r="K27" s="5"/>
      <c r="L27" s="5"/>
      <c r="M27" s="5"/>
      <c r="N27" s="5"/>
      <c r="O27" s="5"/>
      <c r="P27" s="5"/>
      <c r="Q27" s="5"/>
      <c r="R27" s="5"/>
      <c r="S27" s="5"/>
      <c r="T27" s="5"/>
      <c r="U27" s="5"/>
      <c r="V27" s="5"/>
      <c r="W27" s="5"/>
      <c r="X27" s="5"/>
      <c r="Y27" s="5"/>
    </row>
    <row r="28" spans="1:25" ht="409.5">
      <c r="A28" s="6" t="s">
        <v>122</v>
      </c>
      <c r="B28" s="7" t="s">
        <v>123</v>
      </c>
      <c r="C28" s="8" t="s">
        <v>124</v>
      </c>
      <c r="D28" s="8" t="s">
        <v>125</v>
      </c>
      <c r="E28" s="8" t="s">
        <v>126</v>
      </c>
      <c r="F28" s="5"/>
      <c r="G28" s="5"/>
      <c r="H28" s="5"/>
      <c r="I28" s="5"/>
      <c r="J28" s="5"/>
      <c r="K28" s="5"/>
      <c r="L28" s="5"/>
      <c r="M28" s="5"/>
      <c r="N28" s="5"/>
      <c r="O28" s="5"/>
      <c r="P28" s="5"/>
      <c r="Q28" s="5"/>
      <c r="R28" s="5"/>
      <c r="S28" s="5"/>
      <c r="T28" s="5"/>
      <c r="U28" s="5"/>
      <c r="V28" s="5"/>
      <c r="W28" s="5"/>
      <c r="X28" s="5"/>
      <c r="Y28" s="5"/>
    </row>
    <row r="29" spans="1:25" ht="409.5">
      <c r="A29" s="6" t="s">
        <v>127</v>
      </c>
      <c r="B29" s="7" t="s">
        <v>128</v>
      </c>
      <c r="C29" s="8" t="s">
        <v>129</v>
      </c>
      <c r="D29" s="8" t="s">
        <v>130</v>
      </c>
      <c r="E29" s="8" t="s">
        <v>131</v>
      </c>
      <c r="F29" s="5"/>
      <c r="G29" s="5"/>
      <c r="H29" s="5"/>
      <c r="I29" s="5"/>
      <c r="J29" s="5"/>
      <c r="K29" s="5"/>
      <c r="L29" s="5"/>
      <c r="M29" s="5"/>
      <c r="N29" s="5"/>
      <c r="O29" s="5"/>
      <c r="P29" s="5"/>
      <c r="Q29" s="5"/>
      <c r="R29" s="5"/>
      <c r="S29" s="5"/>
      <c r="T29" s="5"/>
      <c r="U29" s="5"/>
      <c r="V29" s="5"/>
      <c r="W29" s="5"/>
      <c r="X29" s="5"/>
      <c r="Y29" s="5"/>
    </row>
    <row r="30" spans="1:25" ht="409.5">
      <c r="A30" s="6" t="s">
        <v>132</v>
      </c>
      <c r="B30" s="7" t="s">
        <v>133</v>
      </c>
      <c r="C30" s="8" t="s">
        <v>134</v>
      </c>
      <c r="D30" s="8" t="s">
        <v>135</v>
      </c>
      <c r="E30" s="8" t="s">
        <v>136</v>
      </c>
      <c r="F30" s="5"/>
      <c r="G30" s="5"/>
      <c r="H30" s="5"/>
      <c r="I30" s="5"/>
      <c r="J30" s="5"/>
      <c r="K30" s="5"/>
      <c r="L30" s="5"/>
      <c r="M30" s="5"/>
      <c r="N30" s="5"/>
      <c r="O30" s="5"/>
      <c r="P30" s="5"/>
      <c r="Q30" s="5"/>
      <c r="R30" s="5"/>
      <c r="S30" s="5"/>
      <c r="T30" s="5"/>
      <c r="U30" s="5"/>
      <c r="V30" s="5"/>
      <c r="W30" s="5"/>
      <c r="X30" s="5"/>
      <c r="Y30" s="5"/>
    </row>
    <row r="31" spans="1:25" ht="409.5">
      <c r="A31" s="6" t="s">
        <v>137</v>
      </c>
      <c r="B31" s="7" t="s">
        <v>138</v>
      </c>
      <c r="C31" s="8" t="s">
        <v>139</v>
      </c>
      <c r="D31" s="8" t="s">
        <v>140</v>
      </c>
      <c r="E31" s="8" t="s">
        <v>141</v>
      </c>
      <c r="F31" s="5"/>
      <c r="G31" s="5"/>
      <c r="H31" s="5"/>
      <c r="I31" s="5"/>
      <c r="J31" s="5"/>
      <c r="K31" s="5"/>
      <c r="L31" s="5"/>
      <c r="M31" s="5"/>
      <c r="N31" s="5"/>
      <c r="O31" s="5"/>
      <c r="P31" s="5"/>
      <c r="Q31" s="5"/>
      <c r="R31" s="5"/>
      <c r="S31" s="5"/>
      <c r="T31" s="5"/>
      <c r="U31" s="5"/>
      <c r="V31" s="5"/>
      <c r="W31" s="5"/>
      <c r="X31" s="5"/>
      <c r="Y31" s="5"/>
    </row>
    <row r="32" spans="1:25" ht="90">
      <c r="A32" s="1" t="s">
        <v>142</v>
      </c>
      <c r="B32" s="2" t="str">
        <f>CONCATENATE("Protección de infraestructura: ",COUNTIF(B33:B36,"&lt;&gt;0"))</f>
        <v>Protección de infraestructura: 4</v>
      </c>
      <c r="C32" s="8"/>
      <c r="D32" s="8"/>
      <c r="E32" s="8"/>
      <c r="F32" s="5"/>
      <c r="G32" s="5"/>
      <c r="H32" s="5"/>
      <c r="I32" s="5"/>
      <c r="J32" s="5"/>
      <c r="K32" s="5"/>
      <c r="L32" s="5"/>
      <c r="M32" s="5"/>
      <c r="N32" s="5"/>
      <c r="O32" s="5"/>
      <c r="P32" s="5"/>
      <c r="Q32" s="5"/>
      <c r="R32" s="5"/>
      <c r="S32" s="5"/>
      <c r="T32" s="5"/>
      <c r="U32" s="5"/>
      <c r="V32" s="5"/>
      <c r="W32" s="5"/>
      <c r="X32" s="5"/>
      <c r="Y32" s="5"/>
    </row>
    <row r="33" spans="1:25" ht="409.5">
      <c r="A33" s="6" t="s">
        <v>143</v>
      </c>
      <c r="B33" s="7" t="s">
        <v>144</v>
      </c>
      <c r="C33" s="8" t="s">
        <v>145</v>
      </c>
      <c r="D33" s="8" t="s">
        <v>146</v>
      </c>
      <c r="E33" s="8" t="s">
        <v>147</v>
      </c>
      <c r="F33" s="5"/>
      <c r="G33" s="5"/>
      <c r="H33" s="5"/>
      <c r="I33" s="5"/>
      <c r="J33" s="5"/>
      <c r="K33" s="5"/>
      <c r="L33" s="5"/>
      <c r="M33" s="5"/>
      <c r="N33" s="5"/>
      <c r="O33" s="5"/>
      <c r="P33" s="5"/>
      <c r="Q33" s="5"/>
      <c r="R33" s="5"/>
      <c r="S33" s="5"/>
      <c r="T33" s="5"/>
      <c r="U33" s="5"/>
      <c r="V33" s="5"/>
      <c r="W33" s="5"/>
      <c r="X33" s="5"/>
      <c r="Y33" s="5"/>
    </row>
    <row r="34" spans="1:25" ht="409.5">
      <c r="A34" s="6" t="s">
        <v>148</v>
      </c>
      <c r="B34" s="7" t="s">
        <v>149</v>
      </c>
      <c r="C34" s="8" t="s">
        <v>150</v>
      </c>
      <c r="D34" s="8" t="s">
        <v>151</v>
      </c>
      <c r="E34" s="8" t="s">
        <v>152</v>
      </c>
      <c r="F34" s="5"/>
      <c r="G34" s="5"/>
      <c r="H34" s="5"/>
      <c r="I34" s="5"/>
      <c r="J34" s="5"/>
      <c r="K34" s="5"/>
      <c r="L34" s="5"/>
      <c r="M34" s="5"/>
      <c r="N34" s="5"/>
      <c r="O34" s="5"/>
      <c r="P34" s="5"/>
      <c r="Q34" s="5"/>
      <c r="R34" s="5"/>
      <c r="S34" s="5"/>
      <c r="T34" s="5"/>
      <c r="U34" s="5"/>
      <c r="V34" s="5"/>
      <c r="W34" s="5"/>
      <c r="X34" s="5"/>
      <c r="Y34" s="5"/>
    </row>
    <row r="35" spans="1:25" ht="409.5">
      <c r="A35" s="6" t="s">
        <v>153</v>
      </c>
      <c r="B35" s="7" t="s">
        <v>154</v>
      </c>
      <c r="C35" s="8" t="s">
        <v>155</v>
      </c>
      <c r="D35" s="8" t="s">
        <v>156</v>
      </c>
      <c r="E35" s="8" t="s">
        <v>157</v>
      </c>
      <c r="F35" s="5"/>
      <c r="G35" s="5"/>
      <c r="H35" s="5"/>
      <c r="I35" s="5"/>
      <c r="J35" s="5"/>
      <c r="K35" s="5"/>
      <c r="L35" s="5"/>
      <c r="M35" s="5"/>
      <c r="N35" s="5"/>
      <c r="O35" s="5"/>
      <c r="P35" s="5"/>
      <c r="Q35" s="5"/>
      <c r="R35" s="5"/>
      <c r="S35" s="5"/>
      <c r="T35" s="5"/>
      <c r="U35" s="5"/>
      <c r="V35" s="5"/>
      <c r="W35" s="5"/>
      <c r="X35" s="5"/>
      <c r="Y35" s="5"/>
    </row>
    <row r="36" spans="1:25" ht="409.5">
      <c r="A36" s="6" t="s">
        <v>158</v>
      </c>
      <c r="B36" s="7" t="s">
        <v>159</v>
      </c>
      <c r="C36" s="8" t="s">
        <v>160</v>
      </c>
      <c r="D36" s="8" t="s">
        <v>161</v>
      </c>
      <c r="E36" s="8" t="s">
        <v>162</v>
      </c>
      <c r="F36" s="5"/>
      <c r="G36" s="5"/>
      <c r="H36" s="5"/>
      <c r="I36" s="5"/>
      <c r="J36" s="5"/>
      <c r="K36" s="5"/>
      <c r="L36" s="5"/>
      <c r="M36" s="5"/>
      <c r="N36" s="5"/>
      <c r="O36" s="5"/>
      <c r="P36" s="5"/>
      <c r="Q36" s="5"/>
      <c r="R36" s="5"/>
      <c r="S36" s="5"/>
      <c r="T36" s="5"/>
      <c r="U36" s="5"/>
      <c r="V36" s="5"/>
      <c r="W36" s="5"/>
      <c r="X36" s="5"/>
      <c r="Y36" s="5"/>
    </row>
    <row r="37" spans="1:25" ht="90">
      <c r="A37" s="1" t="s">
        <v>163</v>
      </c>
      <c r="B37" s="2" t="str">
        <f>CONCATENATE("Protección de infraestructura: ",COUNTIF(B38:B42,"&lt;&gt;0"))</f>
        <v>Protección de infraestructura: 5</v>
      </c>
      <c r="C37" s="8"/>
      <c r="D37" s="8"/>
      <c r="E37" s="8"/>
      <c r="F37" s="5"/>
      <c r="G37" s="5"/>
      <c r="H37" s="5"/>
      <c r="I37" s="5"/>
      <c r="J37" s="5"/>
      <c r="K37" s="5"/>
      <c r="L37" s="5"/>
      <c r="M37" s="5"/>
      <c r="N37" s="5"/>
      <c r="O37" s="5"/>
      <c r="P37" s="5"/>
      <c r="Q37" s="5"/>
      <c r="R37" s="5"/>
      <c r="S37" s="5"/>
      <c r="T37" s="5"/>
      <c r="U37" s="5"/>
      <c r="V37" s="5"/>
      <c r="W37" s="5"/>
      <c r="X37" s="5"/>
      <c r="Y37" s="5"/>
    </row>
    <row r="38" spans="1:25" ht="409.5">
      <c r="A38" s="6" t="s">
        <v>164</v>
      </c>
      <c r="B38" s="7" t="s">
        <v>165</v>
      </c>
      <c r="C38" s="8" t="s">
        <v>166</v>
      </c>
      <c r="D38" s="8" t="s">
        <v>167</v>
      </c>
      <c r="E38" s="8" t="s">
        <v>168</v>
      </c>
      <c r="F38" s="5"/>
      <c r="G38" s="5"/>
      <c r="H38" s="5"/>
      <c r="I38" s="5"/>
      <c r="J38" s="5"/>
      <c r="K38" s="5"/>
      <c r="L38" s="5"/>
      <c r="M38" s="5"/>
      <c r="N38" s="5"/>
      <c r="O38" s="5"/>
      <c r="P38" s="5"/>
      <c r="Q38" s="5"/>
      <c r="R38" s="5"/>
      <c r="S38" s="5"/>
      <c r="T38" s="5"/>
      <c r="U38" s="5"/>
      <c r="V38" s="5"/>
      <c r="W38" s="5"/>
      <c r="X38" s="5"/>
      <c r="Y38" s="5"/>
    </row>
    <row r="39" spans="1:25" ht="409.5">
      <c r="A39" s="6" t="s">
        <v>169</v>
      </c>
      <c r="B39" s="7" t="s">
        <v>170</v>
      </c>
      <c r="C39" s="8" t="s">
        <v>171</v>
      </c>
      <c r="D39" s="8" t="s">
        <v>172</v>
      </c>
      <c r="E39" s="8" t="s">
        <v>173</v>
      </c>
      <c r="F39" s="5"/>
      <c r="G39" s="5"/>
      <c r="H39" s="5"/>
      <c r="I39" s="5"/>
      <c r="J39" s="5"/>
      <c r="K39" s="5"/>
      <c r="L39" s="5"/>
      <c r="M39" s="5"/>
      <c r="N39" s="5"/>
      <c r="O39" s="5"/>
      <c r="P39" s="5"/>
      <c r="Q39" s="5"/>
      <c r="R39" s="5"/>
      <c r="S39" s="5"/>
      <c r="T39" s="5"/>
      <c r="U39" s="5"/>
      <c r="V39" s="5"/>
      <c r="W39" s="5"/>
      <c r="X39" s="5"/>
      <c r="Y39" s="5"/>
    </row>
    <row r="40" spans="1:25" ht="409.5">
      <c r="A40" s="6" t="s">
        <v>174</v>
      </c>
      <c r="B40" s="7" t="s">
        <v>175</v>
      </c>
      <c r="C40" s="8" t="s">
        <v>176</v>
      </c>
      <c r="D40" s="8" t="s">
        <v>177</v>
      </c>
      <c r="E40" s="8" t="s">
        <v>178</v>
      </c>
      <c r="F40" s="5"/>
      <c r="G40" s="5"/>
      <c r="H40" s="5"/>
      <c r="I40" s="5"/>
      <c r="J40" s="5"/>
      <c r="K40" s="5"/>
      <c r="L40" s="5"/>
      <c r="M40" s="5"/>
      <c r="N40" s="5"/>
      <c r="O40" s="5"/>
      <c r="P40" s="5"/>
      <c r="Q40" s="5"/>
      <c r="R40" s="5"/>
      <c r="S40" s="5"/>
      <c r="T40" s="5"/>
      <c r="U40" s="5"/>
      <c r="V40" s="5"/>
      <c r="W40" s="5"/>
      <c r="X40" s="5"/>
      <c r="Y40" s="5"/>
    </row>
    <row r="41" spans="1:25" ht="409.5">
      <c r="A41" s="6" t="s">
        <v>179</v>
      </c>
      <c r="B41" s="7" t="s">
        <v>180</v>
      </c>
      <c r="C41" s="8" t="s">
        <v>181</v>
      </c>
      <c r="D41" s="8" t="s">
        <v>182</v>
      </c>
      <c r="E41" s="8" t="s">
        <v>183</v>
      </c>
      <c r="F41" s="5"/>
      <c r="G41" s="5"/>
      <c r="H41" s="5"/>
      <c r="I41" s="5"/>
      <c r="J41" s="5"/>
      <c r="K41" s="5"/>
      <c r="L41" s="5"/>
      <c r="M41" s="5"/>
      <c r="N41" s="5"/>
      <c r="O41" s="5"/>
      <c r="P41" s="5"/>
      <c r="Q41" s="5"/>
      <c r="R41" s="5"/>
      <c r="S41" s="5"/>
      <c r="T41" s="5"/>
      <c r="U41" s="5"/>
      <c r="V41" s="5"/>
      <c r="W41" s="5"/>
      <c r="X41" s="5"/>
      <c r="Y41" s="5"/>
    </row>
    <row r="42" spans="1:25" ht="409.5">
      <c r="A42" s="6" t="s">
        <v>184</v>
      </c>
      <c r="B42" s="7" t="s">
        <v>185</v>
      </c>
      <c r="C42" s="8" t="s">
        <v>186</v>
      </c>
      <c r="D42" s="8" t="s">
        <v>187</v>
      </c>
      <c r="E42" s="8" t="s">
        <v>188</v>
      </c>
      <c r="F42" s="5"/>
      <c r="G42" s="5"/>
      <c r="H42" s="5"/>
      <c r="I42" s="5"/>
      <c r="J42" s="5"/>
      <c r="K42" s="5"/>
      <c r="L42" s="5"/>
      <c r="M42" s="5"/>
      <c r="N42" s="5"/>
      <c r="O42" s="5"/>
      <c r="P42" s="5"/>
      <c r="Q42" s="5"/>
      <c r="R42" s="5"/>
      <c r="S42" s="5"/>
      <c r="T42" s="5"/>
      <c r="U42" s="5"/>
      <c r="V42" s="5"/>
      <c r="W42" s="5"/>
      <c r="X42" s="5"/>
      <c r="Y42" s="5"/>
    </row>
    <row r="43" spans="1:25" ht="54">
      <c r="A43" s="1" t="s">
        <v>189</v>
      </c>
      <c r="B43" s="2" t="str">
        <f>CONCATENATE("Protección de datos: ",COUNTIF(B44:B47,"&lt;&gt;0"))</f>
        <v>Protección de datos: 4</v>
      </c>
      <c r="C43" s="8"/>
      <c r="D43" s="8"/>
      <c r="E43" s="8"/>
      <c r="F43" s="5"/>
      <c r="G43" s="5"/>
      <c r="H43" s="5"/>
      <c r="I43" s="5"/>
      <c r="J43" s="5"/>
      <c r="K43" s="5"/>
      <c r="L43" s="5"/>
      <c r="M43" s="5"/>
      <c r="N43" s="5"/>
      <c r="O43" s="5"/>
      <c r="P43" s="5"/>
      <c r="Q43" s="5"/>
      <c r="R43" s="5"/>
      <c r="S43" s="5"/>
      <c r="T43" s="5"/>
      <c r="U43" s="5"/>
      <c r="V43" s="5"/>
      <c r="W43" s="5"/>
      <c r="X43" s="5"/>
      <c r="Y43" s="5"/>
    </row>
    <row r="44" spans="1:25" ht="409.5">
      <c r="A44" s="11" t="s">
        <v>190</v>
      </c>
      <c r="B44" s="7" t="s">
        <v>191</v>
      </c>
      <c r="C44" s="8" t="s">
        <v>192</v>
      </c>
      <c r="D44" s="8" t="s">
        <v>193</v>
      </c>
      <c r="E44" s="8" t="s">
        <v>194</v>
      </c>
      <c r="F44" s="5"/>
      <c r="G44" s="5"/>
      <c r="H44" s="5"/>
      <c r="I44" s="5"/>
      <c r="J44" s="5"/>
      <c r="K44" s="5"/>
      <c r="L44" s="5"/>
      <c r="M44" s="5"/>
      <c r="N44" s="5"/>
      <c r="O44" s="5"/>
      <c r="P44" s="5"/>
      <c r="Q44" s="5"/>
      <c r="R44" s="5"/>
      <c r="S44" s="5"/>
      <c r="T44" s="5"/>
      <c r="U44" s="5"/>
      <c r="V44" s="5"/>
      <c r="W44" s="5"/>
      <c r="X44" s="5"/>
      <c r="Y44" s="5"/>
    </row>
    <row r="45" spans="1:25" ht="409.5">
      <c r="A45" s="11" t="s">
        <v>195</v>
      </c>
      <c r="B45" s="7" t="s">
        <v>196</v>
      </c>
      <c r="C45" s="8" t="s">
        <v>197</v>
      </c>
      <c r="D45" s="8" t="s">
        <v>198</v>
      </c>
      <c r="E45" s="8" t="s">
        <v>199</v>
      </c>
      <c r="F45" s="5"/>
      <c r="G45" s="5"/>
      <c r="H45" s="5"/>
      <c r="I45" s="5"/>
      <c r="J45" s="5"/>
      <c r="K45" s="5"/>
      <c r="L45" s="5"/>
      <c r="M45" s="5"/>
      <c r="N45" s="5"/>
      <c r="O45" s="5"/>
      <c r="P45" s="5"/>
      <c r="Q45" s="5"/>
      <c r="R45" s="5"/>
      <c r="S45" s="5"/>
      <c r="T45" s="5"/>
      <c r="U45" s="5"/>
      <c r="V45" s="5"/>
      <c r="W45" s="5"/>
      <c r="X45" s="5"/>
      <c r="Y45" s="5"/>
    </row>
    <row r="46" spans="1:25" ht="409.5">
      <c r="A46" s="11" t="s">
        <v>200</v>
      </c>
      <c r="B46" s="7" t="s">
        <v>201</v>
      </c>
      <c r="C46" s="8" t="s">
        <v>202</v>
      </c>
      <c r="D46" s="8" t="s">
        <v>203</v>
      </c>
      <c r="E46" s="8" t="s">
        <v>204</v>
      </c>
      <c r="F46" s="5"/>
      <c r="G46" s="5"/>
      <c r="H46" s="5"/>
      <c r="I46" s="5"/>
      <c r="J46" s="5"/>
      <c r="K46" s="5"/>
      <c r="L46" s="5"/>
      <c r="M46" s="5"/>
      <c r="N46" s="5"/>
      <c r="O46" s="5"/>
      <c r="P46" s="5"/>
      <c r="Q46" s="5"/>
      <c r="R46" s="5"/>
      <c r="S46" s="5"/>
      <c r="T46" s="5"/>
      <c r="U46" s="5"/>
      <c r="V46" s="5"/>
      <c r="W46" s="5"/>
      <c r="X46" s="5"/>
      <c r="Y46" s="5"/>
    </row>
    <row r="47" spans="1:25" ht="409.5">
      <c r="A47" s="11" t="s">
        <v>205</v>
      </c>
      <c r="B47" s="7" t="s">
        <v>206</v>
      </c>
      <c r="C47" s="8" t="s">
        <v>207</v>
      </c>
      <c r="D47" s="8" t="s">
        <v>208</v>
      </c>
      <c r="E47" s="8" t="s">
        <v>209</v>
      </c>
      <c r="F47" s="5"/>
      <c r="G47" s="5"/>
      <c r="H47" s="5"/>
      <c r="I47" s="5"/>
      <c r="J47" s="5"/>
      <c r="K47" s="5"/>
      <c r="L47" s="5"/>
      <c r="M47" s="5"/>
      <c r="N47" s="5"/>
      <c r="O47" s="5"/>
      <c r="P47" s="5"/>
      <c r="Q47" s="5"/>
      <c r="R47" s="5"/>
      <c r="S47" s="5"/>
      <c r="T47" s="5"/>
      <c r="U47" s="5"/>
      <c r="V47" s="5"/>
      <c r="W47" s="5"/>
      <c r="X47" s="5"/>
      <c r="Y47" s="5"/>
    </row>
    <row r="48" spans="1:25" ht="72">
      <c r="A48" s="1" t="s">
        <v>210</v>
      </c>
      <c r="B48" s="2" t="str">
        <f>CONCATENATE("Protección de datos: ",COUNTIF(B49:B52,"&lt;&gt;0"))</f>
        <v>Protección de datos: 4</v>
      </c>
      <c r="C48" s="8"/>
      <c r="D48" s="8"/>
      <c r="E48" s="8"/>
      <c r="F48" s="5"/>
      <c r="G48" s="5"/>
      <c r="H48" s="5"/>
      <c r="I48" s="5"/>
      <c r="J48" s="5"/>
      <c r="K48" s="5"/>
      <c r="L48" s="5"/>
      <c r="M48" s="5"/>
      <c r="N48" s="5"/>
      <c r="O48" s="5"/>
      <c r="P48" s="5"/>
      <c r="Q48" s="5"/>
      <c r="R48" s="5"/>
      <c r="S48" s="5"/>
      <c r="T48" s="5"/>
      <c r="U48" s="5"/>
      <c r="V48" s="5"/>
      <c r="W48" s="5"/>
      <c r="X48" s="5"/>
      <c r="Y48" s="5"/>
    </row>
    <row r="49" spans="1:25" ht="409.5">
      <c r="A49" s="11" t="s">
        <v>211</v>
      </c>
      <c r="B49" s="7" t="s">
        <v>212</v>
      </c>
      <c r="C49" s="8" t="s">
        <v>213</v>
      </c>
      <c r="D49" s="8" t="s">
        <v>214</v>
      </c>
      <c r="E49" s="8" t="s">
        <v>215</v>
      </c>
      <c r="F49" s="5"/>
      <c r="G49" s="5"/>
      <c r="H49" s="5"/>
      <c r="I49" s="5"/>
      <c r="J49" s="5"/>
      <c r="K49" s="5"/>
      <c r="L49" s="5"/>
      <c r="M49" s="5"/>
      <c r="N49" s="5"/>
      <c r="O49" s="5"/>
      <c r="P49" s="5"/>
      <c r="Q49" s="5"/>
      <c r="R49" s="5"/>
      <c r="S49" s="5"/>
      <c r="T49" s="5"/>
      <c r="U49" s="5"/>
      <c r="V49" s="5"/>
      <c r="W49" s="5"/>
      <c r="X49" s="5"/>
      <c r="Y49" s="5"/>
    </row>
    <row r="50" spans="1:25" ht="409.5">
      <c r="A50" s="11" t="s">
        <v>216</v>
      </c>
      <c r="B50" s="7" t="s">
        <v>217</v>
      </c>
      <c r="C50" s="8" t="s">
        <v>218</v>
      </c>
      <c r="D50" s="8" t="s">
        <v>219</v>
      </c>
      <c r="E50" s="8" t="s">
        <v>220</v>
      </c>
      <c r="F50" s="5"/>
      <c r="G50" s="5"/>
      <c r="H50" s="5"/>
      <c r="I50" s="5"/>
      <c r="J50" s="5"/>
      <c r="K50" s="5"/>
      <c r="L50" s="5"/>
      <c r="M50" s="5"/>
      <c r="N50" s="5"/>
      <c r="O50" s="5"/>
      <c r="P50" s="5"/>
      <c r="Q50" s="5"/>
      <c r="R50" s="5"/>
      <c r="S50" s="5"/>
      <c r="T50" s="5"/>
      <c r="U50" s="5"/>
      <c r="V50" s="5"/>
      <c r="W50" s="5"/>
      <c r="X50" s="5"/>
      <c r="Y50" s="5"/>
    </row>
    <row r="51" spans="1:25" ht="409.5">
      <c r="A51" s="11" t="s">
        <v>221</v>
      </c>
      <c r="B51" s="7" t="s">
        <v>222</v>
      </c>
      <c r="C51" s="8" t="s">
        <v>223</v>
      </c>
      <c r="D51" s="8" t="s">
        <v>224</v>
      </c>
      <c r="E51" s="8" t="s">
        <v>225</v>
      </c>
      <c r="F51" s="5"/>
      <c r="G51" s="5"/>
      <c r="H51" s="5"/>
      <c r="I51" s="5"/>
      <c r="J51" s="5"/>
      <c r="K51" s="5"/>
      <c r="L51" s="5"/>
      <c r="M51" s="5"/>
      <c r="N51" s="5"/>
      <c r="O51" s="5"/>
      <c r="P51" s="5"/>
      <c r="Q51" s="5"/>
      <c r="R51" s="5"/>
      <c r="S51" s="5"/>
      <c r="T51" s="5"/>
      <c r="U51" s="5"/>
      <c r="V51" s="5"/>
      <c r="W51" s="5"/>
      <c r="X51" s="5"/>
      <c r="Y51" s="5"/>
    </row>
    <row r="52" spans="1:25" ht="409.5">
      <c r="A52" s="11" t="s">
        <v>226</v>
      </c>
      <c r="B52" s="7" t="s">
        <v>227</v>
      </c>
      <c r="C52" s="8" t="s">
        <v>228</v>
      </c>
      <c r="D52" s="8" t="s">
        <v>229</v>
      </c>
      <c r="E52" s="8" t="s">
        <v>230</v>
      </c>
      <c r="F52" s="5"/>
      <c r="G52" s="5"/>
      <c r="H52" s="5"/>
      <c r="I52" s="5"/>
      <c r="J52" s="5"/>
      <c r="K52" s="5"/>
      <c r="L52" s="5"/>
      <c r="M52" s="5"/>
      <c r="N52" s="5"/>
      <c r="O52" s="5"/>
      <c r="P52" s="5"/>
      <c r="Q52" s="5"/>
      <c r="R52" s="5"/>
      <c r="S52" s="5"/>
      <c r="T52" s="5"/>
      <c r="U52" s="5"/>
      <c r="V52" s="5"/>
      <c r="W52" s="5"/>
      <c r="X52" s="5"/>
      <c r="Y52" s="5"/>
    </row>
    <row r="53" spans="1:25" ht="72">
      <c r="A53" s="1" t="s">
        <v>231</v>
      </c>
      <c r="B53" s="2" t="str">
        <f>CONCATENATE("Protección de datos: ",COUNTIF(B54:B56,"&lt;&gt;0"))</f>
        <v>Protección de datos: 3</v>
      </c>
      <c r="C53" s="8"/>
      <c r="D53" s="8"/>
      <c r="E53" s="8"/>
      <c r="F53" s="5"/>
      <c r="G53" s="5"/>
      <c r="H53" s="5"/>
      <c r="I53" s="5"/>
      <c r="J53" s="5"/>
      <c r="K53" s="5"/>
      <c r="L53" s="5"/>
      <c r="M53" s="5"/>
      <c r="N53" s="5"/>
      <c r="O53" s="5"/>
      <c r="P53" s="5"/>
      <c r="Q53" s="5"/>
      <c r="R53" s="5"/>
      <c r="S53" s="5"/>
      <c r="T53" s="5"/>
      <c r="U53" s="5"/>
      <c r="V53" s="5"/>
      <c r="W53" s="5"/>
      <c r="X53" s="5"/>
      <c r="Y53" s="5"/>
    </row>
    <row r="54" spans="1:25" ht="409.5">
      <c r="A54" s="11" t="s">
        <v>232</v>
      </c>
      <c r="B54" s="7" t="s">
        <v>233</v>
      </c>
      <c r="C54" s="8" t="s">
        <v>234</v>
      </c>
      <c r="D54" s="8" t="s">
        <v>235</v>
      </c>
      <c r="E54" s="8" t="s">
        <v>236</v>
      </c>
      <c r="F54" s="5"/>
      <c r="G54" s="5"/>
      <c r="H54" s="5"/>
      <c r="I54" s="5"/>
      <c r="J54" s="5"/>
      <c r="K54" s="5"/>
      <c r="L54" s="5"/>
      <c r="M54" s="5"/>
      <c r="N54" s="5"/>
      <c r="O54" s="5"/>
      <c r="P54" s="5"/>
      <c r="Q54" s="5"/>
      <c r="R54" s="5"/>
      <c r="S54" s="5"/>
      <c r="T54" s="5"/>
      <c r="U54" s="5"/>
      <c r="V54" s="5"/>
      <c r="W54" s="5"/>
      <c r="X54" s="5"/>
      <c r="Y54" s="5"/>
    </row>
    <row r="55" spans="1:25" ht="409.5">
      <c r="A55" s="11" t="s">
        <v>237</v>
      </c>
      <c r="B55" s="7" t="s">
        <v>238</v>
      </c>
      <c r="C55" s="8" t="s">
        <v>239</v>
      </c>
      <c r="D55" s="8" t="s">
        <v>240</v>
      </c>
      <c r="E55" s="8" t="s">
        <v>241</v>
      </c>
      <c r="F55" s="5"/>
      <c r="G55" s="5"/>
      <c r="H55" s="5"/>
      <c r="I55" s="5"/>
      <c r="J55" s="5"/>
      <c r="K55" s="5"/>
      <c r="L55" s="5"/>
      <c r="M55" s="5"/>
      <c r="N55" s="5"/>
      <c r="O55" s="5"/>
      <c r="P55" s="5"/>
      <c r="Q55" s="5"/>
      <c r="R55" s="5"/>
      <c r="S55" s="5"/>
      <c r="T55" s="5"/>
      <c r="U55" s="5"/>
      <c r="V55" s="5"/>
      <c r="W55" s="5"/>
      <c r="X55" s="5"/>
      <c r="Y55" s="5"/>
    </row>
    <row r="56" spans="1:25" ht="409.5">
      <c r="A56" s="11" t="s">
        <v>242</v>
      </c>
      <c r="B56" s="7" t="s">
        <v>243</v>
      </c>
      <c r="C56" s="8" t="s">
        <v>244</v>
      </c>
      <c r="D56" s="8" t="s">
        <v>245</v>
      </c>
      <c r="E56" s="8" t="s">
        <v>246</v>
      </c>
      <c r="F56" s="5"/>
      <c r="G56" s="5"/>
      <c r="H56" s="5"/>
      <c r="I56" s="5"/>
      <c r="J56" s="5"/>
      <c r="K56" s="5"/>
      <c r="L56" s="5"/>
      <c r="M56" s="5"/>
      <c r="N56" s="5"/>
      <c r="O56" s="5"/>
      <c r="P56" s="5"/>
      <c r="Q56" s="5"/>
      <c r="R56" s="5"/>
      <c r="S56" s="5"/>
      <c r="T56" s="5"/>
      <c r="U56" s="5"/>
      <c r="V56" s="5"/>
      <c r="W56" s="5"/>
      <c r="X56" s="5"/>
      <c r="Y56" s="5"/>
    </row>
    <row r="57" spans="1:25" ht="108">
      <c r="A57" s="1" t="s">
        <v>247</v>
      </c>
      <c r="B57" s="2" t="str">
        <f>CONCATENATE("Respuestas e incidencias: ",COUNTIF(B58:B65,"&lt;&gt;0"))</f>
        <v>Respuestas e incidencias: 8</v>
      </c>
      <c r="C57" s="8"/>
      <c r="D57" s="8"/>
      <c r="E57" s="8"/>
      <c r="F57" s="5"/>
      <c r="G57" s="5"/>
      <c r="H57" s="5"/>
      <c r="I57" s="5"/>
      <c r="J57" s="5"/>
      <c r="K57" s="5"/>
      <c r="L57" s="5"/>
      <c r="M57" s="5"/>
      <c r="N57" s="5"/>
      <c r="O57" s="5"/>
      <c r="P57" s="5"/>
      <c r="Q57" s="5"/>
      <c r="R57" s="5"/>
      <c r="S57" s="5"/>
      <c r="T57" s="5"/>
      <c r="U57" s="5"/>
      <c r="V57" s="5"/>
      <c r="W57" s="5"/>
      <c r="X57" s="5"/>
      <c r="Y57" s="5"/>
    </row>
    <row r="58" spans="1:25" ht="409.5">
      <c r="A58" s="11" t="s">
        <v>248</v>
      </c>
      <c r="B58" s="7" t="s">
        <v>249</v>
      </c>
      <c r="C58" s="8" t="s">
        <v>250</v>
      </c>
      <c r="D58" s="8" t="s">
        <v>251</v>
      </c>
      <c r="E58" s="8" t="s">
        <v>252</v>
      </c>
      <c r="F58" s="5"/>
      <c r="G58" s="5"/>
      <c r="H58" s="5"/>
      <c r="I58" s="5"/>
      <c r="J58" s="5"/>
      <c r="K58" s="5"/>
      <c r="L58" s="5"/>
      <c r="M58" s="5"/>
      <c r="N58" s="5"/>
      <c r="O58" s="5"/>
      <c r="P58" s="5"/>
      <c r="Q58" s="5"/>
      <c r="R58" s="5"/>
      <c r="S58" s="5"/>
      <c r="T58" s="5"/>
      <c r="U58" s="5"/>
      <c r="V58" s="5"/>
      <c r="W58" s="5"/>
      <c r="X58" s="5"/>
      <c r="Y58" s="5"/>
    </row>
    <row r="59" spans="1:25" ht="409.5">
      <c r="A59" s="11" t="s">
        <v>253</v>
      </c>
      <c r="B59" s="7" t="s">
        <v>254</v>
      </c>
      <c r="C59" s="8" t="s">
        <v>255</v>
      </c>
      <c r="D59" s="8" t="s">
        <v>256</v>
      </c>
      <c r="E59" s="8" t="s">
        <v>257</v>
      </c>
      <c r="F59" s="5"/>
      <c r="G59" s="5"/>
      <c r="H59" s="5"/>
      <c r="I59" s="5"/>
      <c r="J59" s="5"/>
      <c r="K59" s="5"/>
      <c r="L59" s="5"/>
      <c r="M59" s="5"/>
      <c r="N59" s="5"/>
      <c r="O59" s="5"/>
      <c r="P59" s="5"/>
      <c r="Q59" s="5"/>
      <c r="R59" s="5"/>
      <c r="S59" s="5"/>
      <c r="T59" s="5"/>
      <c r="U59" s="5"/>
      <c r="V59" s="5"/>
      <c r="W59" s="5"/>
      <c r="X59" s="5"/>
      <c r="Y59" s="5"/>
    </row>
    <row r="60" spans="1:25" ht="409.5">
      <c r="A60" s="11" t="s">
        <v>258</v>
      </c>
      <c r="B60" s="7" t="s">
        <v>259</v>
      </c>
      <c r="C60" s="8" t="s">
        <v>260</v>
      </c>
      <c r="D60" s="8" t="s">
        <v>261</v>
      </c>
      <c r="E60" s="8" t="s">
        <v>262</v>
      </c>
      <c r="F60" s="5"/>
      <c r="G60" s="5"/>
      <c r="H60" s="5"/>
      <c r="I60" s="5"/>
      <c r="J60" s="5"/>
      <c r="K60" s="5"/>
      <c r="L60" s="5"/>
      <c r="M60" s="5"/>
      <c r="N60" s="5"/>
      <c r="O60" s="5"/>
      <c r="P60" s="5"/>
      <c r="Q60" s="5"/>
      <c r="R60" s="5"/>
      <c r="S60" s="5"/>
      <c r="T60" s="5"/>
      <c r="U60" s="5"/>
      <c r="V60" s="5"/>
      <c r="W60" s="5"/>
      <c r="X60" s="5"/>
      <c r="Y60" s="5"/>
    </row>
    <row r="61" spans="1:25" ht="409.5">
      <c r="A61" s="11" t="s">
        <v>263</v>
      </c>
      <c r="B61" s="7" t="s">
        <v>264</v>
      </c>
      <c r="C61" s="8" t="s">
        <v>265</v>
      </c>
      <c r="D61" s="8" t="s">
        <v>266</v>
      </c>
      <c r="E61" s="8" t="s">
        <v>267</v>
      </c>
      <c r="F61" s="5"/>
      <c r="G61" s="5"/>
      <c r="H61" s="5"/>
      <c r="I61" s="5"/>
      <c r="J61" s="5"/>
      <c r="K61" s="5"/>
      <c r="L61" s="5"/>
      <c r="M61" s="5"/>
      <c r="N61" s="5"/>
      <c r="O61" s="5"/>
      <c r="P61" s="5"/>
      <c r="Q61" s="5"/>
      <c r="R61" s="5"/>
      <c r="S61" s="5"/>
      <c r="T61" s="5"/>
      <c r="U61" s="5"/>
      <c r="V61" s="5"/>
      <c r="W61" s="5"/>
      <c r="X61" s="5"/>
      <c r="Y61" s="5"/>
    </row>
    <row r="62" spans="1:25" ht="409.5">
      <c r="A62" s="11" t="s">
        <v>268</v>
      </c>
      <c r="B62" s="7" t="s">
        <v>269</v>
      </c>
      <c r="C62" s="8" t="s">
        <v>270</v>
      </c>
      <c r="D62" s="8" t="s">
        <v>271</v>
      </c>
      <c r="E62" s="8" t="s">
        <v>272</v>
      </c>
      <c r="F62" s="5"/>
      <c r="G62" s="5"/>
      <c r="H62" s="5"/>
      <c r="I62" s="5"/>
      <c r="J62" s="5"/>
      <c r="K62" s="5"/>
      <c r="L62" s="5"/>
      <c r="M62" s="5"/>
      <c r="N62" s="5"/>
      <c r="O62" s="5"/>
      <c r="P62" s="5"/>
      <c r="Q62" s="5"/>
      <c r="R62" s="5"/>
      <c r="S62" s="5"/>
      <c r="T62" s="5"/>
      <c r="U62" s="5"/>
      <c r="V62" s="5"/>
      <c r="W62" s="5"/>
      <c r="X62" s="5"/>
      <c r="Y62" s="5"/>
    </row>
    <row r="63" spans="1:25" ht="409.5">
      <c r="A63" s="11" t="s">
        <v>273</v>
      </c>
      <c r="B63" s="7" t="s">
        <v>274</v>
      </c>
      <c r="C63" s="8" t="s">
        <v>275</v>
      </c>
      <c r="D63" s="8" t="s">
        <v>276</v>
      </c>
      <c r="E63" s="8" t="s">
        <v>277</v>
      </c>
      <c r="F63" s="5"/>
      <c r="G63" s="5"/>
      <c r="H63" s="5"/>
      <c r="I63" s="5"/>
      <c r="J63" s="5"/>
      <c r="K63" s="5"/>
      <c r="L63" s="5"/>
      <c r="M63" s="5"/>
      <c r="N63" s="5"/>
      <c r="O63" s="5"/>
      <c r="P63" s="5"/>
      <c r="Q63" s="5"/>
      <c r="R63" s="5"/>
      <c r="S63" s="5"/>
      <c r="T63" s="5"/>
      <c r="U63" s="5"/>
      <c r="V63" s="5"/>
      <c r="W63" s="5"/>
      <c r="X63" s="5"/>
      <c r="Y63" s="5"/>
    </row>
    <row r="64" spans="1:25" ht="409.5">
      <c r="A64" s="11" t="s">
        <v>278</v>
      </c>
      <c r="B64" s="7" t="s">
        <v>279</v>
      </c>
      <c r="C64" s="8" t="s">
        <v>280</v>
      </c>
      <c r="D64" s="8" t="s">
        <v>281</v>
      </c>
      <c r="E64" s="8" t="s">
        <v>282</v>
      </c>
      <c r="F64" s="5"/>
      <c r="G64" s="5"/>
      <c r="H64" s="5"/>
      <c r="I64" s="5"/>
      <c r="J64" s="5"/>
      <c r="K64" s="5"/>
      <c r="L64" s="5"/>
      <c r="M64" s="5"/>
      <c r="N64" s="5"/>
      <c r="O64" s="5"/>
      <c r="P64" s="5"/>
      <c r="Q64" s="5"/>
      <c r="R64" s="5"/>
      <c r="S64" s="5"/>
      <c r="T64" s="5"/>
      <c r="U64" s="5"/>
      <c r="V64" s="5"/>
      <c r="W64" s="5"/>
      <c r="X64" s="5"/>
      <c r="Y64" s="5"/>
    </row>
    <row r="65" spans="1:25" ht="409.5">
      <c r="A65" s="11" t="s">
        <v>283</v>
      </c>
      <c r="B65" s="7" t="s">
        <v>284</v>
      </c>
      <c r="C65" s="8" t="s">
        <v>285</v>
      </c>
      <c r="D65" s="8" t="s">
        <v>286</v>
      </c>
      <c r="E65" s="8" t="s">
        <v>287</v>
      </c>
      <c r="F65" s="5"/>
      <c r="G65" s="5"/>
      <c r="H65" s="5"/>
      <c r="I65" s="5"/>
      <c r="J65" s="5"/>
      <c r="K65" s="5"/>
      <c r="L65" s="5"/>
      <c r="M65" s="5"/>
      <c r="N65" s="5"/>
      <c r="O65" s="5"/>
      <c r="P65" s="5"/>
      <c r="Q65" s="5"/>
      <c r="R65" s="5"/>
      <c r="S65" s="5"/>
      <c r="T65" s="5"/>
      <c r="U65" s="5"/>
      <c r="V65" s="5"/>
      <c r="W65" s="5"/>
      <c r="X65" s="5"/>
      <c r="Y65" s="5"/>
    </row>
    <row r="66" spans="1:25" ht="198">
      <c r="A66" s="1" t="s">
        <v>288</v>
      </c>
      <c r="B66" s="2" t="str">
        <f>CONCATENATE("Seguridad de aplicaciónes: ",COUNTIF(B67:B74,"&lt;&gt;0"))</f>
        <v>Seguridad de aplicaciónes: 8</v>
      </c>
      <c r="C66" s="8"/>
      <c r="D66" s="8"/>
      <c r="E66" s="8"/>
      <c r="F66" s="5"/>
      <c r="G66" s="5"/>
      <c r="H66" s="5"/>
      <c r="I66" s="5"/>
      <c r="J66" s="5"/>
      <c r="K66" s="5"/>
      <c r="L66" s="5"/>
      <c r="M66" s="5"/>
      <c r="N66" s="5"/>
      <c r="O66" s="5"/>
      <c r="P66" s="5"/>
      <c r="Q66" s="5"/>
      <c r="R66" s="5"/>
      <c r="S66" s="5"/>
      <c r="T66" s="5"/>
      <c r="U66" s="5"/>
      <c r="V66" s="5"/>
      <c r="W66" s="5"/>
      <c r="X66" s="5"/>
      <c r="Y66" s="5"/>
    </row>
    <row r="67" spans="1:25" ht="409.5">
      <c r="A67" s="11" t="s">
        <v>289</v>
      </c>
      <c r="B67" s="7" t="s">
        <v>290</v>
      </c>
      <c r="C67" s="8" t="s">
        <v>291</v>
      </c>
      <c r="D67" s="8" t="s">
        <v>292</v>
      </c>
      <c r="E67" s="8" t="s">
        <v>293</v>
      </c>
      <c r="F67" s="5"/>
      <c r="G67" s="5"/>
      <c r="H67" s="5"/>
      <c r="I67" s="5"/>
      <c r="J67" s="5"/>
      <c r="K67" s="5"/>
      <c r="L67" s="5"/>
      <c r="M67" s="5"/>
      <c r="N67" s="5"/>
      <c r="O67" s="5"/>
      <c r="P67" s="5"/>
      <c r="Q67" s="5"/>
      <c r="R67" s="5"/>
      <c r="S67" s="5"/>
      <c r="T67" s="5"/>
      <c r="U67" s="5"/>
      <c r="V67" s="5"/>
      <c r="W67" s="5"/>
      <c r="X67" s="5"/>
      <c r="Y67" s="5"/>
    </row>
    <row r="68" spans="1:25" ht="409.5">
      <c r="A68" s="11" t="s">
        <v>294</v>
      </c>
      <c r="B68" s="7" t="s">
        <v>295</v>
      </c>
      <c r="C68" s="8" t="s">
        <v>296</v>
      </c>
      <c r="D68" s="8" t="s">
        <v>297</v>
      </c>
      <c r="E68" s="8" t="s">
        <v>298</v>
      </c>
      <c r="F68" s="5"/>
      <c r="G68" s="5"/>
      <c r="H68" s="5"/>
      <c r="I68" s="5"/>
      <c r="J68" s="5"/>
      <c r="K68" s="5"/>
      <c r="L68" s="5"/>
      <c r="M68" s="5"/>
      <c r="N68" s="5"/>
      <c r="O68" s="5"/>
      <c r="P68" s="5"/>
      <c r="Q68" s="5"/>
      <c r="R68" s="5"/>
      <c r="S68" s="5"/>
      <c r="T68" s="5"/>
      <c r="U68" s="5"/>
      <c r="V68" s="5"/>
      <c r="W68" s="5"/>
      <c r="X68" s="5"/>
      <c r="Y68" s="5"/>
    </row>
    <row r="69" spans="1:25" ht="409.5">
      <c r="A69" s="11" t="s">
        <v>299</v>
      </c>
      <c r="B69" s="7" t="s">
        <v>300</v>
      </c>
      <c r="C69" s="8" t="s">
        <v>301</v>
      </c>
      <c r="D69" s="8" t="s">
        <v>302</v>
      </c>
      <c r="E69" s="8" t="s">
        <v>303</v>
      </c>
      <c r="F69" s="5"/>
      <c r="G69" s="5"/>
      <c r="H69" s="5"/>
      <c r="I69" s="5"/>
      <c r="J69" s="5"/>
      <c r="K69" s="5"/>
      <c r="L69" s="5"/>
      <c r="M69" s="5"/>
      <c r="N69" s="5"/>
      <c r="O69" s="5"/>
      <c r="P69" s="5"/>
      <c r="Q69" s="5"/>
      <c r="R69" s="5"/>
      <c r="S69" s="5"/>
      <c r="T69" s="5"/>
      <c r="U69" s="5"/>
      <c r="V69" s="5"/>
      <c r="W69" s="5"/>
      <c r="X69" s="5"/>
      <c r="Y69" s="5"/>
    </row>
    <row r="70" spans="1:25" ht="409.5">
      <c r="A70" s="11" t="s">
        <v>304</v>
      </c>
      <c r="B70" s="7" t="s">
        <v>305</v>
      </c>
      <c r="C70" s="8" t="s">
        <v>306</v>
      </c>
      <c r="D70" s="8" t="s">
        <v>307</v>
      </c>
      <c r="E70" s="8" t="s">
        <v>308</v>
      </c>
      <c r="F70" s="5"/>
      <c r="G70" s="5"/>
      <c r="H70" s="5"/>
      <c r="I70" s="5"/>
      <c r="J70" s="5"/>
      <c r="K70" s="5"/>
      <c r="L70" s="5"/>
      <c r="M70" s="5"/>
      <c r="N70" s="5"/>
      <c r="O70" s="5"/>
      <c r="P70" s="5"/>
      <c r="Q70" s="5"/>
      <c r="R70" s="5"/>
      <c r="S70" s="5"/>
      <c r="T70" s="5"/>
      <c r="U70" s="5"/>
      <c r="V70" s="5"/>
      <c r="W70" s="5"/>
      <c r="X70" s="5"/>
      <c r="Y70" s="5"/>
    </row>
    <row r="71" spans="1:25" ht="409.5">
      <c r="A71" s="11" t="s">
        <v>309</v>
      </c>
      <c r="B71" s="7" t="s">
        <v>310</v>
      </c>
      <c r="C71" s="8" t="s">
        <v>311</v>
      </c>
      <c r="D71" s="8" t="s">
        <v>312</v>
      </c>
      <c r="E71" s="8" t="s">
        <v>313</v>
      </c>
      <c r="F71" s="5"/>
      <c r="G71" s="5"/>
      <c r="H71" s="5"/>
      <c r="I71" s="5"/>
      <c r="J71" s="5"/>
      <c r="K71" s="5"/>
      <c r="L71" s="5"/>
      <c r="M71" s="5"/>
      <c r="N71" s="5"/>
      <c r="O71" s="5"/>
      <c r="P71" s="5"/>
      <c r="Q71" s="5"/>
      <c r="R71" s="5"/>
      <c r="S71" s="5"/>
      <c r="T71" s="5"/>
      <c r="U71" s="5"/>
      <c r="V71" s="5"/>
      <c r="W71" s="5"/>
      <c r="X71" s="5"/>
      <c r="Y71" s="5"/>
    </row>
    <row r="72" spans="1:25" ht="409.5">
      <c r="A72" s="11" t="s">
        <v>314</v>
      </c>
      <c r="B72" s="7" t="s">
        <v>315</v>
      </c>
      <c r="C72" s="8" t="s">
        <v>316</v>
      </c>
      <c r="D72" s="8" t="s">
        <v>317</v>
      </c>
      <c r="E72" s="8" t="s">
        <v>318</v>
      </c>
      <c r="F72" s="5"/>
      <c r="G72" s="5"/>
      <c r="H72" s="5"/>
      <c r="I72" s="5"/>
      <c r="J72" s="5"/>
      <c r="K72" s="5"/>
      <c r="L72" s="5"/>
      <c r="M72" s="5"/>
      <c r="N72" s="5"/>
      <c r="O72" s="5"/>
      <c r="P72" s="5"/>
      <c r="Q72" s="5"/>
      <c r="R72" s="5"/>
      <c r="S72" s="5"/>
      <c r="T72" s="5"/>
      <c r="U72" s="5"/>
      <c r="V72" s="5"/>
      <c r="W72" s="5"/>
      <c r="X72" s="5"/>
      <c r="Y72" s="5"/>
    </row>
    <row r="73" spans="1:25" ht="409.5">
      <c r="A73" s="11" t="s">
        <v>319</v>
      </c>
      <c r="B73" s="7" t="s">
        <v>320</v>
      </c>
      <c r="C73" s="8" t="s">
        <v>321</v>
      </c>
      <c r="D73" s="8" t="s">
        <v>322</v>
      </c>
      <c r="E73" s="8" t="s">
        <v>323</v>
      </c>
      <c r="F73" s="5"/>
      <c r="G73" s="5"/>
      <c r="H73" s="5"/>
      <c r="I73" s="5"/>
      <c r="J73" s="5"/>
      <c r="K73" s="5"/>
      <c r="L73" s="5"/>
      <c r="M73" s="5"/>
      <c r="N73" s="5"/>
      <c r="O73" s="5"/>
      <c r="P73" s="5"/>
      <c r="Q73" s="5"/>
      <c r="R73" s="5"/>
      <c r="S73" s="5"/>
      <c r="T73" s="5"/>
      <c r="U73" s="5"/>
      <c r="V73" s="5"/>
      <c r="W73" s="5"/>
      <c r="X73" s="5"/>
      <c r="Y73" s="5"/>
    </row>
    <row r="74" spans="1:25" ht="409.5">
      <c r="A74" s="11" t="s">
        <v>324</v>
      </c>
      <c r="B74" s="7" t="s">
        <v>325</v>
      </c>
      <c r="C74" s="8" t="s">
        <v>326</v>
      </c>
      <c r="D74" s="8" t="s">
        <v>327</v>
      </c>
      <c r="E74" s="8" t="s">
        <v>328</v>
      </c>
      <c r="F74" s="5"/>
      <c r="G74" s="5"/>
      <c r="H74" s="5"/>
      <c r="I74" s="5"/>
      <c r="J74" s="5"/>
      <c r="K74" s="5"/>
      <c r="L74" s="5"/>
      <c r="M74" s="5"/>
      <c r="N74" s="5"/>
      <c r="O74" s="5"/>
      <c r="P74" s="5"/>
      <c r="Q74" s="5"/>
      <c r="R74" s="5"/>
      <c r="S74" s="5"/>
      <c r="T74" s="5"/>
      <c r="U74" s="5"/>
      <c r="V74" s="5"/>
      <c r="W74" s="5"/>
      <c r="X74" s="5"/>
      <c r="Y74" s="5"/>
    </row>
    <row r="75" spans="1:25">
      <c r="A75" s="5"/>
      <c r="B75" s="5"/>
      <c r="C75" s="12"/>
      <c r="D75" s="12"/>
      <c r="E75" s="12"/>
      <c r="F75" s="5"/>
      <c r="G75" s="5"/>
      <c r="H75" s="5"/>
      <c r="I75" s="5"/>
      <c r="J75" s="5"/>
      <c r="K75" s="5"/>
      <c r="L75" s="5"/>
      <c r="M75" s="5"/>
      <c r="N75" s="5"/>
      <c r="O75" s="5"/>
      <c r="P75" s="5"/>
      <c r="Q75" s="5"/>
      <c r="R75" s="5"/>
      <c r="S75" s="5"/>
      <c r="T75" s="5"/>
      <c r="U75" s="5"/>
      <c r="V75" s="5"/>
      <c r="W75" s="5"/>
      <c r="X75" s="5"/>
      <c r="Y75" s="5"/>
    </row>
    <row r="76" spans="1:25">
      <c r="A76" s="5"/>
      <c r="B76" s="5"/>
      <c r="C76" s="12"/>
      <c r="D76" s="12"/>
      <c r="E76" s="12"/>
      <c r="F76" s="5"/>
      <c r="G76" s="5"/>
      <c r="H76" s="5"/>
      <c r="I76" s="5"/>
      <c r="J76" s="5"/>
      <c r="K76" s="5"/>
      <c r="L76" s="5"/>
      <c r="M76" s="5"/>
      <c r="N76" s="5"/>
      <c r="O76" s="5"/>
      <c r="P76" s="5"/>
      <c r="Q76" s="5"/>
      <c r="R76" s="5"/>
      <c r="S76" s="5"/>
      <c r="T76" s="5"/>
      <c r="U76" s="5"/>
      <c r="V76" s="5"/>
      <c r="W76" s="5"/>
      <c r="X76" s="5"/>
      <c r="Y76" s="5"/>
    </row>
    <row r="77" spans="1:25">
      <c r="A77" s="5"/>
      <c r="B77" s="5"/>
      <c r="C77" s="12"/>
      <c r="D77" s="12"/>
      <c r="E77" s="12"/>
      <c r="F77" s="5"/>
      <c r="G77" s="5"/>
      <c r="H77" s="5"/>
      <c r="I77" s="5"/>
      <c r="J77" s="5"/>
      <c r="K77" s="5"/>
      <c r="L77" s="5"/>
      <c r="M77" s="5"/>
      <c r="N77" s="5"/>
      <c r="O77" s="5"/>
      <c r="P77" s="5"/>
      <c r="Q77" s="5"/>
      <c r="R77" s="5"/>
      <c r="S77" s="5"/>
      <c r="T77" s="5"/>
      <c r="U77" s="5"/>
      <c r="V77" s="5"/>
      <c r="W77" s="5"/>
      <c r="X77" s="5"/>
      <c r="Y77" s="5"/>
    </row>
    <row r="78" spans="1:25">
      <c r="A78" s="5"/>
      <c r="B78" s="5"/>
      <c r="C78" s="12"/>
      <c r="D78" s="12"/>
      <c r="E78" s="12"/>
      <c r="F78" s="5"/>
      <c r="G78" s="5"/>
      <c r="H78" s="5"/>
      <c r="I78" s="5"/>
      <c r="J78" s="5"/>
      <c r="K78" s="5"/>
      <c r="L78" s="5"/>
      <c r="M78" s="5"/>
      <c r="N78" s="5"/>
      <c r="O78" s="5"/>
      <c r="P78" s="5"/>
      <c r="Q78" s="5"/>
      <c r="R78" s="5"/>
      <c r="S78" s="5"/>
      <c r="T78" s="5"/>
      <c r="U78" s="5"/>
      <c r="V78" s="5"/>
      <c r="W78" s="5"/>
      <c r="X78" s="5"/>
      <c r="Y78" s="5"/>
    </row>
    <row r="79" spans="1:25">
      <c r="A79" s="5"/>
      <c r="B79" s="5"/>
      <c r="C79" s="12"/>
      <c r="D79" s="12"/>
      <c r="E79" s="12"/>
      <c r="F79" s="5"/>
      <c r="G79" s="5"/>
      <c r="H79" s="5"/>
      <c r="I79" s="5"/>
      <c r="J79" s="5"/>
      <c r="K79" s="5"/>
      <c r="L79" s="5"/>
      <c r="M79" s="5"/>
      <c r="N79" s="5"/>
      <c r="O79" s="5"/>
      <c r="P79" s="5"/>
      <c r="Q79" s="5"/>
      <c r="R79" s="5"/>
      <c r="S79" s="5"/>
      <c r="T79" s="5"/>
      <c r="U79" s="5"/>
      <c r="V79" s="5"/>
      <c r="W79" s="5"/>
      <c r="X79" s="5"/>
      <c r="Y79" s="5"/>
    </row>
    <row r="80" spans="1:25">
      <c r="A80" s="5"/>
      <c r="B80" s="5"/>
      <c r="C80" s="12"/>
      <c r="D80" s="12"/>
      <c r="E80" s="12"/>
      <c r="F80" s="5"/>
      <c r="G80" s="5"/>
      <c r="H80" s="5"/>
      <c r="I80" s="5"/>
      <c r="J80" s="5"/>
      <c r="K80" s="5"/>
      <c r="L80" s="5"/>
      <c r="M80" s="5"/>
      <c r="N80" s="5"/>
      <c r="O80" s="5"/>
      <c r="P80" s="5"/>
      <c r="Q80" s="5"/>
      <c r="R80" s="5"/>
      <c r="S80" s="5"/>
      <c r="T80" s="5"/>
      <c r="U80" s="5"/>
      <c r="V80" s="5"/>
      <c r="W80" s="5"/>
      <c r="X80" s="5"/>
      <c r="Y80" s="5"/>
    </row>
    <row r="81" spans="1:25">
      <c r="A81" s="5"/>
      <c r="B81" s="5"/>
      <c r="C81" s="12"/>
      <c r="D81" s="12"/>
      <c r="E81" s="12"/>
      <c r="F81" s="5"/>
      <c r="G81" s="5"/>
      <c r="H81" s="5"/>
      <c r="I81" s="5"/>
      <c r="J81" s="5"/>
      <c r="K81" s="5"/>
      <c r="L81" s="5"/>
      <c r="M81" s="5"/>
      <c r="N81" s="5"/>
      <c r="O81" s="5"/>
      <c r="P81" s="5"/>
      <c r="Q81" s="5"/>
      <c r="R81" s="5"/>
      <c r="S81" s="5"/>
      <c r="T81" s="5"/>
      <c r="U81" s="5"/>
      <c r="V81" s="5"/>
      <c r="W81" s="5"/>
      <c r="X81" s="5"/>
      <c r="Y81" s="5"/>
    </row>
    <row r="82" spans="1:25">
      <c r="A82" s="5"/>
      <c r="B82" s="5"/>
      <c r="C82" s="12"/>
      <c r="D82" s="12"/>
      <c r="E82" s="12"/>
      <c r="F82" s="5"/>
      <c r="G82" s="5"/>
      <c r="H82" s="5"/>
      <c r="I82" s="5"/>
      <c r="J82" s="5"/>
      <c r="K82" s="5"/>
      <c r="L82" s="5"/>
      <c r="M82" s="5"/>
      <c r="N82" s="5"/>
      <c r="O82" s="5"/>
      <c r="P82" s="5"/>
      <c r="Q82" s="5"/>
      <c r="R82" s="5"/>
      <c r="S82" s="5"/>
      <c r="T82" s="5"/>
      <c r="U82" s="5"/>
      <c r="V82" s="5"/>
      <c r="W82" s="5"/>
      <c r="X82" s="5"/>
      <c r="Y82" s="5"/>
    </row>
    <row r="83" spans="1:25">
      <c r="A83" s="5"/>
      <c r="B83" s="5"/>
      <c r="C83" s="12"/>
      <c r="D83" s="12"/>
      <c r="E83" s="12"/>
      <c r="F83" s="5"/>
      <c r="G83" s="5"/>
      <c r="H83" s="5"/>
      <c r="I83" s="5"/>
      <c r="J83" s="5"/>
      <c r="K83" s="5"/>
      <c r="L83" s="5"/>
      <c r="M83" s="5"/>
      <c r="N83" s="5"/>
      <c r="O83" s="5"/>
      <c r="P83" s="5"/>
      <c r="Q83" s="5"/>
      <c r="R83" s="5"/>
      <c r="S83" s="5"/>
      <c r="T83" s="5"/>
      <c r="U83" s="5"/>
      <c r="V83" s="5"/>
      <c r="W83" s="5"/>
      <c r="X83" s="5"/>
      <c r="Y83" s="5"/>
    </row>
    <row r="84" spans="1:25">
      <c r="A84" s="5"/>
      <c r="B84" s="5"/>
      <c r="C84" s="12"/>
      <c r="D84" s="12"/>
      <c r="E84" s="12"/>
      <c r="F84" s="5"/>
      <c r="G84" s="5"/>
      <c r="H84" s="5"/>
      <c r="I84" s="5"/>
      <c r="J84" s="5"/>
      <c r="K84" s="5"/>
      <c r="L84" s="5"/>
      <c r="M84" s="5"/>
      <c r="N84" s="5"/>
      <c r="O84" s="5"/>
      <c r="P84" s="5"/>
      <c r="Q84" s="5"/>
      <c r="R84" s="5"/>
      <c r="S84" s="5"/>
      <c r="T84" s="5"/>
      <c r="U84" s="5"/>
      <c r="V84" s="5"/>
      <c r="W84" s="5"/>
      <c r="X84" s="5"/>
      <c r="Y84" s="5"/>
    </row>
    <row r="85" spans="1:25">
      <c r="A85" s="5"/>
      <c r="B85" s="5"/>
      <c r="C85" s="12"/>
      <c r="D85" s="12"/>
      <c r="E85" s="12"/>
      <c r="F85" s="5"/>
      <c r="G85" s="5"/>
      <c r="H85" s="5"/>
      <c r="I85" s="5"/>
      <c r="J85" s="5"/>
      <c r="K85" s="5"/>
      <c r="L85" s="5"/>
      <c r="M85" s="5"/>
      <c r="N85" s="5"/>
      <c r="O85" s="5"/>
      <c r="P85" s="5"/>
      <c r="Q85" s="5"/>
      <c r="R85" s="5"/>
      <c r="S85" s="5"/>
      <c r="T85" s="5"/>
      <c r="U85" s="5"/>
      <c r="V85" s="5"/>
      <c r="W85" s="5"/>
      <c r="X85" s="5"/>
      <c r="Y85" s="5"/>
    </row>
    <row r="86" spans="1:25">
      <c r="A86" s="5"/>
      <c r="B86" s="5"/>
      <c r="C86" s="12"/>
      <c r="D86" s="12"/>
      <c r="E86" s="12"/>
      <c r="F86" s="5"/>
      <c r="G86" s="5"/>
      <c r="H86" s="5"/>
      <c r="I86" s="5"/>
      <c r="J86" s="5"/>
      <c r="K86" s="5"/>
      <c r="L86" s="5"/>
      <c r="M86" s="5"/>
      <c r="N86" s="5"/>
      <c r="O86" s="5"/>
      <c r="P86" s="5"/>
      <c r="Q86" s="5"/>
      <c r="R86" s="5"/>
      <c r="S86" s="5"/>
      <c r="T86" s="5"/>
      <c r="U86" s="5"/>
      <c r="V86" s="5"/>
      <c r="W86" s="5"/>
      <c r="X86" s="5"/>
      <c r="Y86" s="5"/>
    </row>
    <row r="87" spans="1:25">
      <c r="A87" s="5"/>
      <c r="B87" s="5"/>
      <c r="C87" s="12"/>
      <c r="D87" s="12"/>
      <c r="E87" s="12"/>
      <c r="F87" s="5"/>
      <c r="G87" s="5"/>
      <c r="H87" s="5"/>
      <c r="I87" s="5"/>
      <c r="J87" s="5"/>
      <c r="K87" s="5"/>
      <c r="L87" s="5"/>
      <c r="M87" s="5"/>
      <c r="N87" s="5"/>
      <c r="O87" s="5"/>
      <c r="P87" s="5"/>
      <c r="Q87" s="5"/>
      <c r="R87" s="5"/>
      <c r="S87" s="5"/>
      <c r="T87" s="5"/>
      <c r="U87" s="5"/>
      <c r="V87" s="5"/>
      <c r="W87" s="5"/>
      <c r="X87" s="5"/>
      <c r="Y87" s="5"/>
    </row>
    <row r="88" spans="1:25">
      <c r="A88" s="5"/>
      <c r="B88" s="5"/>
      <c r="C88" s="12"/>
      <c r="D88" s="12"/>
      <c r="E88" s="12"/>
      <c r="F88" s="5"/>
      <c r="G88" s="5"/>
      <c r="H88" s="5"/>
      <c r="I88" s="5"/>
      <c r="J88" s="5"/>
      <c r="K88" s="5"/>
      <c r="L88" s="5"/>
      <c r="M88" s="5"/>
      <c r="N88" s="5"/>
      <c r="O88" s="5"/>
      <c r="P88" s="5"/>
      <c r="Q88" s="5"/>
      <c r="R88" s="5"/>
      <c r="S88" s="5"/>
      <c r="T88" s="5"/>
      <c r="U88" s="5"/>
      <c r="V88" s="5"/>
      <c r="W88" s="5"/>
      <c r="X88" s="5"/>
      <c r="Y88" s="5"/>
    </row>
    <row r="89" spans="1:25">
      <c r="A89" s="5"/>
      <c r="B89" s="5"/>
      <c r="C89" s="12"/>
      <c r="D89" s="12"/>
      <c r="E89" s="12"/>
      <c r="F89" s="5"/>
      <c r="G89" s="5"/>
      <c r="H89" s="5"/>
      <c r="I89" s="5"/>
      <c r="J89" s="5"/>
      <c r="K89" s="5"/>
      <c r="L89" s="5"/>
      <c r="M89" s="5"/>
      <c r="N89" s="5"/>
      <c r="O89" s="5"/>
      <c r="P89" s="5"/>
      <c r="Q89" s="5"/>
      <c r="R89" s="5"/>
      <c r="S89" s="5"/>
      <c r="T89" s="5"/>
      <c r="U89" s="5"/>
      <c r="V89" s="5"/>
      <c r="W89" s="5"/>
      <c r="X89" s="5"/>
      <c r="Y89" s="5"/>
    </row>
    <row r="90" spans="1:25">
      <c r="A90" s="5"/>
      <c r="B90" s="5"/>
      <c r="C90" s="12"/>
      <c r="D90" s="12"/>
      <c r="E90" s="12"/>
      <c r="F90" s="5"/>
      <c r="G90" s="5"/>
      <c r="H90" s="5"/>
      <c r="I90" s="5"/>
      <c r="J90" s="5"/>
      <c r="K90" s="5"/>
      <c r="L90" s="5"/>
      <c r="M90" s="5"/>
      <c r="N90" s="5"/>
      <c r="O90" s="5"/>
      <c r="P90" s="5"/>
      <c r="Q90" s="5"/>
      <c r="R90" s="5"/>
      <c r="S90" s="5"/>
      <c r="T90" s="5"/>
      <c r="U90" s="5"/>
      <c r="V90" s="5"/>
      <c r="W90" s="5"/>
      <c r="X90" s="5"/>
      <c r="Y90" s="5"/>
    </row>
    <row r="91" spans="1:25">
      <c r="A91" s="5"/>
      <c r="B91" s="5"/>
      <c r="C91" s="12"/>
      <c r="D91" s="12"/>
      <c r="E91" s="12"/>
      <c r="F91" s="5"/>
      <c r="G91" s="5"/>
      <c r="H91" s="5"/>
      <c r="I91" s="5"/>
      <c r="J91" s="5"/>
      <c r="K91" s="5"/>
      <c r="L91" s="5"/>
      <c r="M91" s="5"/>
      <c r="N91" s="5"/>
      <c r="O91" s="5"/>
      <c r="P91" s="5"/>
      <c r="Q91" s="5"/>
      <c r="R91" s="5"/>
      <c r="S91" s="5"/>
      <c r="T91" s="5"/>
      <c r="U91" s="5"/>
      <c r="V91" s="5"/>
      <c r="W91" s="5"/>
      <c r="X91" s="5"/>
      <c r="Y91" s="5"/>
    </row>
    <row r="92" spans="1:25">
      <c r="A92" s="5"/>
      <c r="B92" s="5"/>
      <c r="C92" s="12"/>
      <c r="D92" s="12"/>
      <c r="E92" s="12"/>
      <c r="F92" s="5"/>
      <c r="G92" s="5"/>
      <c r="H92" s="5"/>
      <c r="I92" s="5"/>
      <c r="J92" s="5"/>
      <c r="K92" s="5"/>
      <c r="L92" s="5"/>
      <c r="M92" s="5"/>
      <c r="N92" s="5"/>
      <c r="O92" s="5"/>
      <c r="P92" s="5"/>
      <c r="Q92" s="5"/>
      <c r="R92" s="5"/>
      <c r="S92" s="5"/>
      <c r="T92" s="5"/>
      <c r="U92" s="5"/>
      <c r="V92" s="5"/>
      <c r="W92" s="5"/>
      <c r="X92" s="5"/>
      <c r="Y92" s="5"/>
    </row>
    <row r="93" spans="1:25">
      <c r="A93" s="5"/>
      <c r="B93" s="5"/>
      <c r="C93" s="12"/>
      <c r="D93" s="12"/>
      <c r="E93" s="12"/>
      <c r="F93" s="5"/>
      <c r="G93" s="5"/>
      <c r="H93" s="5"/>
      <c r="I93" s="5"/>
      <c r="J93" s="5"/>
      <c r="K93" s="5"/>
      <c r="L93" s="5"/>
      <c r="M93" s="5"/>
      <c r="N93" s="5"/>
      <c r="O93" s="5"/>
      <c r="P93" s="5"/>
      <c r="Q93" s="5"/>
      <c r="R93" s="5"/>
      <c r="S93" s="5"/>
      <c r="T93" s="5"/>
      <c r="U93" s="5"/>
      <c r="V93" s="5"/>
      <c r="W93" s="5"/>
      <c r="X93" s="5"/>
      <c r="Y93" s="5"/>
    </row>
    <row r="94" spans="1:25">
      <c r="A94" s="5"/>
      <c r="B94" s="5"/>
      <c r="C94" s="12"/>
      <c r="D94" s="12"/>
      <c r="E94" s="12"/>
      <c r="F94" s="5"/>
      <c r="G94" s="5"/>
      <c r="H94" s="5"/>
      <c r="I94" s="5"/>
      <c r="J94" s="5"/>
      <c r="K94" s="5"/>
      <c r="L94" s="5"/>
      <c r="M94" s="5"/>
      <c r="N94" s="5"/>
      <c r="O94" s="5"/>
      <c r="P94" s="5"/>
      <c r="Q94" s="5"/>
      <c r="R94" s="5"/>
      <c r="S94" s="5"/>
      <c r="T94" s="5"/>
      <c r="U94" s="5"/>
      <c r="V94" s="5"/>
      <c r="W94" s="5"/>
      <c r="X94" s="5"/>
      <c r="Y94" s="5"/>
    </row>
    <row r="95" spans="1:25">
      <c r="A95" s="5"/>
      <c r="B95" s="5"/>
      <c r="C95" s="12"/>
      <c r="D95" s="12"/>
      <c r="E95" s="12"/>
      <c r="F95" s="5"/>
      <c r="G95" s="5"/>
      <c r="H95" s="5"/>
      <c r="I95" s="5"/>
      <c r="J95" s="5"/>
      <c r="K95" s="5"/>
      <c r="L95" s="5"/>
      <c r="M95" s="5"/>
      <c r="N95" s="5"/>
      <c r="O95" s="5"/>
      <c r="P95" s="5"/>
      <c r="Q95" s="5"/>
      <c r="R95" s="5"/>
      <c r="S95" s="5"/>
      <c r="T95" s="5"/>
      <c r="U95" s="5"/>
      <c r="V95" s="5"/>
      <c r="W95" s="5"/>
      <c r="X95" s="5"/>
      <c r="Y95" s="5"/>
    </row>
    <row r="96" spans="1:25">
      <c r="A96" s="5"/>
      <c r="B96" s="5"/>
      <c r="C96" s="12"/>
      <c r="D96" s="12"/>
      <c r="E96" s="12"/>
      <c r="F96" s="5"/>
      <c r="G96" s="5"/>
      <c r="H96" s="5"/>
      <c r="I96" s="5"/>
      <c r="J96" s="5"/>
      <c r="K96" s="5"/>
      <c r="L96" s="5"/>
      <c r="M96" s="5"/>
      <c r="N96" s="5"/>
      <c r="O96" s="5"/>
      <c r="P96" s="5"/>
      <c r="Q96" s="5"/>
      <c r="R96" s="5"/>
      <c r="S96" s="5"/>
      <c r="T96" s="5"/>
      <c r="U96" s="5"/>
      <c r="V96" s="5"/>
      <c r="W96" s="5"/>
      <c r="X96" s="5"/>
      <c r="Y96" s="5"/>
    </row>
    <row r="97" spans="1:25">
      <c r="A97" s="5"/>
      <c r="B97" s="5"/>
      <c r="C97" s="12"/>
      <c r="D97" s="12"/>
      <c r="E97" s="12"/>
      <c r="F97" s="5"/>
      <c r="G97" s="5"/>
      <c r="H97" s="5"/>
      <c r="I97" s="5"/>
      <c r="J97" s="5"/>
      <c r="K97" s="5"/>
      <c r="L97" s="5"/>
      <c r="M97" s="5"/>
      <c r="N97" s="5"/>
      <c r="O97" s="5"/>
      <c r="P97" s="5"/>
      <c r="Q97" s="5"/>
      <c r="R97" s="5"/>
      <c r="S97" s="5"/>
      <c r="T97" s="5"/>
      <c r="U97" s="5"/>
      <c r="V97" s="5"/>
      <c r="W97" s="5"/>
      <c r="X97" s="5"/>
      <c r="Y97" s="5"/>
    </row>
    <row r="98" spans="1:25">
      <c r="A98" s="5"/>
      <c r="B98" s="5"/>
      <c r="C98" s="12"/>
      <c r="D98" s="12"/>
      <c r="E98" s="12"/>
      <c r="F98" s="5"/>
      <c r="G98" s="5"/>
      <c r="H98" s="5"/>
      <c r="I98" s="5"/>
      <c r="J98" s="5"/>
      <c r="K98" s="5"/>
      <c r="L98" s="5"/>
      <c r="M98" s="5"/>
      <c r="N98" s="5"/>
      <c r="O98" s="5"/>
      <c r="P98" s="5"/>
      <c r="Q98" s="5"/>
      <c r="R98" s="5"/>
      <c r="S98" s="5"/>
      <c r="T98" s="5"/>
      <c r="U98" s="5"/>
      <c r="V98" s="5"/>
      <c r="W98" s="5"/>
      <c r="X98" s="5"/>
      <c r="Y98" s="5"/>
    </row>
    <row r="99" spans="1:25">
      <c r="A99" s="5"/>
      <c r="B99" s="5"/>
      <c r="C99" s="12"/>
      <c r="D99" s="12"/>
      <c r="E99" s="12"/>
      <c r="F99" s="5"/>
      <c r="G99" s="5"/>
      <c r="H99" s="5"/>
      <c r="I99" s="5"/>
      <c r="J99" s="5"/>
      <c r="K99" s="5"/>
      <c r="L99" s="5"/>
      <c r="M99" s="5"/>
      <c r="N99" s="5"/>
      <c r="O99" s="5"/>
      <c r="P99" s="5"/>
      <c r="Q99" s="5"/>
      <c r="R99" s="5"/>
      <c r="S99" s="5"/>
      <c r="T99" s="5"/>
      <c r="U99" s="5"/>
      <c r="V99" s="5"/>
      <c r="W99" s="5"/>
      <c r="X99" s="5"/>
      <c r="Y99" s="5"/>
    </row>
    <row r="100" spans="1:25">
      <c r="A100" s="5"/>
      <c r="B100" s="5"/>
      <c r="C100" s="12"/>
      <c r="D100" s="12"/>
      <c r="E100" s="12"/>
      <c r="F100" s="5"/>
      <c r="G100" s="5"/>
      <c r="H100" s="5"/>
      <c r="I100" s="5"/>
      <c r="J100" s="5"/>
      <c r="K100" s="5"/>
      <c r="L100" s="5"/>
      <c r="M100" s="5"/>
      <c r="N100" s="5"/>
      <c r="O100" s="5"/>
      <c r="P100" s="5"/>
      <c r="Q100" s="5"/>
      <c r="R100" s="5"/>
      <c r="S100" s="5"/>
      <c r="T100" s="5"/>
      <c r="U100" s="5"/>
      <c r="V100" s="5"/>
      <c r="W100" s="5"/>
      <c r="X100" s="5"/>
      <c r="Y100" s="5"/>
    </row>
    <row r="101" spans="1:25">
      <c r="A101" s="5"/>
      <c r="B101" s="5"/>
      <c r="C101" s="12"/>
      <c r="D101" s="12"/>
      <c r="E101" s="12"/>
      <c r="F101" s="5"/>
      <c r="G101" s="5"/>
      <c r="H101" s="5"/>
      <c r="I101" s="5"/>
      <c r="J101" s="5"/>
      <c r="K101" s="5"/>
      <c r="L101" s="5"/>
      <c r="M101" s="5"/>
      <c r="N101" s="5"/>
      <c r="O101" s="5"/>
      <c r="P101" s="5"/>
      <c r="Q101" s="5"/>
      <c r="R101" s="5"/>
      <c r="S101" s="5"/>
      <c r="T101" s="5"/>
      <c r="U101" s="5"/>
      <c r="V101" s="5"/>
      <c r="W101" s="5"/>
      <c r="X101" s="5"/>
      <c r="Y101" s="5"/>
    </row>
    <row r="102" spans="1:25">
      <c r="A102" s="5"/>
      <c r="B102" s="5"/>
      <c r="C102" s="12"/>
      <c r="D102" s="12"/>
      <c r="E102" s="12"/>
      <c r="F102" s="5"/>
      <c r="G102" s="5"/>
      <c r="H102" s="5"/>
      <c r="I102" s="5"/>
      <c r="J102" s="5"/>
      <c r="K102" s="5"/>
      <c r="L102" s="5"/>
      <c r="M102" s="5"/>
      <c r="N102" s="5"/>
      <c r="O102" s="5"/>
      <c r="P102" s="5"/>
      <c r="Q102" s="5"/>
      <c r="R102" s="5"/>
      <c r="S102" s="5"/>
      <c r="T102" s="5"/>
      <c r="U102" s="5"/>
      <c r="V102" s="5"/>
      <c r="W102" s="5"/>
      <c r="X102" s="5"/>
      <c r="Y102" s="5"/>
    </row>
    <row r="103" spans="1:25">
      <c r="A103" s="5"/>
      <c r="B103" s="5"/>
      <c r="C103" s="12"/>
      <c r="D103" s="12"/>
      <c r="E103" s="12"/>
      <c r="F103" s="5"/>
      <c r="G103" s="5"/>
      <c r="H103" s="5"/>
      <c r="I103" s="5"/>
      <c r="J103" s="5"/>
      <c r="K103" s="5"/>
      <c r="L103" s="5"/>
      <c r="M103" s="5"/>
      <c r="N103" s="5"/>
      <c r="O103" s="5"/>
      <c r="P103" s="5"/>
      <c r="Q103" s="5"/>
      <c r="R103" s="5"/>
      <c r="S103" s="5"/>
      <c r="T103" s="5"/>
      <c r="U103" s="5"/>
      <c r="V103" s="5"/>
      <c r="W103" s="5"/>
      <c r="X103" s="5"/>
      <c r="Y103" s="5"/>
    </row>
    <row r="104" spans="1:25">
      <c r="A104" s="5"/>
      <c r="B104" s="5"/>
      <c r="C104" s="12"/>
      <c r="D104" s="12"/>
      <c r="E104" s="12"/>
      <c r="F104" s="5"/>
      <c r="G104" s="5"/>
      <c r="H104" s="5"/>
      <c r="I104" s="5"/>
      <c r="J104" s="5"/>
      <c r="K104" s="5"/>
      <c r="L104" s="5"/>
      <c r="M104" s="5"/>
      <c r="N104" s="5"/>
      <c r="O104" s="5"/>
      <c r="P104" s="5"/>
      <c r="Q104" s="5"/>
      <c r="R104" s="5"/>
      <c r="S104" s="5"/>
      <c r="T104" s="5"/>
      <c r="U104" s="5"/>
      <c r="V104" s="5"/>
      <c r="W104" s="5"/>
      <c r="X104" s="5"/>
      <c r="Y104" s="5"/>
    </row>
    <row r="105" spans="1:25">
      <c r="A105" s="5"/>
      <c r="B105" s="5"/>
      <c r="C105" s="12"/>
      <c r="D105" s="12"/>
      <c r="E105" s="12"/>
      <c r="F105" s="5"/>
      <c r="G105" s="5"/>
      <c r="H105" s="5"/>
      <c r="I105" s="5"/>
      <c r="J105" s="5"/>
      <c r="K105" s="5"/>
      <c r="L105" s="5"/>
      <c r="M105" s="5"/>
      <c r="N105" s="5"/>
      <c r="O105" s="5"/>
      <c r="P105" s="5"/>
      <c r="Q105" s="5"/>
      <c r="R105" s="5"/>
      <c r="S105" s="5"/>
      <c r="T105" s="5"/>
      <c r="U105" s="5"/>
      <c r="V105" s="5"/>
      <c r="W105" s="5"/>
      <c r="X105" s="5"/>
      <c r="Y105" s="5"/>
    </row>
    <row r="106" spans="1:25">
      <c r="A106" s="5"/>
      <c r="B106" s="5"/>
      <c r="C106" s="12"/>
      <c r="D106" s="12"/>
      <c r="E106" s="12"/>
      <c r="F106" s="5"/>
      <c r="G106" s="5"/>
      <c r="H106" s="5"/>
      <c r="I106" s="5"/>
      <c r="J106" s="5"/>
      <c r="K106" s="5"/>
      <c r="L106" s="5"/>
      <c r="M106" s="5"/>
      <c r="N106" s="5"/>
      <c r="O106" s="5"/>
      <c r="P106" s="5"/>
      <c r="Q106" s="5"/>
      <c r="R106" s="5"/>
      <c r="S106" s="5"/>
      <c r="T106" s="5"/>
      <c r="U106" s="5"/>
      <c r="V106" s="5"/>
      <c r="W106" s="5"/>
      <c r="X106" s="5"/>
      <c r="Y106" s="5"/>
    </row>
    <row r="107" spans="1:25">
      <c r="A107" s="5"/>
      <c r="B107" s="5"/>
      <c r="C107" s="12"/>
      <c r="D107" s="12"/>
      <c r="E107" s="12"/>
      <c r="F107" s="5"/>
      <c r="G107" s="5"/>
      <c r="H107" s="5"/>
      <c r="I107" s="5"/>
      <c r="J107" s="5"/>
      <c r="K107" s="5"/>
      <c r="L107" s="5"/>
      <c r="M107" s="5"/>
      <c r="N107" s="5"/>
      <c r="O107" s="5"/>
      <c r="P107" s="5"/>
      <c r="Q107" s="5"/>
      <c r="R107" s="5"/>
      <c r="S107" s="5"/>
      <c r="T107" s="5"/>
      <c r="U107" s="5"/>
      <c r="V107" s="5"/>
      <c r="W107" s="5"/>
      <c r="X107" s="5"/>
      <c r="Y107" s="5"/>
    </row>
    <row r="108" spans="1:25">
      <c r="A108" s="5"/>
      <c r="B108" s="5"/>
      <c r="C108" s="12"/>
      <c r="D108" s="12"/>
      <c r="E108" s="12"/>
      <c r="F108" s="5"/>
      <c r="G108" s="5"/>
      <c r="H108" s="5"/>
      <c r="I108" s="5"/>
      <c r="J108" s="5"/>
      <c r="K108" s="5"/>
      <c r="L108" s="5"/>
      <c r="M108" s="5"/>
      <c r="N108" s="5"/>
      <c r="O108" s="5"/>
      <c r="P108" s="5"/>
      <c r="Q108" s="5"/>
      <c r="R108" s="5"/>
      <c r="S108" s="5"/>
      <c r="T108" s="5"/>
      <c r="U108" s="5"/>
      <c r="V108" s="5"/>
      <c r="W108" s="5"/>
      <c r="X108" s="5"/>
      <c r="Y108" s="5"/>
    </row>
    <row r="109" spans="1:25">
      <c r="A109" s="5"/>
      <c r="B109" s="5"/>
      <c r="C109" s="12"/>
      <c r="D109" s="12"/>
      <c r="E109" s="12"/>
      <c r="F109" s="5"/>
      <c r="G109" s="5"/>
      <c r="H109" s="5"/>
      <c r="I109" s="5"/>
      <c r="J109" s="5"/>
      <c r="K109" s="5"/>
      <c r="L109" s="5"/>
      <c r="M109" s="5"/>
      <c r="N109" s="5"/>
      <c r="O109" s="5"/>
      <c r="P109" s="5"/>
      <c r="Q109" s="5"/>
      <c r="R109" s="5"/>
      <c r="S109" s="5"/>
      <c r="T109" s="5"/>
      <c r="U109" s="5"/>
      <c r="V109" s="5"/>
      <c r="W109" s="5"/>
      <c r="X109" s="5"/>
      <c r="Y109" s="5"/>
    </row>
    <row r="110" spans="1:25">
      <c r="A110" s="5"/>
      <c r="B110" s="5"/>
      <c r="C110" s="12"/>
      <c r="D110" s="12"/>
      <c r="E110" s="12"/>
      <c r="F110" s="5"/>
      <c r="G110" s="5"/>
      <c r="H110" s="5"/>
      <c r="I110" s="5"/>
      <c r="J110" s="5"/>
      <c r="K110" s="5"/>
      <c r="L110" s="5"/>
      <c r="M110" s="5"/>
      <c r="N110" s="5"/>
      <c r="O110" s="5"/>
      <c r="P110" s="5"/>
      <c r="Q110" s="5"/>
      <c r="R110" s="5"/>
      <c r="S110" s="5"/>
      <c r="T110" s="5"/>
      <c r="U110" s="5"/>
      <c r="V110" s="5"/>
      <c r="W110" s="5"/>
      <c r="X110" s="5"/>
      <c r="Y110" s="5"/>
    </row>
    <row r="111" spans="1:25">
      <c r="A111" s="5"/>
      <c r="B111" s="5"/>
      <c r="C111" s="12"/>
      <c r="D111" s="12"/>
      <c r="E111" s="12"/>
      <c r="F111" s="5"/>
      <c r="G111" s="5"/>
      <c r="H111" s="5"/>
      <c r="I111" s="5"/>
      <c r="J111" s="5"/>
      <c r="K111" s="5"/>
      <c r="L111" s="5"/>
      <c r="M111" s="5"/>
      <c r="N111" s="5"/>
      <c r="O111" s="5"/>
      <c r="P111" s="5"/>
      <c r="Q111" s="5"/>
      <c r="R111" s="5"/>
      <c r="S111" s="5"/>
      <c r="T111" s="5"/>
      <c r="U111" s="5"/>
      <c r="V111" s="5"/>
      <c r="W111" s="5"/>
      <c r="X111" s="5"/>
      <c r="Y111" s="5"/>
    </row>
    <row r="112" spans="1:25">
      <c r="A112" s="5"/>
      <c r="B112" s="5"/>
      <c r="C112" s="12"/>
      <c r="D112" s="12"/>
      <c r="E112" s="12"/>
      <c r="F112" s="5"/>
      <c r="G112" s="5"/>
      <c r="H112" s="5"/>
      <c r="I112" s="5"/>
      <c r="J112" s="5"/>
      <c r="K112" s="5"/>
      <c r="L112" s="5"/>
      <c r="M112" s="5"/>
      <c r="N112" s="5"/>
      <c r="O112" s="5"/>
      <c r="P112" s="5"/>
      <c r="Q112" s="5"/>
      <c r="R112" s="5"/>
      <c r="S112" s="5"/>
      <c r="T112" s="5"/>
      <c r="U112" s="5"/>
      <c r="V112" s="5"/>
      <c r="W112" s="5"/>
      <c r="X112" s="5"/>
      <c r="Y112" s="5"/>
    </row>
    <row r="113" spans="1:25">
      <c r="A113" s="5"/>
      <c r="B113" s="5"/>
      <c r="C113" s="12"/>
      <c r="D113" s="12"/>
      <c r="E113" s="12"/>
      <c r="F113" s="5"/>
      <c r="G113" s="5"/>
      <c r="H113" s="5"/>
      <c r="I113" s="5"/>
      <c r="J113" s="5"/>
      <c r="K113" s="5"/>
      <c r="L113" s="5"/>
      <c r="M113" s="5"/>
      <c r="N113" s="5"/>
      <c r="O113" s="5"/>
      <c r="P113" s="5"/>
      <c r="Q113" s="5"/>
      <c r="R113" s="5"/>
      <c r="S113" s="5"/>
      <c r="T113" s="5"/>
      <c r="U113" s="5"/>
      <c r="V113" s="5"/>
      <c r="W113" s="5"/>
      <c r="X113" s="5"/>
      <c r="Y113" s="5"/>
    </row>
    <row r="114" spans="1:25">
      <c r="A114" s="5"/>
      <c r="B114" s="5"/>
      <c r="C114" s="12"/>
      <c r="D114" s="12"/>
      <c r="E114" s="12"/>
      <c r="F114" s="5"/>
      <c r="G114" s="5"/>
      <c r="H114" s="5"/>
      <c r="I114" s="5"/>
      <c r="J114" s="5"/>
      <c r="K114" s="5"/>
      <c r="L114" s="5"/>
      <c r="M114" s="5"/>
      <c r="N114" s="5"/>
      <c r="O114" s="5"/>
      <c r="P114" s="5"/>
      <c r="Q114" s="5"/>
      <c r="R114" s="5"/>
      <c r="S114" s="5"/>
      <c r="T114" s="5"/>
      <c r="U114" s="5"/>
      <c r="V114" s="5"/>
      <c r="W114" s="5"/>
      <c r="X114" s="5"/>
      <c r="Y114" s="5"/>
    </row>
    <row r="115" spans="1:25">
      <c r="A115" s="5"/>
      <c r="B115" s="5"/>
      <c r="C115" s="12"/>
      <c r="D115" s="12"/>
      <c r="E115" s="12"/>
      <c r="F115" s="5"/>
      <c r="G115" s="5"/>
      <c r="H115" s="5"/>
      <c r="I115" s="5"/>
      <c r="J115" s="5"/>
      <c r="K115" s="5"/>
      <c r="L115" s="5"/>
      <c r="M115" s="5"/>
      <c r="N115" s="5"/>
      <c r="O115" s="5"/>
      <c r="P115" s="5"/>
      <c r="Q115" s="5"/>
      <c r="R115" s="5"/>
      <c r="S115" s="5"/>
      <c r="T115" s="5"/>
      <c r="U115" s="5"/>
      <c r="V115" s="5"/>
      <c r="W115" s="5"/>
      <c r="X115" s="5"/>
      <c r="Y115" s="5"/>
    </row>
    <row r="116" spans="1:25">
      <c r="A116" s="5"/>
      <c r="B116" s="5"/>
      <c r="C116" s="12"/>
      <c r="D116" s="12"/>
      <c r="E116" s="12"/>
      <c r="F116" s="5"/>
      <c r="G116" s="5"/>
      <c r="H116" s="5"/>
      <c r="I116" s="5"/>
      <c r="J116" s="5"/>
      <c r="K116" s="5"/>
      <c r="L116" s="5"/>
      <c r="M116" s="5"/>
      <c r="N116" s="5"/>
      <c r="O116" s="5"/>
      <c r="P116" s="5"/>
      <c r="Q116" s="5"/>
      <c r="R116" s="5"/>
      <c r="S116" s="5"/>
      <c r="T116" s="5"/>
      <c r="U116" s="5"/>
      <c r="V116" s="5"/>
      <c r="W116" s="5"/>
      <c r="X116" s="5"/>
      <c r="Y116" s="5"/>
    </row>
    <row r="117" spans="1:25">
      <c r="A117" s="5"/>
      <c r="B117" s="5"/>
      <c r="C117" s="12"/>
      <c r="D117" s="12"/>
      <c r="E117" s="12"/>
      <c r="F117" s="5"/>
      <c r="G117" s="5"/>
      <c r="H117" s="5"/>
      <c r="I117" s="5"/>
      <c r="J117" s="5"/>
      <c r="K117" s="5"/>
      <c r="L117" s="5"/>
      <c r="M117" s="5"/>
      <c r="N117" s="5"/>
      <c r="O117" s="5"/>
      <c r="P117" s="5"/>
      <c r="Q117" s="5"/>
      <c r="R117" s="5"/>
      <c r="S117" s="5"/>
      <c r="T117" s="5"/>
      <c r="U117" s="5"/>
      <c r="V117" s="5"/>
      <c r="W117" s="5"/>
      <c r="X117" s="5"/>
      <c r="Y117" s="5"/>
    </row>
    <row r="118" spans="1:25">
      <c r="A118" s="5"/>
      <c r="B118" s="5"/>
      <c r="C118" s="12"/>
      <c r="D118" s="12"/>
      <c r="E118" s="12"/>
      <c r="F118" s="5"/>
      <c r="G118" s="5"/>
      <c r="H118" s="5"/>
      <c r="I118" s="5"/>
      <c r="J118" s="5"/>
      <c r="K118" s="5"/>
      <c r="L118" s="5"/>
      <c r="M118" s="5"/>
      <c r="N118" s="5"/>
      <c r="O118" s="5"/>
      <c r="P118" s="5"/>
      <c r="Q118" s="5"/>
      <c r="R118" s="5"/>
      <c r="S118" s="5"/>
      <c r="T118" s="5"/>
      <c r="U118" s="5"/>
      <c r="V118" s="5"/>
      <c r="W118" s="5"/>
      <c r="X118" s="5"/>
      <c r="Y118" s="5"/>
    </row>
    <row r="119" spans="1:25">
      <c r="A119" s="5"/>
      <c r="B119" s="5"/>
      <c r="C119" s="12"/>
      <c r="D119" s="12"/>
      <c r="E119" s="12"/>
      <c r="F119" s="5"/>
      <c r="G119" s="5"/>
      <c r="H119" s="5"/>
      <c r="I119" s="5"/>
      <c r="J119" s="5"/>
      <c r="K119" s="5"/>
      <c r="L119" s="5"/>
      <c r="M119" s="5"/>
      <c r="N119" s="5"/>
      <c r="O119" s="5"/>
      <c r="P119" s="5"/>
      <c r="Q119" s="5"/>
      <c r="R119" s="5"/>
      <c r="S119" s="5"/>
      <c r="T119" s="5"/>
      <c r="U119" s="5"/>
      <c r="V119" s="5"/>
      <c r="W119" s="5"/>
      <c r="X119" s="5"/>
      <c r="Y119" s="5"/>
    </row>
    <row r="120" spans="1:25">
      <c r="A120" s="5"/>
      <c r="B120" s="5"/>
      <c r="C120" s="12"/>
      <c r="D120" s="12"/>
      <c r="E120" s="12"/>
      <c r="F120" s="5"/>
      <c r="G120" s="5"/>
      <c r="H120" s="5"/>
      <c r="I120" s="5"/>
      <c r="J120" s="5"/>
      <c r="K120" s="5"/>
      <c r="L120" s="5"/>
      <c r="M120" s="5"/>
      <c r="N120" s="5"/>
      <c r="O120" s="5"/>
      <c r="P120" s="5"/>
      <c r="Q120" s="5"/>
      <c r="R120" s="5"/>
      <c r="S120" s="5"/>
      <c r="T120" s="5"/>
      <c r="U120" s="5"/>
      <c r="V120" s="5"/>
      <c r="W120" s="5"/>
      <c r="X120" s="5"/>
      <c r="Y120" s="5"/>
    </row>
    <row r="121" spans="1:25">
      <c r="A121" s="5"/>
      <c r="B121" s="5"/>
      <c r="C121" s="12"/>
      <c r="D121" s="12"/>
      <c r="E121" s="12"/>
      <c r="F121" s="5"/>
      <c r="G121" s="5"/>
      <c r="H121" s="5"/>
      <c r="I121" s="5"/>
      <c r="J121" s="5"/>
      <c r="K121" s="5"/>
      <c r="L121" s="5"/>
      <c r="M121" s="5"/>
      <c r="N121" s="5"/>
      <c r="O121" s="5"/>
      <c r="P121" s="5"/>
      <c r="Q121" s="5"/>
      <c r="R121" s="5"/>
      <c r="S121" s="5"/>
      <c r="T121" s="5"/>
      <c r="U121" s="5"/>
      <c r="V121" s="5"/>
      <c r="W121" s="5"/>
      <c r="X121" s="5"/>
      <c r="Y121" s="5"/>
    </row>
    <row r="122" spans="1:25">
      <c r="A122" s="5"/>
      <c r="B122" s="5"/>
      <c r="C122" s="12"/>
      <c r="D122" s="12"/>
      <c r="E122" s="12"/>
      <c r="F122" s="5"/>
      <c r="G122" s="5"/>
      <c r="H122" s="5"/>
      <c r="I122" s="5"/>
      <c r="J122" s="5"/>
      <c r="K122" s="5"/>
      <c r="L122" s="5"/>
      <c r="M122" s="5"/>
      <c r="N122" s="5"/>
      <c r="O122" s="5"/>
      <c r="P122" s="5"/>
      <c r="Q122" s="5"/>
      <c r="R122" s="5"/>
      <c r="S122" s="5"/>
      <c r="T122" s="5"/>
      <c r="U122" s="5"/>
      <c r="V122" s="5"/>
      <c r="W122" s="5"/>
      <c r="X122" s="5"/>
      <c r="Y122" s="5"/>
    </row>
    <row r="123" spans="1:25">
      <c r="A123" s="5"/>
      <c r="B123" s="5"/>
      <c r="C123" s="12"/>
      <c r="D123" s="12"/>
      <c r="E123" s="12"/>
      <c r="F123" s="5"/>
      <c r="G123" s="5"/>
      <c r="H123" s="5"/>
      <c r="I123" s="5"/>
      <c r="J123" s="5"/>
      <c r="K123" s="5"/>
      <c r="L123" s="5"/>
      <c r="M123" s="5"/>
      <c r="N123" s="5"/>
      <c r="O123" s="5"/>
      <c r="P123" s="5"/>
      <c r="Q123" s="5"/>
      <c r="R123" s="5"/>
      <c r="S123" s="5"/>
      <c r="T123" s="5"/>
      <c r="U123" s="5"/>
      <c r="V123" s="5"/>
      <c r="W123" s="5"/>
      <c r="X123" s="5"/>
      <c r="Y123" s="5"/>
    </row>
    <row r="124" spans="1:25">
      <c r="A124" s="5"/>
      <c r="B124" s="5"/>
      <c r="C124" s="12"/>
      <c r="D124" s="12"/>
      <c r="E124" s="12"/>
      <c r="F124" s="5"/>
      <c r="G124" s="5"/>
      <c r="H124" s="5"/>
      <c r="I124" s="5"/>
      <c r="J124" s="5"/>
      <c r="K124" s="5"/>
      <c r="L124" s="5"/>
      <c r="M124" s="5"/>
      <c r="N124" s="5"/>
      <c r="O124" s="5"/>
      <c r="P124" s="5"/>
      <c r="Q124" s="5"/>
      <c r="R124" s="5"/>
      <c r="S124" s="5"/>
      <c r="T124" s="5"/>
      <c r="U124" s="5"/>
      <c r="V124" s="5"/>
      <c r="W124" s="5"/>
      <c r="X124" s="5"/>
      <c r="Y124" s="5"/>
    </row>
    <row r="125" spans="1:25">
      <c r="A125" s="5"/>
      <c r="B125" s="5"/>
      <c r="C125" s="12"/>
      <c r="D125" s="12"/>
      <c r="E125" s="12"/>
      <c r="F125" s="5"/>
      <c r="G125" s="5"/>
      <c r="H125" s="5"/>
      <c r="I125" s="5"/>
      <c r="J125" s="5"/>
      <c r="K125" s="5"/>
      <c r="L125" s="5"/>
      <c r="M125" s="5"/>
      <c r="N125" s="5"/>
      <c r="O125" s="5"/>
      <c r="P125" s="5"/>
      <c r="Q125" s="5"/>
      <c r="R125" s="5"/>
      <c r="S125" s="5"/>
      <c r="T125" s="5"/>
      <c r="U125" s="5"/>
      <c r="V125" s="5"/>
      <c r="W125" s="5"/>
      <c r="X125" s="5"/>
      <c r="Y125" s="5"/>
    </row>
    <row r="126" spans="1:25">
      <c r="A126" s="5"/>
      <c r="B126" s="5"/>
      <c r="C126" s="12"/>
      <c r="D126" s="12"/>
      <c r="E126" s="12"/>
      <c r="F126" s="5"/>
      <c r="G126" s="5"/>
      <c r="H126" s="5"/>
      <c r="I126" s="5"/>
      <c r="J126" s="5"/>
      <c r="K126" s="5"/>
      <c r="L126" s="5"/>
      <c r="M126" s="5"/>
      <c r="N126" s="5"/>
      <c r="O126" s="5"/>
      <c r="P126" s="5"/>
      <c r="Q126" s="5"/>
      <c r="R126" s="5"/>
      <c r="S126" s="5"/>
      <c r="T126" s="5"/>
      <c r="U126" s="5"/>
      <c r="V126" s="5"/>
      <c r="W126" s="5"/>
      <c r="X126" s="5"/>
      <c r="Y126" s="5"/>
    </row>
    <row r="127" spans="1:25">
      <c r="A127" s="5"/>
      <c r="B127" s="5"/>
      <c r="C127" s="12"/>
      <c r="D127" s="12"/>
      <c r="E127" s="12"/>
      <c r="F127" s="5"/>
      <c r="G127" s="5"/>
      <c r="H127" s="5"/>
      <c r="I127" s="5"/>
      <c r="J127" s="5"/>
      <c r="K127" s="5"/>
      <c r="L127" s="5"/>
      <c r="M127" s="5"/>
      <c r="N127" s="5"/>
      <c r="O127" s="5"/>
      <c r="P127" s="5"/>
      <c r="Q127" s="5"/>
      <c r="R127" s="5"/>
      <c r="S127" s="5"/>
      <c r="T127" s="5"/>
      <c r="U127" s="5"/>
      <c r="V127" s="5"/>
      <c r="W127" s="5"/>
      <c r="X127" s="5"/>
      <c r="Y127" s="5"/>
    </row>
    <row r="128" spans="1:25">
      <c r="A128" s="5"/>
      <c r="B128" s="5"/>
      <c r="C128" s="12"/>
      <c r="D128" s="12"/>
      <c r="E128" s="12"/>
      <c r="F128" s="5"/>
      <c r="G128" s="5"/>
      <c r="H128" s="5"/>
      <c r="I128" s="5"/>
      <c r="J128" s="5"/>
      <c r="K128" s="5"/>
      <c r="L128" s="5"/>
      <c r="M128" s="5"/>
      <c r="N128" s="5"/>
      <c r="O128" s="5"/>
      <c r="P128" s="5"/>
      <c r="Q128" s="5"/>
      <c r="R128" s="5"/>
      <c r="S128" s="5"/>
      <c r="T128" s="5"/>
      <c r="U128" s="5"/>
      <c r="V128" s="5"/>
      <c r="W128" s="5"/>
      <c r="X128" s="5"/>
      <c r="Y128" s="5"/>
    </row>
    <row r="129" spans="1:25">
      <c r="A129" s="5"/>
      <c r="B129" s="5"/>
      <c r="C129" s="12"/>
      <c r="D129" s="12"/>
      <c r="E129" s="12"/>
      <c r="F129" s="5"/>
      <c r="G129" s="5"/>
      <c r="H129" s="5"/>
      <c r="I129" s="5"/>
      <c r="J129" s="5"/>
      <c r="K129" s="5"/>
      <c r="L129" s="5"/>
      <c r="M129" s="5"/>
      <c r="N129" s="5"/>
      <c r="O129" s="5"/>
      <c r="P129" s="5"/>
      <c r="Q129" s="5"/>
      <c r="R129" s="5"/>
      <c r="S129" s="5"/>
      <c r="T129" s="5"/>
      <c r="U129" s="5"/>
      <c r="V129" s="5"/>
      <c r="W129" s="5"/>
      <c r="X129" s="5"/>
      <c r="Y129" s="5"/>
    </row>
    <row r="130" spans="1:25">
      <c r="A130" s="5"/>
      <c r="B130" s="5"/>
      <c r="C130" s="12"/>
      <c r="D130" s="12"/>
      <c r="E130" s="12"/>
      <c r="F130" s="5"/>
      <c r="G130" s="5"/>
      <c r="H130" s="5"/>
      <c r="I130" s="5"/>
      <c r="J130" s="5"/>
      <c r="K130" s="5"/>
      <c r="L130" s="5"/>
      <c r="M130" s="5"/>
      <c r="N130" s="5"/>
      <c r="O130" s="5"/>
      <c r="P130" s="5"/>
      <c r="Q130" s="5"/>
      <c r="R130" s="5"/>
      <c r="S130" s="5"/>
      <c r="T130" s="5"/>
      <c r="U130" s="5"/>
      <c r="V130" s="5"/>
      <c r="W130" s="5"/>
      <c r="X130" s="5"/>
      <c r="Y130" s="5"/>
    </row>
    <row r="131" spans="1:25">
      <c r="A131" s="5"/>
      <c r="B131" s="5"/>
      <c r="C131" s="12"/>
      <c r="D131" s="12"/>
      <c r="E131" s="12"/>
      <c r="F131" s="5"/>
      <c r="G131" s="5"/>
      <c r="H131" s="5"/>
      <c r="I131" s="5"/>
      <c r="J131" s="5"/>
      <c r="K131" s="5"/>
      <c r="L131" s="5"/>
      <c r="M131" s="5"/>
      <c r="N131" s="5"/>
      <c r="O131" s="5"/>
      <c r="P131" s="5"/>
      <c r="Q131" s="5"/>
      <c r="R131" s="5"/>
      <c r="S131" s="5"/>
      <c r="T131" s="5"/>
      <c r="U131" s="5"/>
      <c r="V131" s="5"/>
      <c r="W131" s="5"/>
      <c r="X131" s="5"/>
      <c r="Y131" s="5"/>
    </row>
    <row r="132" spans="1:25">
      <c r="A132" s="5"/>
      <c r="B132" s="5"/>
      <c r="C132" s="12"/>
      <c r="D132" s="12"/>
      <c r="E132" s="12"/>
      <c r="F132" s="5"/>
      <c r="G132" s="5"/>
      <c r="H132" s="5"/>
      <c r="I132" s="5"/>
      <c r="J132" s="5"/>
      <c r="K132" s="5"/>
      <c r="L132" s="5"/>
      <c r="M132" s="5"/>
      <c r="N132" s="5"/>
      <c r="O132" s="5"/>
      <c r="P132" s="5"/>
      <c r="Q132" s="5"/>
      <c r="R132" s="5"/>
      <c r="S132" s="5"/>
      <c r="T132" s="5"/>
      <c r="U132" s="5"/>
      <c r="V132" s="5"/>
      <c r="W132" s="5"/>
      <c r="X132" s="5"/>
      <c r="Y132" s="5"/>
    </row>
    <row r="133" spans="1:25">
      <c r="A133" s="5"/>
      <c r="B133" s="5"/>
      <c r="C133" s="12"/>
      <c r="D133" s="12"/>
      <c r="E133" s="12"/>
      <c r="F133" s="5"/>
      <c r="G133" s="5"/>
      <c r="H133" s="5"/>
      <c r="I133" s="5"/>
      <c r="J133" s="5"/>
      <c r="K133" s="5"/>
      <c r="L133" s="5"/>
      <c r="M133" s="5"/>
      <c r="N133" s="5"/>
      <c r="O133" s="5"/>
      <c r="P133" s="5"/>
      <c r="Q133" s="5"/>
      <c r="R133" s="5"/>
      <c r="S133" s="5"/>
      <c r="T133" s="5"/>
      <c r="U133" s="5"/>
      <c r="V133" s="5"/>
      <c r="W133" s="5"/>
      <c r="X133" s="5"/>
      <c r="Y133" s="5"/>
    </row>
    <row r="134" spans="1:25">
      <c r="A134" s="5"/>
      <c r="B134" s="5"/>
      <c r="C134" s="12"/>
      <c r="D134" s="12"/>
      <c r="E134" s="12"/>
      <c r="F134" s="5"/>
      <c r="G134" s="5"/>
      <c r="H134" s="5"/>
      <c r="I134" s="5"/>
      <c r="J134" s="5"/>
      <c r="K134" s="5"/>
      <c r="L134" s="5"/>
      <c r="M134" s="5"/>
      <c r="N134" s="5"/>
      <c r="O134" s="5"/>
      <c r="P134" s="5"/>
      <c r="Q134" s="5"/>
      <c r="R134" s="5"/>
      <c r="S134" s="5"/>
      <c r="T134" s="5"/>
      <c r="U134" s="5"/>
      <c r="V134" s="5"/>
      <c r="W134" s="5"/>
      <c r="X134" s="5"/>
      <c r="Y134" s="5"/>
    </row>
    <row r="135" spans="1:25">
      <c r="A135" s="5"/>
      <c r="B135" s="5"/>
      <c r="C135" s="12"/>
      <c r="D135" s="12"/>
      <c r="E135" s="12"/>
      <c r="F135" s="5"/>
      <c r="G135" s="5"/>
      <c r="H135" s="5"/>
      <c r="I135" s="5"/>
      <c r="J135" s="5"/>
      <c r="K135" s="5"/>
      <c r="L135" s="5"/>
      <c r="M135" s="5"/>
      <c r="N135" s="5"/>
      <c r="O135" s="5"/>
      <c r="P135" s="5"/>
      <c r="Q135" s="5"/>
      <c r="R135" s="5"/>
      <c r="S135" s="5"/>
      <c r="T135" s="5"/>
      <c r="U135" s="5"/>
      <c r="V135" s="5"/>
      <c r="W135" s="5"/>
      <c r="X135" s="5"/>
      <c r="Y135" s="5"/>
    </row>
    <row r="136" spans="1:25">
      <c r="A136" s="5"/>
      <c r="B136" s="5"/>
      <c r="C136" s="12"/>
      <c r="D136" s="12"/>
      <c r="E136" s="12"/>
      <c r="F136" s="5"/>
      <c r="G136" s="5"/>
      <c r="H136" s="5"/>
      <c r="I136" s="5"/>
      <c r="J136" s="5"/>
      <c r="K136" s="5"/>
      <c r="L136" s="5"/>
      <c r="M136" s="5"/>
      <c r="N136" s="5"/>
      <c r="O136" s="5"/>
      <c r="P136" s="5"/>
      <c r="Q136" s="5"/>
      <c r="R136" s="5"/>
      <c r="S136" s="5"/>
      <c r="T136" s="5"/>
      <c r="U136" s="5"/>
      <c r="V136" s="5"/>
      <c r="W136" s="5"/>
      <c r="X136" s="5"/>
      <c r="Y136" s="5"/>
    </row>
    <row r="137" spans="1:25">
      <c r="A137" s="5"/>
      <c r="B137" s="5"/>
      <c r="C137" s="12"/>
      <c r="D137" s="12"/>
      <c r="E137" s="12"/>
      <c r="F137" s="5"/>
      <c r="G137" s="5"/>
      <c r="H137" s="5"/>
      <c r="I137" s="5"/>
      <c r="J137" s="5"/>
      <c r="K137" s="5"/>
      <c r="L137" s="5"/>
      <c r="M137" s="5"/>
      <c r="N137" s="5"/>
      <c r="O137" s="5"/>
      <c r="P137" s="5"/>
      <c r="Q137" s="5"/>
      <c r="R137" s="5"/>
      <c r="S137" s="5"/>
      <c r="T137" s="5"/>
      <c r="U137" s="5"/>
      <c r="V137" s="5"/>
      <c r="W137" s="5"/>
      <c r="X137" s="5"/>
      <c r="Y137" s="5"/>
    </row>
    <row r="138" spans="1:25">
      <c r="A138" s="5"/>
      <c r="B138" s="5"/>
      <c r="C138" s="12"/>
      <c r="D138" s="12"/>
      <c r="E138" s="12"/>
      <c r="F138" s="5"/>
      <c r="G138" s="5"/>
      <c r="H138" s="5"/>
      <c r="I138" s="5"/>
      <c r="J138" s="5"/>
      <c r="K138" s="5"/>
      <c r="L138" s="5"/>
      <c r="M138" s="5"/>
      <c r="N138" s="5"/>
      <c r="O138" s="5"/>
      <c r="P138" s="5"/>
      <c r="Q138" s="5"/>
      <c r="R138" s="5"/>
      <c r="S138" s="5"/>
      <c r="T138" s="5"/>
      <c r="U138" s="5"/>
      <c r="V138" s="5"/>
      <c r="W138" s="5"/>
      <c r="X138" s="5"/>
      <c r="Y138" s="5"/>
    </row>
    <row r="139" spans="1:25">
      <c r="A139" s="5"/>
      <c r="B139" s="5"/>
      <c r="C139" s="12"/>
      <c r="D139" s="12"/>
      <c r="E139" s="12"/>
      <c r="F139" s="5"/>
      <c r="G139" s="5"/>
      <c r="H139" s="5"/>
      <c r="I139" s="5"/>
      <c r="J139" s="5"/>
      <c r="K139" s="5"/>
      <c r="L139" s="5"/>
      <c r="M139" s="5"/>
      <c r="N139" s="5"/>
      <c r="O139" s="5"/>
      <c r="P139" s="5"/>
      <c r="Q139" s="5"/>
      <c r="R139" s="5"/>
      <c r="S139" s="5"/>
      <c r="T139" s="5"/>
      <c r="U139" s="5"/>
      <c r="V139" s="5"/>
      <c r="W139" s="5"/>
      <c r="X139" s="5"/>
      <c r="Y139" s="5"/>
    </row>
    <row r="140" spans="1:25">
      <c r="A140" s="5"/>
      <c r="B140" s="5"/>
      <c r="C140" s="12"/>
      <c r="D140" s="12"/>
      <c r="E140" s="12"/>
      <c r="F140" s="5"/>
      <c r="G140" s="5"/>
      <c r="H140" s="5"/>
      <c r="I140" s="5"/>
      <c r="J140" s="5"/>
      <c r="K140" s="5"/>
      <c r="L140" s="5"/>
      <c r="M140" s="5"/>
      <c r="N140" s="5"/>
      <c r="O140" s="5"/>
      <c r="P140" s="5"/>
      <c r="Q140" s="5"/>
      <c r="R140" s="5"/>
      <c r="S140" s="5"/>
      <c r="T140" s="5"/>
      <c r="U140" s="5"/>
      <c r="V140" s="5"/>
      <c r="W140" s="5"/>
      <c r="X140" s="5"/>
      <c r="Y140" s="5"/>
    </row>
    <row r="141" spans="1:25">
      <c r="A141" s="5"/>
      <c r="B141" s="5"/>
      <c r="C141" s="12"/>
      <c r="D141" s="12"/>
      <c r="E141" s="12"/>
      <c r="F141" s="5"/>
      <c r="G141" s="5"/>
      <c r="H141" s="5"/>
      <c r="I141" s="5"/>
      <c r="J141" s="5"/>
      <c r="K141" s="5"/>
      <c r="L141" s="5"/>
      <c r="M141" s="5"/>
      <c r="N141" s="5"/>
      <c r="O141" s="5"/>
      <c r="P141" s="5"/>
      <c r="Q141" s="5"/>
      <c r="R141" s="5"/>
      <c r="S141" s="5"/>
      <c r="T141" s="5"/>
      <c r="U141" s="5"/>
      <c r="V141" s="5"/>
      <c r="W141" s="5"/>
      <c r="X141" s="5"/>
      <c r="Y141" s="5"/>
    </row>
    <row r="142" spans="1:25">
      <c r="A142" s="5"/>
      <c r="B142" s="5"/>
      <c r="C142" s="12"/>
      <c r="D142" s="12"/>
      <c r="E142" s="12"/>
      <c r="F142" s="5"/>
      <c r="G142" s="5"/>
      <c r="H142" s="5"/>
      <c r="I142" s="5"/>
      <c r="J142" s="5"/>
      <c r="K142" s="5"/>
      <c r="L142" s="5"/>
      <c r="M142" s="5"/>
      <c r="N142" s="5"/>
      <c r="O142" s="5"/>
      <c r="P142" s="5"/>
      <c r="Q142" s="5"/>
      <c r="R142" s="5"/>
      <c r="S142" s="5"/>
      <c r="T142" s="5"/>
      <c r="U142" s="5"/>
      <c r="V142" s="5"/>
      <c r="W142" s="5"/>
      <c r="X142" s="5"/>
      <c r="Y142" s="5"/>
    </row>
    <row r="143" spans="1:25">
      <c r="A143" s="5"/>
      <c r="B143" s="5"/>
      <c r="C143" s="12"/>
      <c r="D143" s="12"/>
      <c r="E143" s="12"/>
      <c r="F143" s="5"/>
      <c r="G143" s="5"/>
      <c r="H143" s="5"/>
      <c r="I143" s="5"/>
      <c r="J143" s="5"/>
      <c r="K143" s="5"/>
      <c r="L143" s="5"/>
      <c r="M143" s="5"/>
      <c r="N143" s="5"/>
      <c r="O143" s="5"/>
      <c r="P143" s="5"/>
      <c r="Q143" s="5"/>
      <c r="R143" s="5"/>
      <c r="S143" s="5"/>
      <c r="T143" s="5"/>
      <c r="U143" s="5"/>
      <c r="V143" s="5"/>
      <c r="W143" s="5"/>
      <c r="X143" s="5"/>
      <c r="Y143" s="5"/>
    </row>
    <row r="144" spans="1:25">
      <c r="A144" s="5"/>
      <c r="B144" s="5"/>
      <c r="C144" s="12"/>
      <c r="D144" s="12"/>
      <c r="E144" s="12"/>
      <c r="F144" s="5"/>
      <c r="G144" s="5"/>
      <c r="H144" s="5"/>
      <c r="I144" s="5"/>
      <c r="J144" s="5"/>
      <c r="K144" s="5"/>
      <c r="L144" s="5"/>
      <c r="M144" s="5"/>
      <c r="N144" s="5"/>
      <c r="O144" s="5"/>
      <c r="P144" s="5"/>
      <c r="Q144" s="5"/>
      <c r="R144" s="5"/>
      <c r="S144" s="5"/>
      <c r="T144" s="5"/>
      <c r="U144" s="5"/>
      <c r="V144" s="5"/>
      <c r="W144" s="5"/>
      <c r="X144" s="5"/>
      <c r="Y144" s="5"/>
    </row>
    <row r="145" spans="1:25">
      <c r="A145" s="5"/>
      <c r="B145" s="5"/>
      <c r="C145" s="12"/>
      <c r="D145" s="12"/>
      <c r="E145" s="12"/>
      <c r="F145" s="5"/>
      <c r="G145" s="5"/>
      <c r="H145" s="5"/>
      <c r="I145" s="5"/>
      <c r="J145" s="5"/>
      <c r="K145" s="5"/>
      <c r="L145" s="5"/>
      <c r="M145" s="5"/>
      <c r="N145" s="5"/>
      <c r="O145" s="5"/>
      <c r="P145" s="5"/>
      <c r="Q145" s="5"/>
      <c r="R145" s="5"/>
      <c r="S145" s="5"/>
      <c r="T145" s="5"/>
      <c r="U145" s="5"/>
      <c r="V145" s="5"/>
      <c r="W145" s="5"/>
      <c r="X145" s="5"/>
      <c r="Y145" s="5"/>
    </row>
    <row r="146" spans="1:25">
      <c r="A146" s="5"/>
      <c r="B146" s="5"/>
      <c r="C146" s="12"/>
      <c r="D146" s="12"/>
      <c r="E146" s="12"/>
      <c r="F146" s="5"/>
      <c r="G146" s="5"/>
      <c r="H146" s="5"/>
      <c r="I146" s="5"/>
      <c r="J146" s="5"/>
      <c r="K146" s="5"/>
      <c r="L146" s="5"/>
      <c r="M146" s="5"/>
      <c r="N146" s="5"/>
      <c r="O146" s="5"/>
      <c r="P146" s="5"/>
      <c r="Q146" s="5"/>
      <c r="R146" s="5"/>
      <c r="S146" s="5"/>
      <c r="T146" s="5"/>
      <c r="U146" s="5"/>
      <c r="V146" s="5"/>
      <c r="W146" s="5"/>
      <c r="X146" s="5"/>
      <c r="Y146" s="5"/>
    </row>
    <row r="147" spans="1:25">
      <c r="A147" s="5"/>
      <c r="B147" s="5"/>
      <c r="C147" s="12"/>
      <c r="D147" s="12"/>
      <c r="E147" s="12"/>
      <c r="F147" s="5"/>
      <c r="G147" s="5"/>
      <c r="H147" s="5"/>
      <c r="I147" s="5"/>
      <c r="J147" s="5"/>
      <c r="K147" s="5"/>
      <c r="L147" s="5"/>
      <c r="M147" s="5"/>
      <c r="N147" s="5"/>
      <c r="O147" s="5"/>
      <c r="P147" s="5"/>
      <c r="Q147" s="5"/>
      <c r="R147" s="5"/>
      <c r="S147" s="5"/>
      <c r="T147" s="5"/>
      <c r="U147" s="5"/>
      <c r="V147" s="5"/>
      <c r="W147" s="5"/>
      <c r="X147" s="5"/>
      <c r="Y147" s="5"/>
    </row>
    <row r="148" spans="1:25">
      <c r="A148" s="5"/>
      <c r="B148" s="5"/>
      <c r="C148" s="12"/>
      <c r="D148" s="12"/>
      <c r="E148" s="12"/>
      <c r="F148" s="5"/>
      <c r="G148" s="5"/>
      <c r="H148" s="5"/>
      <c r="I148" s="5"/>
      <c r="J148" s="5"/>
      <c r="K148" s="5"/>
      <c r="L148" s="5"/>
      <c r="M148" s="5"/>
      <c r="N148" s="5"/>
      <c r="O148" s="5"/>
      <c r="P148" s="5"/>
      <c r="Q148" s="5"/>
      <c r="R148" s="5"/>
      <c r="S148" s="5"/>
      <c r="T148" s="5"/>
      <c r="U148" s="5"/>
      <c r="V148" s="5"/>
      <c r="W148" s="5"/>
      <c r="X148" s="5"/>
      <c r="Y148" s="5"/>
    </row>
    <row r="149" spans="1:25">
      <c r="A149" s="5"/>
      <c r="B149" s="5"/>
      <c r="C149" s="12"/>
      <c r="D149" s="12"/>
      <c r="E149" s="12"/>
      <c r="F149" s="5"/>
      <c r="G149" s="5"/>
      <c r="H149" s="5"/>
      <c r="I149" s="5"/>
      <c r="J149" s="5"/>
      <c r="K149" s="5"/>
      <c r="L149" s="5"/>
      <c r="M149" s="5"/>
      <c r="N149" s="5"/>
      <c r="O149" s="5"/>
      <c r="P149" s="5"/>
      <c r="Q149" s="5"/>
      <c r="R149" s="5"/>
      <c r="S149" s="5"/>
      <c r="T149" s="5"/>
      <c r="U149" s="5"/>
      <c r="V149" s="5"/>
      <c r="W149" s="5"/>
      <c r="X149" s="5"/>
      <c r="Y149" s="5"/>
    </row>
    <row r="150" spans="1:25">
      <c r="A150" s="5"/>
      <c r="B150" s="5"/>
      <c r="C150" s="12"/>
      <c r="D150" s="12"/>
      <c r="E150" s="12"/>
      <c r="F150" s="5"/>
      <c r="G150" s="5"/>
      <c r="H150" s="5"/>
      <c r="I150" s="5"/>
      <c r="J150" s="5"/>
      <c r="K150" s="5"/>
      <c r="L150" s="5"/>
      <c r="M150" s="5"/>
      <c r="N150" s="5"/>
      <c r="O150" s="5"/>
      <c r="P150" s="5"/>
      <c r="Q150" s="5"/>
      <c r="R150" s="5"/>
      <c r="S150" s="5"/>
      <c r="T150" s="5"/>
      <c r="U150" s="5"/>
      <c r="V150" s="5"/>
      <c r="W150" s="5"/>
      <c r="X150" s="5"/>
      <c r="Y150" s="5"/>
    </row>
    <row r="151" spans="1:25">
      <c r="A151" s="5"/>
      <c r="B151" s="5"/>
      <c r="C151" s="12"/>
      <c r="D151" s="12"/>
      <c r="E151" s="12"/>
      <c r="F151" s="5"/>
      <c r="G151" s="5"/>
      <c r="H151" s="5"/>
      <c r="I151" s="5"/>
      <c r="J151" s="5"/>
      <c r="K151" s="5"/>
      <c r="L151" s="5"/>
      <c r="M151" s="5"/>
      <c r="N151" s="5"/>
      <c r="O151" s="5"/>
      <c r="P151" s="5"/>
      <c r="Q151" s="5"/>
      <c r="R151" s="5"/>
      <c r="S151" s="5"/>
      <c r="T151" s="5"/>
      <c r="U151" s="5"/>
      <c r="V151" s="5"/>
      <c r="W151" s="5"/>
      <c r="X151" s="5"/>
      <c r="Y151" s="5"/>
    </row>
    <row r="152" spans="1:25">
      <c r="A152" s="5"/>
      <c r="B152" s="5"/>
      <c r="C152" s="12"/>
      <c r="D152" s="12"/>
      <c r="E152" s="12"/>
      <c r="F152" s="5"/>
      <c r="G152" s="5"/>
      <c r="H152" s="5"/>
      <c r="I152" s="5"/>
      <c r="J152" s="5"/>
      <c r="K152" s="5"/>
      <c r="L152" s="5"/>
      <c r="M152" s="5"/>
      <c r="N152" s="5"/>
      <c r="O152" s="5"/>
      <c r="P152" s="5"/>
      <c r="Q152" s="5"/>
      <c r="R152" s="5"/>
      <c r="S152" s="5"/>
      <c r="T152" s="5"/>
      <c r="U152" s="5"/>
      <c r="V152" s="5"/>
      <c r="W152" s="5"/>
      <c r="X152" s="5"/>
      <c r="Y152" s="5"/>
    </row>
    <row r="153" spans="1:25">
      <c r="A153" s="5"/>
      <c r="B153" s="5"/>
      <c r="C153" s="12"/>
      <c r="D153" s="12"/>
      <c r="E153" s="12"/>
      <c r="F153" s="5"/>
      <c r="G153" s="5"/>
      <c r="H153" s="5"/>
      <c r="I153" s="5"/>
      <c r="J153" s="5"/>
      <c r="K153" s="5"/>
      <c r="L153" s="5"/>
      <c r="M153" s="5"/>
      <c r="N153" s="5"/>
      <c r="O153" s="5"/>
      <c r="P153" s="5"/>
      <c r="Q153" s="5"/>
      <c r="R153" s="5"/>
      <c r="S153" s="5"/>
      <c r="T153" s="5"/>
      <c r="U153" s="5"/>
      <c r="V153" s="5"/>
      <c r="W153" s="5"/>
      <c r="X153" s="5"/>
      <c r="Y153" s="5"/>
    </row>
    <row r="154" spans="1:25">
      <c r="A154" s="5"/>
      <c r="B154" s="5"/>
      <c r="C154" s="12"/>
      <c r="D154" s="12"/>
      <c r="E154" s="12"/>
      <c r="F154" s="5"/>
      <c r="G154" s="5"/>
      <c r="H154" s="5"/>
      <c r="I154" s="5"/>
      <c r="J154" s="5"/>
      <c r="K154" s="5"/>
      <c r="L154" s="5"/>
      <c r="M154" s="5"/>
      <c r="N154" s="5"/>
      <c r="O154" s="5"/>
      <c r="P154" s="5"/>
      <c r="Q154" s="5"/>
      <c r="R154" s="5"/>
      <c r="S154" s="5"/>
      <c r="T154" s="5"/>
      <c r="U154" s="5"/>
      <c r="V154" s="5"/>
      <c r="W154" s="5"/>
      <c r="X154" s="5"/>
      <c r="Y154" s="5"/>
    </row>
    <row r="155" spans="1:25">
      <c r="A155" s="5"/>
      <c r="B155" s="5"/>
      <c r="C155" s="12"/>
      <c r="D155" s="12"/>
      <c r="E155" s="12"/>
      <c r="F155" s="5"/>
      <c r="G155" s="5"/>
      <c r="H155" s="5"/>
      <c r="I155" s="5"/>
      <c r="J155" s="5"/>
      <c r="K155" s="5"/>
      <c r="L155" s="5"/>
      <c r="M155" s="5"/>
      <c r="N155" s="5"/>
      <c r="O155" s="5"/>
      <c r="P155" s="5"/>
      <c r="Q155" s="5"/>
      <c r="R155" s="5"/>
      <c r="S155" s="5"/>
      <c r="T155" s="5"/>
      <c r="U155" s="5"/>
      <c r="V155" s="5"/>
      <c r="W155" s="5"/>
      <c r="X155" s="5"/>
      <c r="Y155" s="5"/>
    </row>
    <row r="156" spans="1:25">
      <c r="A156" s="5"/>
      <c r="B156" s="5"/>
      <c r="C156" s="12"/>
      <c r="D156" s="12"/>
      <c r="E156" s="12"/>
      <c r="F156" s="5"/>
      <c r="G156" s="5"/>
      <c r="H156" s="5"/>
      <c r="I156" s="5"/>
      <c r="J156" s="5"/>
      <c r="K156" s="5"/>
      <c r="L156" s="5"/>
      <c r="M156" s="5"/>
      <c r="N156" s="5"/>
      <c r="O156" s="5"/>
      <c r="P156" s="5"/>
      <c r="Q156" s="5"/>
      <c r="R156" s="5"/>
      <c r="S156" s="5"/>
      <c r="T156" s="5"/>
      <c r="U156" s="5"/>
      <c r="V156" s="5"/>
      <c r="W156" s="5"/>
      <c r="X156" s="5"/>
      <c r="Y156" s="5"/>
    </row>
    <row r="157" spans="1:25">
      <c r="A157" s="5"/>
      <c r="B157" s="5"/>
      <c r="C157" s="12"/>
      <c r="D157" s="12"/>
      <c r="E157" s="12"/>
      <c r="F157" s="5"/>
      <c r="G157" s="5"/>
      <c r="H157" s="5"/>
      <c r="I157" s="5"/>
      <c r="J157" s="5"/>
      <c r="K157" s="5"/>
      <c r="L157" s="5"/>
      <c r="M157" s="5"/>
      <c r="N157" s="5"/>
      <c r="O157" s="5"/>
      <c r="P157" s="5"/>
      <c r="Q157" s="5"/>
      <c r="R157" s="5"/>
      <c r="S157" s="5"/>
      <c r="T157" s="5"/>
      <c r="U157" s="5"/>
      <c r="V157" s="5"/>
      <c r="W157" s="5"/>
      <c r="X157" s="5"/>
      <c r="Y157" s="5"/>
    </row>
    <row r="158" spans="1:25">
      <c r="A158" s="5"/>
      <c r="B158" s="5"/>
      <c r="C158" s="12"/>
      <c r="D158" s="12"/>
      <c r="E158" s="12"/>
      <c r="F158" s="5"/>
      <c r="G158" s="5"/>
      <c r="H158" s="5"/>
      <c r="I158" s="5"/>
      <c r="J158" s="5"/>
      <c r="K158" s="5"/>
      <c r="L158" s="5"/>
      <c r="M158" s="5"/>
      <c r="N158" s="5"/>
      <c r="O158" s="5"/>
      <c r="P158" s="5"/>
      <c r="Q158" s="5"/>
      <c r="R158" s="5"/>
      <c r="S158" s="5"/>
      <c r="T158" s="5"/>
      <c r="U158" s="5"/>
      <c r="V158" s="5"/>
      <c r="W158" s="5"/>
      <c r="X158" s="5"/>
      <c r="Y158" s="5"/>
    </row>
    <row r="159" spans="1:25">
      <c r="A159" s="5"/>
      <c r="B159" s="5"/>
      <c r="C159" s="12"/>
      <c r="D159" s="12"/>
      <c r="E159" s="12"/>
      <c r="F159" s="5"/>
      <c r="G159" s="5"/>
      <c r="H159" s="5"/>
      <c r="I159" s="5"/>
      <c r="J159" s="5"/>
      <c r="K159" s="5"/>
      <c r="L159" s="5"/>
      <c r="M159" s="5"/>
      <c r="N159" s="5"/>
      <c r="O159" s="5"/>
      <c r="P159" s="5"/>
      <c r="Q159" s="5"/>
      <c r="R159" s="5"/>
      <c r="S159" s="5"/>
      <c r="T159" s="5"/>
      <c r="U159" s="5"/>
      <c r="V159" s="5"/>
      <c r="W159" s="5"/>
      <c r="X159" s="5"/>
      <c r="Y159" s="5"/>
    </row>
    <row r="160" spans="1:25">
      <c r="A160" s="5"/>
      <c r="B160" s="5"/>
      <c r="C160" s="12"/>
      <c r="D160" s="12"/>
      <c r="E160" s="12"/>
      <c r="F160" s="5"/>
      <c r="G160" s="5"/>
      <c r="H160" s="5"/>
      <c r="I160" s="5"/>
      <c r="J160" s="5"/>
      <c r="K160" s="5"/>
      <c r="L160" s="5"/>
      <c r="M160" s="5"/>
      <c r="N160" s="5"/>
      <c r="O160" s="5"/>
      <c r="P160" s="5"/>
      <c r="Q160" s="5"/>
      <c r="R160" s="5"/>
      <c r="S160" s="5"/>
      <c r="T160" s="5"/>
      <c r="U160" s="5"/>
      <c r="V160" s="5"/>
      <c r="W160" s="5"/>
      <c r="X160" s="5"/>
      <c r="Y160" s="5"/>
    </row>
    <row r="161" spans="1:25">
      <c r="A161" s="5"/>
      <c r="B161" s="5"/>
      <c r="C161" s="12"/>
      <c r="D161" s="12"/>
      <c r="E161" s="12"/>
      <c r="F161" s="5"/>
      <c r="G161" s="5"/>
      <c r="H161" s="5"/>
      <c r="I161" s="5"/>
      <c r="J161" s="5"/>
      <c r="K161" s="5"/>
      <c r="L161" s="5"/>
      <c r="M161" s="5"/>
      <c r="N161" s="5"/>
      <c r="O161" s="5"/>
      <c r="P161" s="5"/>
      <c r="Q161" s="5"/>
      <c r="R161" s="5"/>
      <c r="S161" s="5"/>
      <c r="T161" s="5"/>
      <c r="U161" s="5"/>
      <c r="V161" s="5"/>
      <c r="W161" s="5"/>
      <c r="X161" s="5"/>
      <c r="Y161" s="5"/>
    </row>
    <row r="162" spans="1:25">
      <c r="A162" s="5"/>
      <c r="B162" s="5"/>
      <c r="C162" s="12"/>
      <c r="D162" s="12"/>
      <c r="E162" s="12"/>
      <c r="F162" s="5"/>
      <c r="G162" s="5"/>
      <c r="H162" s="5"/>
      <c r="I162" s="5"/>
      <c r="J162" s="5"/>
      <c r="K162" s="5"/>
      <c r="L162" s="5"/>
      <c r="M162" s="5"/>
      <c r="N162" s="5"/>
      <c r="O162" s="5"/>
      <c r="P162" s="5"/>
      <c r="Q162" s="5"/>
      <c r="R162" s="5"/>
      <c r="S162" s="5"/>
      <c r="T162" s="5"/>
      <c r="U162" s="5"/>
      <c r="V162" s="5"/>
      <c r="W162" s="5"/>
      <c r="X162" s="5"/>
      <c r="Y162" s="5"/>
    </row>
    <row r="163" spans="1:25">
      <c r="A163" s="5"/>
      <c r="B163" s="5"/>
      <c r="C163" s="12"/>
      <c r="D163" s="12"/>
      <c r="E163" s="12"/>
      <c r="F163" s="5"/>
      <c r="G163" s="5"/>
      <c r="H163" s="5"/>
      <c r="I163" s="5"/>
      <c r="J163" s="5"/>
      <c r="K163" s="5"/>
      <c r="L163" s="5"/>
      <c r="M163" s="5"/>
      <c r="N163" s="5"/>
      <c r="O163" s="5"/>
      <c r="P163" s="5"/>
      <c r="Q163" s="5"/>
      <c r="R163" s="5"/>
      <c r="S163" s="5"/>
      <c r="T163" s="5"/>
      <c r="U163" s="5"/>
      <c r="V163" s="5"/>
      <c r="W163" s="5"/>
      <c r="X163" s="5"/>
      <c r="Y163" s="5"/>
    </row>
    <row r="164" spans="1:25">
      <c r="A164" s="5"/>
      <c r="B164" s="5"/>
      <c r="C164" s="12"/>
      <c r="D164" s="12"/>
      <c r="E164" s="12"/>
      <c r="F164" s="5"/>
      <c r="G164" s="5"/>
      <c r="H164" s="5"/>
      <c r="I164" s="5"/>
      <c r="J164" s="5"/>
      <c r="K164" s="5"/>
      <c r="L164" s="5"/>
      <c r="M164" s="5"/>
      <c r="N164" s="5"/>
      <c r="O164" s="5"/>
      <c r="P164" s="5"/>
      <c r="Q164" s="5"/>
      <c r="R164" s="5"/>
      <c r="S164" s="5"/>
      <c r="T164" s="5"/>
      <c r="U164" s="5"/>
      <c r="V164" s="5"/>
      <c r="W164" s="5"/>
      <c r="X164" s="5"/>
      <c r="Y164" s="5"/>
    </row>
    <row r="165" spans="1:25">
      <c r="A165" s="5"/>
      <c r="B165" s="5"/>
      <c r="C165" s="12"/>
      <c r="D165" s="12"/>
      <c r="E165" s="12"/>
      <c r="F165" s="5"/>
      <c r="G165" s="5"/>
      <c r="H165" s="5"/>
      <c r="I165" s="5"/>
      <c r="J165" s="5"/>
      <c r="K165" s="5"/>
      <c r="L165" s="5"/>
      <c r="M165" s="5"/>
      <c r="N165" s="5"/>
      <c r="O165" s="5"/>
      <c r="P165" s="5"/>
      <c r="Q165" s="5"/>
      <c r="R165" s="5"/>
      <c r="S165" s="5"/>
      <c r="T165" s="5"/>
      <c r="U165" s="5"/>
      <c r="V165" s="5"/>
      <c r="W165" s="5"/>
      <c r="X165" s="5"/>
      <c r="Y165" s="5"/>
    </row>
    <row r="166" spans="1:25">
      <c r="A166" s="5"/>
      <c r="B166" s="5"/>
      <c r="C166" s="12"/>
      <c r="D166" s="12"/>
      <c r="E166" s="12"/>
      <c r="F166" s="5"/>
      <c r="G166" s="5"/>
      <c r="H166" s="5"/>
      <c r="I166" s="5"/>
      <c r="J166" s="5"/>
      <c r="K166" s="5"/>
      <c r="L166" s="5"/>
      <c r="M166" s="5"/>
      <c r="N166" s="5"/>
      <c r="O166" s="5"/>
      <c r="P166" s="5"/>
      <c r="Q166" s="5"/>
      <c r="R166" s="5"/>
      <c r="S166" s="5"/>
      <c r="T166" s="5"/>
      <c r="U166" s="5"/>
      <c r="V166" s="5"/>
      <c r="W166" s="5"/>
      <c r="X166" s="5"/>
      <c r="Y166" s="5"/>
    </row>
    <row r="167" spans="1:25">
      <c r="A167" s="5"/>
      <c r="B167" s="5"/>
      <c r="C167" s="12"/>
      <c r="D167" s="12"/>
      <c r="E167" s="12"/>
      <c r="F167" s="5"/>
      <c r="G167" s="5"/>
      <c r="H167" s="5"/>
      <c r="I167" s="5"/>
      <c r="J167" s="5"/>
      <c r="K167" s="5"/>
      <c r="L167" s="5"/>
      <c r="M167" s="5"/>
      <c r="N167" s="5"/>
      <c r="O167" s="5"/>
      <c r="P167" s="5"/>
      <c r="Q167" s="5"/>
      <c r="R167" s="5"/>
      <c r="S167" s="5"/>
      <c r="T167" s="5"/>
      <c r="U167" s="5"/>
      <c r="V167" s="5"/>
      <c r="W167" s="5"/>
      <c r="X167" s="5"/>
      <c r="Y167" s="5"/>
    </row>
    <row r="168" spans="1:25">
      <c r="A168" s="5"/>
      <c r="B168" s="5"/>
      <c r="C168" s="12"/>
      <c r="D168" s="12"/>
      <c r="E168" s="12"/>
      <c r="F168" s="5"/>
      <c r="G168" s="5"/>
      <c r="H168" s="5"/>
      <c r="I168" s="5"/>
      <c r="J168" s="5"/>
      <c r="K168" s="5"/>
      <c r="L168" s="5"/>
      <c r="M168" s="5"/>
      <c r="N168" s="5"/>
      <c r="O168" s="5"/>
      <c r="P168" s="5"/>
      <c r="Q168" s="5"/>
      <c r="R168" s="5"/>
      <c r="S168" s="5"/>
      <c r="T168" s="5"/>
      <c r="U168" s="5"/>
      <c r="V168" s="5"/>
      <c r="W168" s="5"/>
      <c r="X168" s="5"/>
      <c r="Y168" s="5"/>
    </row>
    <row r="169" spans="1:25">
      <c r="A169" s="5"/>
      <c r="B169" s="5"/>
      <c r="C169" s="12"/>
      <c r="D169" s="12"/>
      <c r="E169" s="12"/>
      <c r="F169" s="5"/>
      <c r="G169" s="5"/>
      <c r="H169" s="5"/>
      <c r="I169" s="5"/>
      <c r="J169" s="5"/>
      <c r="K169" s="5"/>
      <c r="L169" s="5"/>
      <c r="M169" s="5"/>
      <c r="N169" s="5"/>
      <c r="O169" s="5"/>
      <c r="P169" s="5"/>
      <c r="Q169" s="5"/>
      <c r="R169" s="5"/>
      <c r="S169" s="5"/>
      <c r="T169" s="5"/>
      <c r="U169" s="5"/>
      <c r="V169" s="5"/>
      <c r="W169" s="5"/>
      <c r="X169" s="5"/>
      <c r="Y169" s="5"/>
    </row>
    <row r="170" spans="1:25">
      <c r="A170" s="5"/>
      <c r="B170" s="5"/>
      <c r="C170" s="12"/>
      <c r="D170" s="12"/>
      <c r="E170" s="12"/>
      <c r="F170" s="5"/>
      <c r="G170" s="5"/>
      <c r="H170" s="5"/>
      <c r="I170" s="5"/>
      <c r="J170" s="5"/>
      <c r="K170" s="5"/>
      <c r="L170" s="5"/>
      <c r="M170" s="5"/>
      <c r="N170" s="5"/>
      <c r="O170" s="5"/>
      <c r="P170" s="5"/>
      <c r="Q170" s="5"/>
      <c r="R170" s="5"/>
      <c r="S170" s="5"/>
      <c r="T170" s="5"/>
      <c r="U170" s="5"/>
      <c r="V170" s="5"/>
      <c r="W170" s="5"/>
      <c r="X170" s="5"/>
      <c r="Y170" s="5"/>
    </row>
    <row r="171" spans="1:25">
      <c r="A171" s="5"/>
      <c r="B171" s="5"/>
      <c r="C171" s="12"/>
      <c r="D171" s="12"/>
      <c r="E171" s="12"/>
      <c r="F171" s="5"/>
      <c r="G171" s="5"/>
      <c r="H171" s="5"/>
      <c r="I171" s="5"/>
      <c r="J171" s="5"/>
      <c r="K171" s="5"/>
      <c r="L171" s="5"/>
      <c r="M171" s="5"/>
      <c r="N171" s="5"/>
      <c r="O171" s="5"/>
      <c r="P171" s="5"/>
      <c r="Q171" s="5"/>
      <c r="R171" s="5"/>
      <c r="S171" s="5"/>
      <c r="T171" s="5"/>
      <c r="U171" s="5"/>
      <c r="V171" s="5"/>
      <c r="W171" s="5"/>
      <c r="X171" s="5"/>
      <c r="Y171" s="5"/>
    </row>
    <row r="172" spans="1:25">
      <c r="A172" s="5"/>
      <c r="B172" s="5"/>
      <c r="C172" s="12"/>
      <c r="D172" s="12"/>
      <c r="E172" s="12"/>
      <c r="F172" s="5"/>
      <c r="G172" s="5"/>
      <c r="H172" s="5"/>
      <c r="I172" s="5"/>
      <c r="J172" s="5"/>
      <c r="K172" s="5"/>
      <c r="L172" s="5"/>
      <c r="M172" s="5"/>
      <c r="N172" s="5"/>
      <c r="O172" s="5"/>
      <c r="P172" s="5"/>
      <c r="Q172" s="5"/>
      <c r="R172" s="5"/>
      <c r="S172" s="5"/>
      <c r="T172" s="5"/>
      <c r="U172" s="5"/>
      <c r="V172" s="5"/>
      <c r="W172" s="5"/>
      <c r="X172" s="5"/>
      <c r="Y172" s="5"/>
    </row>
    <row r="173" spans="1:25">
      <c r="A173" s="5"/>
      <c r="B173" s="5"/>
      <c r="C173" s="12"/>
      <c r="D173" s="12"/>
      <c r="E173" s="12"/>
      <c r="F173" s="5"/>
      <c r="G173" s="5"/>
      <c r="H173" s="5"/>
      <c r="I173" s="5"/>
      <c r="J173" s="5"/>
      <c r="K173" s="5"/>
      <c r="L173" s="5"/>
      <c r="M173" s="5"/>
      <c r="N173" s="5"/>
      <c r="O173" s="5"/>
      <c r="P173" s="5"/>
      <c r="Q173" s="5"/>
      <c r="R173" s="5"/>
      <c r="S173" s="5"/>
      <c r="T173" s="5"/>
      <c r="U173" s="5"/>
      <c r="V173" s="5"/>
      <c r="W173" s="5"/>
      <c r="X173" s="5"/>
      <c r="Y173" s="5"/>
    </row>
    <row r="174" spans="1:25">
      <c r="A174" s="5"/>
      <c r="B174" s="5"/>
      <c r="C174" s="12"/>
      <c r="D174" s="12"/>
      <c r="E174" s="12"/>
      <c r="F174" s="5"/>
      <c r="G174" s="5"/>
      <c r="H174" s="5"/>
      <c r="I174" s="5"/>
      <c r="J174" s="5"/>
      <c r="K174" s="5"/>
      <c r="L174" s="5"/>
      <c r="M174" s="5"/>
      <c r="N174" s="5"/>
      <c r="O174" s="5"/>
      <c r="P174" s="5"/>
      <c r="Q174" s="5"/>
      <c r="R174" s="5"/>
      <c r="S174" s="5"/>
      <c r="T174" s="5"/>
      <c r="U174" s="5"/>
      <c r="V174" s="5"/>
      <c r="W174" s="5"/>
      <c r="X174" s="5"/>
      <c r="Y174" s="5"/>
    </row>
    <row r="175" spans="1:25">
      <c r="A175" s="5"/>
      <c r="B175" s="5"/>
      <c r="C175" s="12"/>
      <c r="D175" s="12"/>
      <c r="E175" s="12"/>
      <c r="F175" s="5"/>
      <c r="G175" s="5"/>
      <c r="H175" s="5"/>
      <c r="I175" s="5"/>
      <c r="J175" s="5"/>
      <c r="K175" s="5"/>
      <c r="L175" s="5"/>
      <c r="M175" s="5"/>
      <c r="N175" s="5"/>
      <c r="O175" s="5"/>
      <c r="P175" s="5"/>
      <c r="Q175" s="5"/>
      <c r="R175" s="5"/>
      <c r="S175" s="5"/>
      <c r="T175" s="5"/>
      <c r="U175" s="5"/>
      <c r="V175" s="5"/>
      <c r="W175" s="5"/>
      <c r="X175" s="5"/>
      <c r="Y175" s="5"/>
    </row>
    <row r="176" spans="1:25">
      <c r="A176" s="5"/>
      <c r="B176" s="5"/>
      <c r="C176" s="12"/>
      <c r="D176" s="12"/>
      <c r="E176" s="12"/>
      <c r="F176" s="5"/>
      <c r="G176" s="5"/>
      <c r="H176" s="5"/>
      <c r="I176" s="5"/>
      <c r="J176" s="5"/>
      <c r="K176" s="5"/>
      <c r="L176" s="5"/>
      <c r="M176" s="5"/>
      <c r="N176" s="5"/>
      <c r="O176" s="5"/>
      <c r="P176" s="5"/>
      <c r="Q176" s="5"/>
      <c r="R176" s="5"/>
      <c r="S176" s="5"/>
      <c r="T176" s="5"/>
      <c r="U176" s="5"/>
      <c r="V176" s="5"/>
      <c r="W176" s="5"/>
      <c r="X176" s="5"/>
      <c r="Y176" s="5"/>
    </row>
    <row r="177" spans="1:25">
      <c r="A177" s="5"/>
      <c r="B177" s="5"/>
      <c r="C177" s="12"/>
      <c r="D177" s="12"/>
      <c r="E177" s="12"/>
      <c r="F177" s="5"/>
      <c r="G177" s="5"/>
      <c r="H177" s="5"/>
      <c r="I177" s="5"/>
      <c r="J177" s="5"/>
      <c r="K177" s="5"/>
      <c r="L177" s="5"/>
      <c r="M177" s="5"/>
      <c r="N177" s="5"/>
      <c r="O177" s="5"/>
      <c r="P177" s="5"/>
      <c r="Q177" s="5"/>
      <c r="R177" s="5"/>
      <c r="S177" s="5"/>
      <c r="T177" s="5"/>
      <c r="U177" s="5"/>
      <c r="V177" s="5"/>
      <c r="W177" s="5"/>
      <c r="X177" s="5"/>
      <c r="Y177" s="5"/>
    </row>
    <row r="178" spans="1:25">
      <c r="A178" s="5"/>
      <c r="B178" s="5"/>
      <c r="C178" s="12"/>
      <c r="D178" s="12"/>
      <c r="E178" s="12"/>
      <c r="F178" s="5"/>
      <c r="G178" s="5"/>
      <c r="H178" s="5"/>
      <c r="I178" s="5"/>
      <c r="J178" s="5"/>
      <c r="K178" s="5"/>
      <c r="L178" s="5"/>
      <c r="M178" s="5"/>
      <c r="N178" s="5"/>
      <c r="O178" s="5"/>
      <c r="P178" s="5"/>
      <c r="Q178" s="5"/>
      <c r="R178" s="5"/>
      <c r="S178" s="5"/>
      <c r="T178" s="5"/>
      <c r="U178" s="5"/>
      <c r="V178" s="5"/>
      <c r="W178" s="5"/>
      <c r="X178" s="5"/>
      <c r="Y178" s="5"/>
    </row>
    <row r="179" spans="1:25">
      <c r="A179" s="5"/>
      <c r="B179" s="5"/>
      <c r="C179" s="12"/>
      <c r="D179" s="12"/>
      <c r="E179" s="12"/>
      <c r="F179" s="5"/>
      <c r="G179" s="5"/>
      <c r="H179" s="5"/>
      <c r="I179" s="5"/>
      <c r="J179" s="5"/>
      <c r="K179" s="5"/>
      <c r="L179" s="5"/>
      <c r="M179" s="5"/>
      <c r="N179" s="5"/>
      <c r="O179" s="5"/>
      <c r="P179" s="5"/>
      <c r="Q179" s="5"/>
      <c r="R179" s="5"/>
      <c r="S179" s="5"/>
      <c r="T179" s="5"/>
      <c r="U179" s="5"/>
      <c r="V179" s="5"/>
      <c r="W179" s="5"/>
      <c r="X179" s="5"/>
      <c r="Y179" s="5"/>
    </row>
    <row r="180" spans="1:25">
      <c r="A180" s="5"/>
      <c r="B180" s="5"/>
      <c r="C180" s="12"/>
      <c r="D180" s="12"/>
      <c r="E180" s="12"/>
      <c r="F180" s="5"/>
      <c r="G180" s="5"/>
      <c r="H180" s="5"/>
      <c r="I180" s="5"/>
      <c r="J180" s="5"/>
      <c r="K180" s="5"/>
      <c r="L180" s="5"/>
      <c r="M180" s="5"/>
      <c r="N180" s="5"/>
      <c r="O180" s="5"/>
      <c r="P180" s="5"/>
      <c r="Q180" s="5"/>
      <c r="R180" s="5"/>
      <c r="S180" s="5"/>
      <c r="T180" s="5"/>
      <c r="U180" s="5"/>
      <c r="V180" s="5"/>
      <c r="W180" s="5"/>
      <c r="X180" s="5"/>
      <c r="Y180" s="5"/>
    </row>
    <row r="181" spans="1:25">
      <c r="A181" s="5"/>
      <c r="B181" s="5"/>
      <c r="C181" s="12"/>
      <c r="D181" s="12"/>
      <c r="E181" s="12"/>
      <c r="F181" s="5"/>
      <c r="G181" s="5"/>
      <c r="H181" s="5"/>
      <c r="I181" s="5"/>
      <c r="J181" s="5"/>
      <c r="K181" s="5"/>
      <c r="L181" s="5"/>
      <c r="M181" s="5"/>
      <c r="N181" s="5"/>
      <c r="O181" s="5"/>
      <c r="P181" s="5"/>
      <c r="Q181" s="5"/>
      <c r="R181" s="5"/>
      <c r="S181" s="5"/>
      <c r="T181" s="5"/>
      <c r="U181" s="5"/>
      <c r="V181" s="5"/>
      <c r="W181" s="5"/>
      <c r="X181" s="5"/>
      <c r="Y181" s="5"/>
    </row>
    <row r="182" spans="1:25">
      <c r="A182" s="5"/>
      <c r="B182" s="5"/>
      <c r="C182" s="12"/>
      <c r="D182" s="12"/>
      <c r="E182" s="12"/>
      <c r="F182" s="5"/>
      <c r="G182" s="5"/>
      <c r="H182" s="5"/>
      <c r="I182" s="5"/>
      <c r="J182" s="5"/>
      <c r="K182" s="5"/>
      <c r="L182" s="5"/>
      <c r="M182" s="5"/>
      <c r="N182" s="5"/>
      <c r="O182" s="5"/>
      <c r="P182" s="5"/>
      <c r="Q182" s="5"/>
      <c r="R182" s="5"/>
      <c r="S182" s="5"/>
      <c r="T182" s="5"/>
      <c r="U182" s="5"/>
      <c r="V182" s="5"/>
      <c r="W182" s="5"/>
      <c r="X182" s="5"/>
      <c r="Y182" s="5"/>
    </row>
    <row r="183" spans="1:25">
      <c r="A183" s="5"/>
      <c r="B183" s="5"/>
      <c r="C183" s="12"/>
      <c r="D183" s="12"/>
      <c r="E183" s="12"/>
      <c r="F183" s="5"/>
      <c r="G183" s="5"/>
      <c r="H183" s="5"/>
      <c r="I183" s="5"/>
      <c r="J183" s="5"/>
      <c r="K183" s="5"/>
      <c r="L183" s="5"/>
      <c r="M183" s="5"/>
      <c r="N183" s="5"/>
      <c r="O183" s="5"/>
      <c r="P183" s="5"/>
      <c r="Q183" s="5"/>
      <c r="R183" s="5"/>
      <c r="S183" s="5"/>
      <c r="T183" s="5"/>
      <c r="U183" s="5"/>
      <c r="V183" s="5"/>
      <c r="W183" s="5"/>
      <c r="X183" s="5"/>
      <c r="Y183" s="5"/>
    </row>
    <row r="184" spans="1:25">
      <c r="A184" s="5"/>
      <c r="B184" s="5"/>
      <c r="C184" s="12"/>
      <c r="D184" s="12"/>
      <c r="E184" s="12"/>
      <c r="F184" s="5"/>
      <c r="G184" s="5"/>
      <c r="H184" s="5"/>
      <c r="I184" s="5"/>
      <c r="J184" s="5"/>
      <c r="K184" s="5"/>
      <c r="L184" s="5"/>
      <c r="M184" s="5"/>
      <c r="N184" s="5"/>
      <c r="O184" s="5"/>
      <c r="P184" s="5"/>
      <c r="Q184" s="5"/>
      <c r="R184" s="5"/>
      <c r="S184" s="5"/>
      <c r="T184" s="5"/>
      <c r="U184" s="5"/>
      <c r="V184" s="5"/>
      <c r="W184" s="5"/>
      <c r="X184" s="5"/>
      <c r="Y184" s="5"/>
    </row>
    <row r="185" spans="1:25">
      <c r="A185" s="5"/>
      <c r="B185" s="5"/>
      <c r="C185" s="12"/>
      <c r="D185" s="12"/>
      <c r="E185" s="12"/>
      <c r="F185" s="5"/>
      <c r="G185" s="5"/>
      <c r="H185" s="5"/>
      <c r="I185" s="5"/>
      <c r="J185" s="5"/>
      <c r="K185" s="5"/>
      <c r="L185" s="5"/>
      <c r="M185" s="5"/>
      <c r="N185" s="5"/>
      <c r="O185" s="5"/>
      <c r="P185" s="5"/>
      <c r="Q185" s="5"/>
      <c r="R185" s="5"/>
      <c r="S185" s="5"/>
      <c r="T185" s="5"/>
      <c r="U185" s="5"/>
      <c r="V185" s="5"/>
      <c r="W185" s="5"/>
      <c r="X185" s="5"/>
      <c r="Y185" s="5"/>
    </row>
    <row r="186" spans="1:25">
      <c r="A186" s="5"/>
      <c r="B186" s="5"/>
      <c r="C186" s="12"/>
      <c r="D186" s="12"/>
      <c r="E186" s="12"/>
      <c r="F186" s="5"/>
      <c r="G186" s="5"/>
      <c r="H186" s="5"/>
      <c r="I186" s="5"/>
      <c r="J186" s="5"/>
      <c r="K186" s="5"/>
      <c r="L186" s="5"/>
      <c r="M186" s="5"/>
      <c r="N186" s="5"/>
      <c r="O186" s="5"/>
      <c r="P186" s="5"/>
      <c r="Q186" s="5"/>
      <c r="R186" s="5"/>
      <c r="S186" s="5"/>
      <c r="T186" s="5"/>
      <c r="U186" s="5"/>
      <c r="V186" s="5"/>
      <c r="W186" s="5"/>
      <c r="X186" s="5"/>
      <c r="Y186" s="5"/>
    </row>
    <row r="187" spans="1:25">
      <c r="A187" s="5"/>
      <c r="B187" s="5"/>
      <c r="C187" s="12"/>
      <c r="D187" s="12"/>
      <c r="E187" s="12"/>
      <c r="F187" s="5"/>
      <c r="G187" s="5"/>
      <c r="H187" s="5"/>
      <c r="I187" s="5"/>
      <c r="J187" s="5"/>
      <c r="K187" s="5"/>
      <c r="L187" s="5"/>
      <c r="M187" s="5"/>
      <c r="N187" s="5"/>
      <c r="O187" s="5"/>
      <c r="P187" s="5"/>
      <c r="Q187" s="5"/>
      <c r="R187" s="5"/>
      <c r="S187" s="5"/>
      <c r="T187" s="5"/>
      <c r="U187" s="5"/>
      <c r="V187" s="5"/>
      <c r="W187" s="5"/>
      <c r="X187" s="5"/>
      <c r="Y187" s="5"/>
    </row>
    <row r="188" spans="1:25">
      <c r="A188" s="5"/>
      <c r="B188" s="5"/>
      <c r="C188" s="12"/>
      <c r="D188" s="12"/>
      <c r="E188" s="12"/>
      <c r="F188" s="5"/>
      <c r="G188" s="5"/>
      <c r="H188" s="5"/>
      <c r="I188" s="5"/>
      <c r="J188" s="5"/>
      <c r="K188" s="5"/>
      <c r="L188" s="5"/>
      <c r="M188" s="5"/>
      <c r="N188" s="5"/>
      <c r="O188" s="5"/>
      <c r="P188" s="5"/>
      <c r="Q188" s="5"/>
      <c r="R188" s="5"/>
      <c r="S188" s="5"/>
      <c r="T188" s="5"/>
      <c r="U188" s="5"/>
      <c r="V188" s="5"/>
      <c r="W188" s="5"/>
      <c r="X188" s="5"/>
      <c r="Y188" s="5"/>
    </row>
    <row r="189" spans="1:25">
      <c r="A189" s="5"/>
      <c r="B189" s="5"/>
      <c r="C189" s="12"/>
      <c r="D189" s="12"/>
      <c r="E189" s="12"/>
      <c r="F189" s="5"/>
      <c r="G189" s="5"/>
      <c r="H189" s="5"/>
      <c r="I189" s="5"/>
      <c r="J189" s="5"/>
      <c r="K189" s="5"/>
      <c r="L189" s="5"/>
      <c r="M189" s="5"/>
      <c r="N189" s="5"/>
      <c r="O189" s="5"/>
      <c r="P189" s="5"/>
      <c r="Q189" s="5"/>
      <c r="R189" s="5"/>
      <c r="S189" s="5"/>
      <c r="T189" s="5"/>
      <c r="U189" s="5"/>
      <c r="V189" s="5"/>
      <c r="W189" s="5"/>
      <c r="X189" s="5"/>
      <c r="Y189" s="5"/>
    </row>
    <row r="190" spans="1:25">
      <c r="A190" s="5"/>
      <c r="B190" s="5"/>
      <c r="C190" s="12"/>
      <c r="D190" s="12"/>
      <c r="E190" s="12"/>
      <c r="F190" s="5"/>
      <c r="G190" s="5"/>
      <c r="H190" s="5"/>
      <c r="I190" s="5"/>
      <c r="J190" s="5"/>
      <c r="K190" s="5"/>
      <c r="L190" s="5"/>
      <c r="M190" s="5"/>
      <c r="N190" s="5"/>
      <c r="O190" s="5"/>
      <c r="P190" s="5"/>
      <c r="Q190" s="5"/>
      <c r="R190" s="5"/>
      <c r="S190" s="5"/>
      <c r="T190" s="5"/>
      <c r="U190" s="5"/>
      <c r="V190" s="5"/>
      <c r="W190" s="5"/>
      <c r="X190" s="5"/>
      <c r="Y190" s="5"/>
    </row>
    <row r="191" spans="1:25">
      <c r="A191" s="5"/>
      <c r="B191" s="5"/>
      <c r="C191" s="12"/>
      <c r="D191" s="12"/>
      <c r="E191" s="12"/>
      <c r="F191" s="5"/>
      <c r="G191" s="5"/>
      <c r="H191" s="5"/>
      <c r="I191" s="5"/>
      <c r="J191" s="5"/>
      <c r="K191" s="5"/>
      <c r="L191" s="5"/>
      <c r="M191" s="5"/>
      <c r="N191" s="5"/>
      <c r="O191" s="5"/>
      <c r="P191" s="5"/>
      <c r="Q191" s="5"/>
      <c r="R191" s="5"/>
      <c r="S191" s="5"/>
      <c r="T191" s="5"/>
      <c r="U191" s="5"/>
      <c r="V191" s="5"/>
      <c r="W191" s="5"/>
      <c r="X191" s="5"/>
      <c r="Y191" s="5"/>
    </row>
    <row r="192" spans="1:25">
      <c r="A192" s="5"/>
      <c r="B192" s="5"/>
      <c r="C192" s="12"/>
      <c r="D192" s="12"/>
      <c r="E192" s="12"/>
      <c r="F192" s="5"/>
      <c r="G192" s="5"/>
      <c r="H192" s="5"/>
      <c r="I192" s="5"/>
      <c r="J192" s="5"/>
      <c r="K192" s="5"/>
      <c r="L192" s="5"/>
      <c r="M192" s="5"/>
      <c r="N192" s="5"/>
      <c r="O192" s="5"/>
      <c r="P192" s="5"/>
      <c r="Q192" s="5"/>
      <c r="R192" s="5"/>
      <c r="S192" s="5"/>
      <c r="T192" s="5"/>
      <c r="U192" s="5"/>
      <c r="V192" s="5"/>
      <c r="W192" s="5"/>
      <c r="X192" s="5"/>
      <c r="Y192" s="5"/>
    </row>
    <row r="193" spans="1:25">
      <c r="A193" s="5"/>
      <c r="B193" s="5"/>
      <c r="C193" s="12"/>
      <c r="D193" s="12"/>
      <c r="E193" s="12"/>
      <c r="F193" s="5"/>
      <c r="G193" s="5"/>
      <c r="H193" s="5"/>
      <c r="I193" s="5"/>
      <c r="J193" s="5"/>
      <c r="K193" s="5"/>
      <c r="L193" s="5"/>
      <c r="M193" s="5"/>
      <c r="N193" s="5"/>
      <c r="O193" s="5"/>
      <c r="P193" s="5"/>
      <c r="Q193" s="5"/>
      <c r="R193" s="5"/>
      <c r="S193" s="5"/>
      <c r="T193" s="5"/>
      <c r="U193" s="5"/>
      <c r="V193" s="5"/>
      <c r="W193" s="5"/>
      <c r="X193" s="5"/>
      <c r="Y193" s="5"/>
    </row>
    <row r="194" spans="1:25">
      <c r="A194" s="5"/>
      <c r="B194" s="5"/>
      <c r="C194" s="12"/>
      <c r="D194" s="12"/>
      <c r="E194" s="12"/>
      <c r="F194" s="5"/>
      <c r="G194" s="5"/>
      <c r="H194" s="5"/>
      <c r="I194" s="5"/>
      <c r="J194" s="5"/>
      <c r="K194" s="5"/>
      <c r="L194" s="5"/>
      <c r="M194" s="5"/>
      <c r="N194" s="5"/>
      <c r="O194" s="5"/>
      <c r="P194" s="5"/>
      <c r="Q194" s="5"/>
      <c r="R194" s="5"/>
      <c r="S194" s="5"/>
      <c r="T194" s="5"/>
      <c r="U194" s="5"/>
      <c r="V194" s="5"/>
      <c r="W194" s="5"/>
      <c r="X194" s="5"/>
      <c r="Y194" s="5"/>
    </row>
    <row r="195" spans="1:25">
      <c r="A195" s="5"/>
      <c r="B195" s="5"/>
      <c r="C195" s="12"/>
      <c r="D195" s="12"/>
      <c r="E195" s="12"/>
      <c r="F195" s="5"/>
      <c r="G195" s="5"/>
      <c r="H195" s="5"/>
      <c r="I195" s="5"/>
      <c r="J195" s="5"/>
      <c r="K195" s="5"/>
      <c r="L195" s="5"/>
      <c r="M195" s="5"/>
      <c r="N195" s="5"/>
      <c r="O195" s="5"/>
      <c r="P195" s="5"/>
      <c r="Q195" s="5"/>
      <c r="R195" s="5"/>
      <c r="S195" s="5"/>
      <c r="T195" s="5"/>
      <c r="U195" s="5"/>
      <c r="V195" s="5"/>
      <c r="W195" s="5"/>
      <c r="X195" s="5"/>
      <c r="Y195" s="5"/>
    </row>
    <row r="196" spans="1:25">
      <c r="A196" s="5"/>
      <c r="B196" s="5"/>
      <c r="C196" s="12"/>
      <c r="D196" s="12"/>
      <c r="E196" s="12"/>
      <c r="F196" s="5"/>
      <c r="G196" s="5"/>
      <c r="H196" s="5"/>
      <c r="I196" s="5"/>
      <c r="J196" s="5"/>
      <c r="K196" s="5"/>
      <c r="L196" s="5"/>
      <c r="M196" s="5"/>
      <c r="N196" s="5"/>
      <c r="O196" s="5"/>
      <c r="P196" s="5"/>
      <c r="Q196" s="5"/>
      <c r="R196" s="5"/>
      <c r="S196" s="5"/>
      <c r="T196" s="5"/>
      <c r="U196" s="5"/>
      <c r="V196" s="5"/>
      <c r="W196" s="5"/>
      <c r="X196" s="5"/>
      <c r="Y196" s="5"/>
    </row>
    <row r="197" spans="1:25">
      <c r="A197" s="5"/>
      <c r="B197" s="5"/>
      <c r="C197" s="12"/>
      <c r="D197" s="12"/>
      <c r="E197" s="12"/>
      <c r="F197" s="5"/>
      <c r="G197" s="5"/>
      <c r="H197" s="5"/>
      <c r="I197" s="5"/>
      <c r="J197" s="5"/>
      <c r="K197" s="5"/>
      <c r="L197" s="5"/>
      <c r="M197" s="5"/>
      <c r="N197" s="5"/>
      <c r="O197" s="5"/>
      <c r="P197" s="5"/>
      <c r="Q197" s="5"/>
      <c r="R197" s="5"/>
      <c r="S197" s="5"/>
      <c r="T197" s="5"/>
      <c r="U197" s="5"/>
      <c r="V197" s="5"/>
      <c r="W197" s="5"/>
      <c r="X197" s="5"/>
      <c r="Y197" s="5"/>
    </row>
    <row r="198" spans="1:25">
      <c r="A198" s="5"/>
      <c r="B198" s="5"/>
      <c r="C198" s="12"/>
      <c r="D198" s="12"/>
      <c r="E198" s="12"/>
      <c r="F198" s="5"/>
      <c r="G198" s="5"/>
      <c r="H198" s="5"/>
      <c r="I198" s="5"/>
      <c r="J198" s="5"/>
      <c r="K198" s="5"/>
      <c r="L198" s="5"/>
      <c r="M198" s="5"/>
      <c r="N198" s="5"/>
      <c r="O198" s="5"/>
      <c r="P198" s="5"/>
      <c r="Q198" s="5"/>
      <c r="R198" s="5"/>
      <c r="S198" s="5"/>
      <c r="T198" s="5"/>
      <c r="U198" s="5"/>
      <c r="V198" s="5"/>
      <c r="W198" s="5"/>
      <c r="X198" s="5"/>
      <c r="Y198" s="5"/>
    </row>
    <row r="199" spans="1:25">
      <c r="A199" s="5"/>
      <c r="B199" s="5"/>
      <c r="C199" s="12"/>
      <c r="D199" s="12"/>
      <c r="E199" s="12"/>
      <c r="F199" s="5"/>
      <c r="G199" s="5"/>
      <c r="H199" s="5"/>
      <c r="I199" s="5"/>
      <c r="J199" s="5"/>
      <c r="K199" s="5"/>
      <c r="L199" s="5"/>
      <c r="M199" s="5"/>
      <c r="N199" s="5"/>
      <c r="O199" s="5"/>
      <c r="P199" s="5"/>
      <c r="Q199" s="5"/>
      <c r="R199" s="5"/>
      <c r="S199" s="5"/>
      <c r="T199" s="5"/>
      <c r="U199" s="5"/>
      <c r="V199" s="5"/>
      <c r="W199" s="5"/>
      <c r="X199" s="5"/>
      <c r="Y199" s="5"/>
    </row>
    <row r="200" spans="1:25">
      <c r="A200" s="5"/>
      <c r="B200" s="5"/>
      <c r="C200" s="12"/>
      <c r="D200" s="12"/>
      <c r="E200" s="12"/>
      <c r="F200" s="5"/>
      <c r="G200" s="5"/>
      <c r="H200" s="5"/>
      <c r="I200" s="5"/>
      <c r="J200" s="5"/>
      <c r="K200" s="5"/>
      <c r="L200" s="5"/>
      <c r="M200" s="5"/>
      <c r="N200" s="5"/>
      <c r="O200" s="5"/>
      <c r="P200" s="5"/>
      <c r="Q200" s="5"/>
      <c r="R200" s="5"/>
      <c r="S200" s="5"/>
      <c r="T200" s="5"/>
      <c r="U200" s="5"/>
      <c r="V200" s="5"/>
      <c r="W200" s="5"/>
      <c r="X200" s="5"/>
      <c r="Y200" s="5"/>
    </row>
    <row r="201" spans="1:25">
      <c r="A201" s="5"/>
      <c r="B201" s="5"/>
      <c r="C201" s="12"/>
      <c r="D201" s="12"/>
      <c r="E201" s="12"/>
      <c r="F201" s="5"/>
      <c r="G201" s="5"/>
      <c r="H201" s="5"/>
      <c r="I201" s="5"/>
      <c r="J201" s="5"/>
      <c r="K201" s="5"/>
      <c r="L201" s="5"/>
      <c r="M201" s="5"/>
      <c r="N201" s="5"/>
      <c r="O201" s="5"/>
      <c r="P201" s="5"/>
      <c r="Q201" s="5"/>
      <c r="R201" s="5"/>
      <c r="S201" s="5"/>
      <c r="T201" s="5"/>
      <c r="U201" s="5"/>
      <c r="V201" s="5"/>
      <c r="W201" s="5"/>
      <c r="X201" s="5"/>
      <c r="Y201" s="5"/>
    </row>
    <row r="202" spans="1:25">
      <c r="A202" s="5"/>
      <c r="B202" s="5"/>
      <c r="C202" s="12"/>
      <c r="D202" s="12"/>
      <c r="E202" s="12"/>
      <c r="F202" s="5"/>
      <c r="G202" s="5"/>
      <c r="H202" s="5"/>
      <c r="I202" s="5"/>
      <c r="J202" s="5"/>
      <c r="K202" s="5"/>
      <c r="L202" s="5"/>
      <c r="M202" s="5"/>
      <c r="N202" s="5"/>
      <c r="O202" s="5"/>
      <c r="P202" s="5"/>
      <c r="Q202" s="5"/>
      <c r="R202" s="5"/>
      <c r="S202" s="5"/>
      <c r="T202" s="5"/>
      <c r="U202" s="5"/>
      <c r="V202" s="5"/>
      <c r="W202" s="5"/>
      <c r="X202" s="5"/>
      <c r="Y202" s="5"/>
    </row>
    <row r="203" spans="1:25">
      <c r="A203" s="5"/>
      <c r="B203" s="5"/>
      <c r="C203" s="12"/>
      <c r="D203" s="12"/>
      <c r="E203" s="12"/>
      <c r="F203" s="5"/>
      <c r="G203" s="5"/>
      <c r="H203" s="5"/>
      <c r="I203" s="5"/>
      <c r="J203" s="5"/>
      <c r="K203" s="5"/>
      <c r="L203" s="5"/>
      <c r="M203" s="5"/>
      <c r="N203" s="5"/>
      <c r="O203" s="5"/>
      <c r="P203" s="5"/>
      <c r="Q203" s="5"/>
      <c r="R203" s="5"/>
      <c r="S203" s="5"/>
      <c r="T203" s="5"/>
      <c r="U203" s="5"/>
      <c r="V203" s="5"/>
      <c r="W203" s="5"/>
      <c r="X203" s="5"/>
      <c r="Y203" s="5"/>
    </row>
    <row r="204" spans="1:25">
      <c r="A204" s="5"/>
      <c r="B204" s="5"/>
      <c r="C204" s="12"/>
      <c r="D204" s="12"/>
      <c r="E204" s="12"/>
      <c r="F204" s="5"/>
      <c r="G204" s="5"/>
      <c r="H204" s="5"/>
      <c r="I204" s="5"/>
      <c r="J204" s="5"/>
      <c r="K204" s="5"/>
      <c r="L204" s="5"/>
      <c r="M204" s="5"/>
      <c r="N204" s="5"/>
      <c r="O204" s="5"/>
      <c r="P204" s="5"/>
      <c r="Q204" s="5"/>
      <c r="R204" s="5"/>
      <c r="S204" s="5"/>
      <c r="T204" s="5"/>
      <c r="U204" s="5"/>
      <c r="V204" s="5"/>
      <c r="W204" s="5"/>
      <c r="X204" s="5"/>
      <c r="Y204" s="5"/>
    </row>
    <row r="205" spans="1:25">
      <c r="A205" s="5"/>
      <c r="B205" s="5"/>
      <c r="C205" s="12"/>
      <c r="D205" s="12"/>
      <c r="E205" s="12"/>
      <c r="F205" s="5"/>
      <c r="G205" s="5"/>
      <c r="H205" s="5"/>
      <c r="I205" s="5"/>
      <c r="J205" s="5"/>
      <c r="K205" s="5"/>
      <c r="L205" s="5"/>
      <c r="M205" s="5"/>
      <c r="N205" s="5"/>
      <c r="O205" s="5"/>
      <c r="P205" s="5"/>
      <c r="Q205" s="5"/>
      <c r="R205" s="5"/>
      <c r="S205" s="5"/>
      <c r="T205" s="5"/>
      <c r="U205" s="5"/>
      <c r="V205" s="5"/>
      <c r="W205" s="5"/>
      <c r="X205" s="5"/>
      <c r="Y205" s="5"/>
    </row>
    <row r="206" spans="1:25">
      <c r="A206" s="5"/>
      <c r="B206" s="5"/>
      <c r="C206" s="12"/>
      <c r="D206" s="12"/>
      <c r="E206" s="12"/>
      <c r="F206" s="5"/>
      <c r="G206" s="5"/>
      <c r="H206" s="5"/>
      <c r="I206" s="5"/>
      <c r="J206" s="5"/>
      <c r="K206" s="5"/>
      <c r="L206" s="5"/>
      <c r="M206" s="5"/>
      <c r="N206" s="5"/>
      <c r="O206" s="5"/>
      <c r="P206" s="5"/>
      <c r="Q206" s="5"/>
      <c r="R206" s="5"/>
      <c r="S206" s="5"/>
      <c r="T206" s="5"/>
      <c r="U206" s="5"/>
      <c r="V206" s="5"/>
      <c r="W206" s="5"/>
      <c r="X206" s="5"/>
      <c r="Y206" s="5"/>
    </row>
    <row r="207" spans="1:25">
      <c r="A207" s="5"/>
      <c r="B207" s="5"/>
      <c r="C207" s="12"/>
      <c r="D207" s="12"/>
      <c r="E207" s="12"/>
      <c r="F207" s="5"/>
      <c r="G207" s="5"/>
      <c r="H207" s="5"/>
      <c r="I207" s="5"/>
      <c r="J207" s="5"/>
      <c r="K207" s="5"/>
      <c r="L207" s="5"/>
      <c r="M207" s="5"/>
      <c r="N207" s="5"/>
      <c r="O207" s="5"/>
      <c r="P207" s="5"/>
      <c r="Q207" s="5"/>
      <c r="R207" s="5"/>
      <c r="S207" s="5"/>
      <c r="T207" s="5"/>
      <c r="U207" s="5"/>
      <c r="V207" s="5"/>
      <c r="W207" s="5"/>
      <c r="X207" s="5"/>
      <c r="Y207" s="5"/>
    </row>
    <row r="208" spans="1:25">
      <c r="A208" s="5"/>
      <c r="B208" s="5"/>
      <c r="C208" s="12"/>
      <c r="D208" s="12"/>
      <c r="E208" s="12"/>
      <c r="F208" s="5"/>
      <c r="G208" s="5"/>
      <c r="H208" s="5"/>
      <c r="I208" s="5"/>
      <c r="J208" s="5"/>
      <c r="K208" s="5"/>
      <c r="L208" s="5"/>
      <c r="M208" s="5"/>
      <c r="N208" s="5"/>
      <c r="O208" s="5"/>
      <c r="P208" s="5"/>
      <c r="Q208" s="5"/>
      <c r="R208" s="5"/>
      <c r="S208" s="5"/>
      <c r="T208" s="5"/>
      <c r="U208" s="5"/>
      <c r="V208" s="5"/>
      <c r="W208" s="5"/>
      <c r="X208" s="5"/>
      <c r="Y208" s="5"/>
    </row>
    <row r="209" spans="1:25">
      <c r="A209" s="5"/>
      <c r="B209" s="5"/>
      <c r="C209" s="12"/>
      <c r="D209" s="12"/>
      <c r="E209" s="12"/>
      <c r="F209" s="5"/>
      <c r="G209" s="5"/>
      <c r="H209" s="5"/>
      <c r="I209" s="5"/>
      <c r="J209" s="5"/>
      <c r="K209" s="5"/>
      <c r="L209" s="5"/>
      <c r="M209" s="5"/>
      <c r="N209" s="5"/>
      <c r="O209" s="5"/>
      <c r="P209" s="5"/>
      <c r="Q209" s="5"/>
      <c r="R209" s="5"/>
      <c r="S209" s="5"/>
      <c r="T209" s="5"/>
      <c r="U209" s="5"/>
      <c r="V209" s="5"/>
      <c r="W209" s="5"/>
      <c r="X209" s="5"/>
      <c r="Y209" s="5"/>
    </row>
    <row r="210" spans="1:25">
      <c r="A210" s="5"/>
      <c r="B210" s="5"/>
      <c r="C210" s="12"/>
      <c r="D210" s="12"/>
      <c r="E210" s="12"/>
      <c r="F210" s="5"/>
      <c r="G210" s="5"/>
      <c r="H210" s="5"/>
      <c r="I210" s="5"/>
      <c r="J210" s="5"/>
      <c r="K210" s="5"/>
      <c r="L210" s="5"/>
      <c r="M210" s="5"/>
      <c r="N210" s="5"/>
      <c r="O210" s="5"/>
      <c r="P210" s="5"/>
      <c r="Q210" s="5"/>
      <c r="R210" s="5"/>
      <c r="S210" s="5"/>
      <c r="T210" s="5"/>
      <c r="U210" s="5"/>
      <c r="V210" s="5"/>
      <c r="W210" s="5"/>
      <c r="X210" s="5"/>
      <c r="Y210" s="5"/>
    </row>
    <row r="211" spans="1:25">
      <c r="A211" s="5"/>
      <c r="B211" s="5"/>
      <c r="C211" s="12"/>
      <c r="D211" s="12"/>
      <c r="E211" s="12"/>
      <c r="F211" s="5"/>
      <c r="G211" s="5"/>
      <c r="H211" s="5"/>
      <c r="I211" s="5"/>
      <c r="J211" s="5"/>
      <c r="K211" s="5"/>
      <c r="L211" s="5"/>
      <c r="M211" s="5"/>
      <c r="N211" s="5"/>
      <c r="O211" s="5"/>
      <c r="P211" s="5"/>
      <c r="Q211" s="5"/>
      <c r="R211" s="5"/>
      <c r="S211" s="5"/>
      <c r="T211" s="5"/>
      <c r="U211" s="5"/>
      <c r="V211" s="5"/>
      <c r="W211" s="5"/>
      <c r="X211" s="5"/>
      <c r="Y211" s="5"/>
    </row>
    <row r="212" spans="1:25">
      <c r="A212" s="5"/>
      <c r="B212" s="5"/>
      <c r="C212" s="12"/>
      <c r="D212" s="12"/>
      <c r="E212" s="12"/>
      <c r="F212" s="5"/>
      <c r="G212" s="5"/>
      <c r="H212" s="5"/>
      <c r="I212" s="5"/>
      <c r="J212" s="5"/>
      <c r="K212" s="5"/>
      <c r="L212" s="5"/>
      <c r="M212" s="5"/>
      <c r="N212" s="5"/>
      <c r="O212" s="5"/>
      <c r="P212" s="5"/>
      <c r="Q212" s="5"/>
      <c r="R212" s="5"/>
      <c r="S212" s="5"/>
      <c r="T212" s="5"/>
      <c r="U212" s="5"/>
      <c r="V212" s="5"/>
      <c r="W212" s="5"/>
      <c r="X212" s="5"/>
      <c r="Y212" s="5"/>
    </row>
    <row r="213" spans="1:25">
      <c r="A213" s="5"/>
      <c r="B213" s="5"/>
      <c r="C213" s="12"/>
      <c r="D213" s="12"/>
      <c r="E213" s="12"/>
      <c r="F213" s="5"/>
      <c r="G213" s="5"/>
      <c r="H213" s="5"/>
      <c r="I213" s="5"/>
      <c r="J213" s="5"/>
      <c r="K213" s="5"/>
      <c r="L213" s="5"/>
      <c r="M213" s="5"/>
      <c r="N213" s="5"/>
      <c r="O213" s="5"/>
      <c r="P213" s="5"/>
      <c r="Q213" s="5"/>
      <c r="R213" s="5"/>
      <c r="S213" s="5"/>
      <c r="T213" s="5"/>
      <c r="U213" s="5"/>
      <c r="V213" s="5"/>
      <c r="W213" s="5"/>
      <c r="X213" s="5"/>
      <c r="Y213" s="5"/>
    </row>
    <row r="214" spans="1:25">
      <c r="A214" s="5"/>
      <c r="B214" s="5"/>
      <c r="C214" s="12"/>
      <c r="D214" s="12"/>
      <c r="E214" s="12"/>
      <c r="F214" s="5"/>
      <c r="G214" s="5"/>
      <c r="H214" s="5"/>
      <c r="I214" s="5"/>
      <c r="J214" s="5"/>
      <c r="K214" s="5"/>
      <c r="L214" s="5"/>
      <c r="M214" s="5"/>
      <c r="N214" s="5"/>
      <c r="O214" s="5"/>
      <c r="P214" s="5"/>
      <c r="Q214" s="5"/>
      <c r="R214" s="5"/>
      <c r="S214" s="5"/>
      <c r="T214" s="5"/>
      <c r="U214" s="5"/>
      <c r="V214" s="5"/>
      <c r="W214" s="5"/>
      <c r="X214" s="5"/>
      <c r="Y214" s="5"/>
    </row>
    <row r="215" spans="1:25">
      <c r="A215" s="5"/>
      <c r="B215" s="5"/>
      <c r="C215" s="12"/>
      <c r="D215" s="12"/>
      <c r="E215" s="12"/>
      <c r="F215" s="5"/>
      <c r="G215" s="5"/>
      <c r="H215" s="5"/>
      <c r="I215" s="5"/>
      <c r="J215" s="5"/>
      <c r="K215" s="5"/>
      <c r="L215" s="5"/>
      <c r="M215" s="5"/>
      <c r="N215" s="5"/>
      <c r="O215" s="5"/>
      <c r="P215" s="5"/>
      <c r="Q215" s="5"/>
      <c r="R215" s="5"/>
      <c r="S215" s="5"/>
      <c r="T215" s="5"/>
      <c r="U215" s="5"/>
      <c r="V215" s="5"/>
      <c r="W215" s="5"/>
      <c r="X215" s="5"/>
      <c r="Y215" s="5"/>
    </row>
    <row r="216" spans="1:25">
      <c r="A216" s="5"/>
      <c r="B216" s="5"/>
      <c r="C216" s="12"/>
      <c r="D216" s="12"/>
      <c r="E216" s="12"/>
      <c r="F216" s="5"/>
      <c r="G216" s="5"/>
      <c r="H216" s="5"/>
      <c r="I216" s="5"/>
      <c r="J216" s="5"/>
      <c r="K216" s="5"/>
      <c r="L216" s="5"/>
      <c r="M216" s="5"/>
      <c r="N216" s="5"/>
      <c r="O216" s="5"/>
      <c r="P216" s="5"/>
      <c r="Q216" s="5"/>
      <c r="R216" s="5"/>
      <c r="S216" s="5"/>
      <c r="T216" s="5"/>
      <c r="U216" s="5"/>
      <c r="V216" s="5"/>
      <c r="W216" s="5"/>
      <c r="X216" s="5"/>
      <c r="Y216" s="5"/>
    </row>
    <row r="217" spans="1:25">
      <c r="A217" s="5"/>
      <c r="B217" s="5"/>
      <c r="C217" s="12"/>
      <c r="D217" s="12"/>
      <c r="E217" s="12"/>
      <c r="F217" s="5"/>
      <c r="G217" s="5"/>
      <c r="H217" s="5"/>
      <c r="I217" s="5"/>
      <c r="J217" s="5"/>
      <c r="K217" s="5"/>
      <c r="L217" s="5"/>
      <c r="M217" s="5"/>
      <c r="N217" s="5"/>
      <c r="O217" s="5"/>
      <c r="P217" s="5"/>
      <c r="Q217" s="5"/>
      <c r="R217" s="5"/>
      <c r="S217" s="5"/>
      <c r="T217" s="5"/>
      <c r="U217" s="5"/>
      <c r="V217" s="5"/>
      <c r="W217" s="5"/>
      <c r="X217" s="5"/>
      <c r="Y217" s="5"/>
    </row>
    <row r="218" spans="1:25">
      <c r="A218" s="5"/>
      <c r="B218" s="5"/>
      <c r="C218" s="12"/>
      <c r="D218" s="12"/>
      <c r="E218" s="12"/>
      <c r="F218" s="5"/>
      <c r="G218" s="5"/>
      <c r="H218" s="5"/>
      <c r="I218" s="5"/>
      <c r="J218" s="5"/>
      <c r="K218" s="5"/>
      <c r="L218" s="5"/>
      <c r="M218" s="5"/>
      <c r="N218" s="5"/>
      <c r="O218" s="5"/>
      <c r="P218" s="5"/>
      <c r="Q218" s="5"/>
      <c r="R218" s="5"/>
      <c r="S218" s="5"/>
      <c r="T218" s="5"/>
      <c r="U218" s="5"/>
      <c r="V218" s="5"/>
      <c r="W218" s="5"/>
      <c r="X218" s="5"/>
      <c r="Y218" s="5"/>
    </row>
    <row r="219" spans="1:25">
      <c r="A219" s="5"/>
      <c r="B219" s="5"/>
      <c r="C219" s="12"/>
      <c r="D219" s="12"/>
      <c r="E219" s="12"/>
      <c r="F219" s="5"/>
      <c r="G219" s="5"/>
      <c r="H219" s="5"/>
      <c r="I219" s="5"/>
      <c r="J219" s="5"/>
      <c r="K219" s="5"/>
      <c r="L219" s="5"/>
      <c r="M219" s="5"/>
      <c r="N219" s="5"/>
      <c r="O219" s="5"/>
      <c r="P219" s="5"/>
      <c r="Q219" s="5"/>
      <c r="R219" s="5"/>
      <c r="S219" s="5"/>
      <c r="T219" s="5"/>
      <c r="U219" s="5"/>
      <c r="V219" s="5"/>
      <c r="W219" s="5"/>
      <c r="X219" s="5"/>
      <c r="Y219" s="5"/>
    </row>
    <row r="220" spans="1:25">
      <c r="A220" s="5"/>
      <c r="B220" s="5"/>
      <c r="C220" s="12"/>
      <c r="D220" s="12"/>
      <c r="E220" s="12"/>
      <c r="F220" s="5"/>
      <c r="G220" s="5"/>
      <c r="H220" s="5"/>
      <c r="I220" s="5"/>
      <c r="J220" s="5"/>
      <c r="K220" s="5"/>
      <c r="L220" s="5"/>
      <c r="M220" s="5"/>
      <c r="N220" s="5"/>
      <c r="O220" s="5"/>
      <c r="P220" s="5"/>
      <c r="Q220" s="5"/>
      <c r="R220" s="5"/>
      <c r="S220" s="5"/>
      <c r="T220" s="5"/>
      <c r="U220" s="5"/>
      <c r="V220" s="5"/>
      <c r="W220" s="5"/>
      <c r="X220" s="5"/>
      <c r="Y220" s="5"/>
    </row>
    <row r="221" spans="1:25">
      <c r="A221" s="5"/>
      <c r="B221" s="5"/>
      <c r="C221" s="12"/>
      <c r="D221" s="12"/>
      <c r="E221" s="12"/>
      <c r="F221" s="5"/>
      <c r="G221" s="5"/>
      <c r="H221" s="5"/>
      <c r="I221" s="5"/>
      <c r="J221" s="5"/>
      <c r="K221" s="5"/>
      <c r="L221" s="5"/>
      <c r="M221" s="5"/>
      <c r="N221" s="5"/>
      <c r="O221" s="5"/>
      <c r="P221" s="5"/>
      <c r="Q221" s="5"/>
      <c r="R221" s="5"/>
      <c r="S221" s="5"/>
      <c r="T221" s="5"/>
      <c r="U221" s="5"/>
      <c r="V221" s="5"/>
      <c r="W221" s="5"/>
      <c r="X221" s="5"/>
      <c r="Y221" s="5"/>
    </row>
    <row r="222" spans="1:25">
      <c r="A222" s="5"/>
      <c r="B222" s="5"/>
      <c r="C222" s="12"/>
      <c r="D222" s="12"/>
      <c r="E222" s="12"/>
      <c r="F222" s="5"/>
      <c r="G222" s="5"/>
      <c r="H222" s="5"/>
      <c r="I222" s="5"/>
      <c r="J222" s="5"/>
      <c r="K222" s="5"/>
      <c r="L222" s="5"/>
      <c r="M222" s="5"/>
      <c r="N222" s="5"/>
      <c r="O222" s="5"/>
      <c r="P222" s="5"/>
      <c r="Q222" s="5"/>
      <c r="R222" s="5"/>
      <c r="S222" s="5"/>
      <c r="T222" s="5"/>
      <c r="U222" s="5"/>
      <c r="V222" s="5"/>
      <c r="W222" s="5"/>
      <c r="X222" s="5"/>
      <c r="Y222" s="5"/>
    </row>
    <row r="223" spans="1:25">
      <c r="A223" s="5"/>
      <c r="B223" s="5"/>
      <c r="C223" s="12"/>
      <c r="D223" s="12"/>
      <c r="E223" s="12"/>
      <c r="F223" s="5"/>
      <c r="G223" s="5"/>
      <c r="H223" s="5"/>
      <c r="I223" s="5"/>
      <c r="J223" s="5"/>
      <c r="K223" s="5"/>
      <c r="L223" s="5"/>
      <c r="M223" s="5"/>
      <c r="N223" s="5"/>
      <c r="O223" s="5"/>
      <c r="P223" s="5"/>
      <c r="Q223" s="5"/>
      <c r="R223" s="5"/>
      <c r="S223" s="5"/>
      <c r="T223" s="5"/>
      <c r="U223" s="5"/>
      <c r="V223" s="5"/>
      <c r="W223" s="5"/>
      <c r="X223" s="5"/>
      <c r="Y223" s="5"/>
    </row>
    <row r="224" spans="1:25">
      <c r="A224" s="5"/>
      <c r="B224" s="5"/>
      <c r="C224" s="12"/>
      <c r="D224" s="12"/>
      <c r="E224" s="12"/>
      <c r="F224" s="5"/>
      <c r="G224" s="5"/>
      <c r="H224" s="5"/>
      <c r="I224" s="5"/>
      <c r="J224" s="5"/>
      <c r="K224" s="5"/>
      <c r="L224" s="5"/>
      <c r="M224" s="5"/>
      <c r="N224" s="5"/>
      <c r="O224" s="5"/>
      <c r="P224" s="5"/>
      <c r="Q224" s="5"/>
      <c r="R224" s="5"/>
      <c r="S224" s="5"/>
      <c r="T224" s="5"/>
      <c r="U224" s="5"/>
      <c r="V224" s="5"/>
      <c r="W224" s="5"/>
      <c r="X224" s="5"/>
      <c r="Y224" s="5"/>
    </row>
    <row r="225" spans="1:25">
      <c r="A225" s="5"/>
      <c r="B225" s="5"/>
      <c r="C225" s="12"/>
      <c r="D225" s="12"/>
      <c r="E225" s="12"/>
      <c r="F225" s="5"/>
      <c r="G225" s="5"/>
      <c r="H225" s="5"/>
      <c r="I225" s="5"/>
      <c r="J225" s="5"/>
      <c r="K225" s="5"/>
      <c r="L225" s="5"/>
      <c r="M225" s="5"/>
      <c r="N225" s="5"/>
      <c r="O225" s="5"/>
      <c r="P225" s="5"/>
      <c r="Q225" s="5"/>
      <c r="R225" s="5"/>
      <c r="S225" s="5"/>
      <c r="T225" s="5"/>
      <c r="U225" s="5"/>
      <c r="V225" s="5"/>
      <c r="W225" s="5"/>
      <c r="X225" s="5"/>
      <c r="Y225" s="5"/>
    </row>
    <row r="226" spans="1:25">
      <c r="A226" s="5"/>
      <c r="B226" s="5"/>
      <c r="C226" s="12"/>
      <c r="D226" s="12"/>
      <c r="E226" s="12"/>
      <c r="F226" s="5"/>
      <c r="G226" s="5"/>
      <c r="H226" s="5"/>
      <c r="I226" s="5"/>
      <c r="J226" s="5"/>
      <c r="K226" s="5"/>
      <c r="L226" s="5"/>
      <c r="M226" s="5"/>
      <c r="N226" s="5"/>
      <c r="O226" s="5"/>
      <c r="P226" s="5"/>
      <c r="Q226" s="5"/>
      <c r="R226" s="5"/>
      <c r="S226" s="5"/>
      <c r="T226" s="5"/>
      <c r="U226" s="5"/>
      <c r="V226" s="5"/>
      <c r="W226" s="5"/>
      <c r="X226" s="5"/>
      <c r="Y226" s="5"/>
    </row>
    <row r="227" spans="1:25">
      <c r="A227" s="5"/>
      <c r="B227" s="5"/>
      <c r="C227" s="12"/>
      <c r="D227" s="12"/>
      <c r="E227" s="12"/>
      <c r="F227" s="5"/>
      <c r="G227" s="5"/>
      <c r="H227" s="5"/>
      <c r="I227" s="5"/>
      <c r="J227" s="5"/>
      <c r="K227" s="5"/>
      <c r="L227" s="5"/>
      <c r="M227" s="5"/>
      <c r="N227" s="5"/>
      <c r="O227" s="5"/>
      <c r="P227" s="5"/>
      <c r="Q227" s="5"/>
      <c r="R227" s="5"/>
      <c r="S227" s="5"/>
      <c r="T227" s="5"/>
      <c r="U227" s="5"/>
      <c r="V227" s="5"/>
      <c r="W227" s="5"/>
      <c r="X227" s="5"/>
      <c r="Y227" s="5"/>
    </row>
    <row r="228" spans="1:25">
      <c r="A228" s="5"/>
      <c r="B228" s="5"/>
      <c r="C228" s="12"/>
      <c r="D228" s="12"/>
      <c r="E228" s="12"/>
      <c r="F228" s="5"/>
      <c r="G228" s="5"/>
      <c r="H228" s="5"/>
      <c r="I228" s="5"/>
      <c r="J228" s="5"/>
      <c r="K228" s="5"/>
      <c r="L228" s="5"/>
      <c r="M228" s="5"/>
      <c r="N228" s="5"/>
      <c r="O228" s="5"/>
      <c r="P228" s="5"/>
      <c r="Q228" s="5"/>
      <c r="R228" s="5"/>
      <c r="S228" s="5"/>
      <c r="T228" s="5"/>
      <c r="U228" s="5"/>
      <c r="V228" s="5"/>
      <c r="W228" s="5"/>
      <c r="X228" s="5"/>
      <c r="Y228" s="5"/>
    </row>
    <row r="229" spans="1:25">
      <c r="A229" s="5"/>
      <c r="B229" s="5"/>
      <c r="C229" s="12"/>
      <c r="D229" s="12"/>
      <c r="E229" s="12"/>
      <c r="F229" s="5"/>
      <c r="G229" s="5"/>
      <c r="H229" s="5"/>
      <c r="I229" s="5"/>
      <c r="J229" s="5"/>
      <c r="K229" s="5"/>
      <c r="L229" s="5"/>
      <c r="M229" s="5"/>
      <c r="N229" s="5"/>
      <c r="O229" s="5"/>
      <c r="P229" s="5"/>
      <c r="Q229" s="5"/>
      <c r="R229" s="5"/>
      <c r="S229" s="5"/>
      <c r="T229" s="5"/>
      <c r="U229" s="5"/>
      <c r="V229" s="5"/>
      <c r="W229" s="5"/>
      <c r="X229" s="5"/>
      <c r="Y229" s="5"/>
    </row>
    <row r="230" spans="1:25">
      <c r="A230" s="5"/>
      <c r="B230" s="5"/>
      <c r="C230" s="12"/>
      <c r="D230" s="12"/>
      <c r="E230" s="12"/>
      <c r="F230" s="5"/>
      <c r="G230" s="5"/>
      <c r="H230" s="5"/>
      <c r="I230" s="5"/>
      <c r="J230" s="5"/>
      <c r="K230" s="5"/>
      <c r="L230" s="5"/>
      <c r="M230" s="5"/>
      <c r="N230" s="5"/>
      <c r="O230" s="5"/>
      <c r="P230" s="5"/>
      <c r="Q230" s="5"/>
      <c r="R230" s="5"/>
      <c r="S230" s="5"/>
      <c r="T230" s="5"/>
      <c r="U230" s="5"/>
      <c r="V230" s="5"/>
      <c r="W230" s="5"/>
      <c r="X230" s="5"/>
      <c r="Y230" s="5"/>
    </row>
    <row r="231" spans="1:25">
      <c r="A231" s="5"/>
      <c r="B231" s="5"/>
      <c r="C231" s="12"/>
      <c r="D231" s="12"/>
      <c r="E231" s="12"/>
      <c r="F231" s="5"/>
      <c r="G231" s="5"/>
      <c r="H231" s="5"/>
      <c r="I231" s="5"/>
      <c r="J231" s="5"/>
      <c r="K231" s="5"/>
      <c r="L231" s="5"/>
      <c r="M231" s="5"/>
      <c r="N231" s="5"/>
      <c r="O231" s="5"/>
      <c r="P231" s="5"/>
      <c r="Q231" s="5"/>
      <c r="R231" s="5"/>
      <c r="S231" s="5"/>
      <c r="T231" s="5"/>
      <c r="U231" s="5"/>
      <c r="V231" s="5"/>
      <c r="W231" s="5"/>
      <c r="X231" s="5"/>
      <c r="Y231" s="5"/>
    </row>
    <row r="232" spans="1:25">
      <c r="A232" s="5"/>
      <c r="B232" s="5"/>
      <c r="C232" s="12"/>
      <c r="D232" s="12"/>
      <c r="E232" s="12"/>
      <c r="F232" s="5"/>
      <c r="G232" s="5"/>
      <c r="H232" s="5"/>
      <c r="I232" s="5"/>
      <c r="J232" s="5"/>
      <c r="K232" s="5"/>
      <c r="L232" s="5"/>
      <c r="M232" s="5"/>
      <c r="N232" s="5"/>
      <c r="O232" s="5"/>
      <c r="P232" s="5"/>
      <c r="Q232" s="5"/>
      <c r="R232" s="5"/>
      <c r="S232" s="5"/>
      <c r="T232" s="5"/>
      <c r="U232" s="5"/>
      <c r="V232" s="5"/>
      <c r="W232" s="5"/>
      <c r="X232" s="5"/>
      <c r="Y232" s="5"/>
    </row>
    <row r="233" spans="1:25">
      <c r="A233" s="5"/>
      <c r="B233" s="5"/>
      <c r="C233" s="12"/>
      <c r="D233" s="12"/>
      <c r="E233" s="12"/>
      <c r="F233" s="5"/>
      <c r="G233" s="5"/>
      <c r="H233" s="5"/>
      <c r="I233" s="5"/>
      <c r="J233" s="5"/>
      <c r="K233" s="5"/>
      <c r="L233" s="5"/>
      <c r="M233" s="5"/>
      <c r="N233" s="5"/>
      <c r="O233" s="5"/>
      <c r="P233" s="5"/>
      <c r="Q233" s="5"/>
      <c r="R233" s="5"/>
      <c r="S233" s="5"/>
      <c r="T233" s="5"/>
      <c r="U233" s="5"/>
      <c r="V233" s="5"/>
      <c r="W233" s="5"/>
      <c r="X233" s="5"/>
      <c r="Y233" s="5"/>
    </row>
    <row r="234" spans="1:25">
      <c r="A234" s="5"/>
      <c r="B234" s="5"/>
      <c r="C234" s="12"/>
      <c r="D234" s="12"/>
      <c r="E234" s="12"/>
      <c r="F234" s="5"/>
      <c r="G234" s="5"/>
      <c r="H234" s="5"/>
      <c r="I234" s="5"/>
      <c r="J234" s="5"/>
      <c r="K234" s="5"/>
      <c r="L234" s="5"/>
      <c r="M234" s="5"/>
      <c r="N234" s="5"/>
      <c r="O234" s="5"/>
      <c r="P234" s="5"/>
      <c r="Q234" s="5"/>
      <c r="R234" s="5"/>
      <c r="S234" s="5"/>
      <c r="T234" s="5"/>
      <c r="U234" s="5"/>
      <c r="V234" s="5"/>
      <c r="W234" s="5"/>
      <c r="X234" s="5"/>
      <c r="Y234" s="5"/>
    </row>
    <row r="235" spans="1:25">
      <c r="A235" s="5"/>
      <c r="B235" s="5"/>
      <c r="C235" s="12"/>
      <c r="D235" s="12"/>
      <c r="E235" s="12"/>
      <c r="F235" s="5"/>
      <c r="G235" s="5"/>
      <c r="H235" s="5"/>
      <c r="I235" s="5"/>
      <c r="J235" s="5"/>
      <c r="K235" s="5"/>
      <c r="L235" s="5"/>
      <c r="M235" s="5"/>
      <c r="N235" s="5"/>
      <c r="O235" s="5"/>
      <c r="P235" s="5"/>
      <c r="Q235" s="5"/>
      <c r="R235" s="5"/>
      <c r="S235" s="5"/>
      <c r="T235" s="5"/>
      <c r="U235" s="5"/>
      <c r="V235" s="5"/>
      <c r="W235" s="5"/>
      <c r="X235" s="5"/>
      <c r="Y235" s="5"/>
    </row>
    <row r="236" spans="1:25">
      <c r="A236" s="5"/>
      <c r="B236" s="5"/>
      <c r="C236" s="12"/>
      <c r="D236" s="12"/>
      <c r="E236" s="12"/>
      <c r="F236" s="5"/>
      <c r="G236" s="5"/>
      <c r="H236" s="5"/>
      <c r="I236" s="5"/>
      <c r="J236" s="5"/>
      <c r="K236" s="5"/>
      <c r="L236" s="5"/>
      <c r="M236" s="5"/>
      <c r="N236" s="5"/>
      <c r="O236" s="5"/>
      <c r="P236" s="5"/>
      <c r="Q236" s="5"/>
      <c r="R236" s="5"/>
      <c r="S236" s="5"/>
      <c r="T236" s="5"/>
      <c r="U236" s="5"/>
      <c r="V236" s="5"/>
      <c r="W236" s="5"/>
      <c r="X236" s="5"/>
      <c r="Y236" s="5"/>
    </row>
    <row r="237" spans="1:25">
      <c r="A237" s="5"/>
      <c r="B237" s="5"/>
      <c r="C237" s="12"/>
      <c r="D237" s="12"/>
      <c r="E237" s="12"/>
      <c r="F237" s="5"/>
      <c r="G237" s="5"/>
      <c r="H237" s="5"/>
      <c r="I237" s="5"/>
      <c r="J237" s="5"/>
      <c r="K237" s="5"/>
      <c r="L237" s="5"/>
      <c r="M237" s="5"/>
      <c r="N237" s="5"/>
      <c r="O237" s="5"/>
      <c r="P237" s="5"/>
      <c r="Q237" s="5"/>
      <c r="R237" s="5"/>
      <c r="S237" s="5"/>
      <c r="T237" s="5"/>
      <c r="U237" s="5"/>
      <c r="V237" s="5"/>
      <c r="W237" s="5"/>
      <c r="X237" s="5"/>
      <c r="Y237" s="5"/>
    </row>
    <row r="238" spans="1:25">
      <c r="A238" s="5"/>
      <c r="B238" s="5"/>
      <c r="C238" s="12"/>
      <c r="D238" s="12"/>
      <c r="E238" s="12"/>
      <c r="F238" s="5"/>
      <c r="G238" s="5"/>
      <c r="H238" s="5"/>
      <c r="I238" s="5"/>
      <c r="J238" s="5"/>
      <c r="K238" s="5"/>
      <c r="L238" s="5"/>
      <c r="M238" s="5"/>
      <c r="N238" s="5"/>
      <c r="O238" s="5"/>
      <c r="P238" s="5"/>
      <c r="Q238" s="5"/>
      <c r="R238" s="5"/>
      <c r="S238" s="5"/>
      <c r="T238" s="5"/>
      <c r="U238" s="5"/>
      <c r="V238" s="5"/>
      <c r="W238" s="5"/>
      <c r="X238" s="5"/>
      <c r="Y238" s="5"/>
    </row>
    <row r="239" spans="1:25">
      <c r="A239" s="5"/>
      <c r="B239" s="5"/>
      <c r="C239" s="12"/>
      <c r="D239" s="12"/>
      <c r="E239" s="12"/>
      <c r="F239" s="5"/>
      <c r="G239" s="5"/>
      <c r="H239" s="5"/>
      <c r="I239" s="5"/>
      <c r="J239" s="5"/>
      <c r="K239" s="5"/>
      <c r="L239" s="5"/>
      <c r="M239" s="5"/>
      <c r="N239" s="5"/>
      <c r="O239" s="5"/>
      <c r="P239" s="5"/>
      <c r="Q239" s="5"/>
      <c r="R239" s="5"/>
      <c r="S239" s="5"/>
      <c r="T239" s="5"/>
      <c r="U239" s="5"/>
      <c r="V239" s="5"/>
      <c r="W239" s="5"/>
      <c r="X239" s="5"/>
      <c r="Y239" s="5"/>
    </row>
    <row r="240" spans="1:25">
      <c r="A240" s="5"/>
      <c r="B240" s="5"/>
      <c r="C240" s="12"/>
      <c r="D240" s="12"/>
      <c r="E240" s="12"/>
      <c r="F240" s="5"/>
      <c r="G240" s="5"/>
      <c r="H240" s="5"/>
      <c r="I240" s="5"/>
      <c r="J240" s="5"/>
      <c r="K240" s="5"/>
      <c r="L240" s="5"/>
      <c r="M240" s="5"/>
      <c r="N240" s="5"/>
      <c r="O240" s="5"/>
      <c r="P240" s="5"/>
      <c r="Q240" s="5"/>
      <c r="R240" s="5"/>
      <c r="S240" s="5"/>
      <c r="T240" s="5"/>
      <c r="U240" s="5"/>
      <c r="V240" s="5"/>
      <c r="W240" s="5"/>
      <c r="X240" s="5"/>
      <c r="Y240" s="5"/>
    </row>
    <row r="241" spans="1:25">
      <c r="A241" s="5"/>
      <c r="B241" s="5"/>
      <c r="C241" s="12"/>
      <c r="D241" s="12"/>
      <c r="E241" s="12"/>
      <c r="F241" s="5"/>
      <c r="G241" s="5"/>
      <c r="H241" s="5"/>
      <c r="I241" s="5"/>
      <c r="J241" s="5"/>
      <c r="K241" s="5"/>
      <c r="L241" s="5"/>
      <c r="M241" s="5"/>
      <c r="N241" s="5"/>
      <c r="O241" s="5"/>
      <c r="P241" s="5"/>
      <c r="Q241" s="5"/>
      <c r="R241" s="5"/>
      <c r="S241" s="5"/>
      <c r="T241" s="5"/>
      <c r="U241" s="5"/>
      <c r="V241" s="5"/>
      <c r="W241" s="5"/>
      <c r="X241" s="5"/>
      <c r="Y241" s="5"/>
    </row>
    <row r="242" spans="1:25">
      <c r="A242" s="5"/>
      <c r="B242" s="5"/>
      <c r="C242" s="12"/>
      <c r="D242" s="12"/>
      <c r="E242" s="12"/>
      <c r="F242" s="5"/>
      <c r="G242" s="5"/>
      <c r="H242" s="5"/>
      <c r="I242" s="5"/>
      <c r="J242" s="5"/>
      <c r="K242" s="5"/>
      <c r="L242" s="5"/>
      <c r="M242" s="5"/>
      <c r="N242" s="5"/>
      <c r="O242" s="5"/>
      <c r="P242" s="5"/>
      <c r="Q242" s="5"/>
      <c r="R242" s="5"/>
      <c r="S242" s="5"/>
      <c r="T242" s="5"/>
      <c r="U242" s="5"/>
      <c r="V242" s="5"/>
      <c r="W242" s="5"/>
      <c r="X242" s="5"/>
      <c r="Y242" s="5"/>
    </row>
    <row r="243" spans="1:25">
      <c r="A243" s="5"/>
      <c r="B243" s="5"/>
      <c r="C243" s="12"/>
      <c r="D243" s="12"/>
      <c r="E243" s="12"/>
      <c r="F243" s="5"/>
      <c r="G243" s="5"/>
      <c r="H243" s="5"/>
      <c r="I243" s="5"/>
      <c r="J243" s="5"/>
      <c r="K243" s="5"/>
      <c r="L243" s="5"/>
      <c r="M243" s="5"/>
      <c r="N243" s="5"/>
      <c r="O243" s="5"/>
      <c r="P243" s="5"/>
      <c r="Q243" s="5"/>
      <c r="R243" s="5"/>
      <c r="S243" s="5"/>
      <c r="T243" s="5"/>
      <c r="U243" s="5"/>
      <c r="V243" s="5"/>
      <c r="W243" s="5"/>
      <c r="X243" s="5"/>
      <c r="Y243" s="5"/>
    </row>
    <row r="244" spans="1:25">
      <c r="A244" s="5"/>
      <c r="B244" s="5"/>
      <c r="C244" s="12"/>
      <c r="D244" s="12"/>
      <c r="E244" s="12"/>
      <c r="F244" s="5"/>
      <c r="G244" s="5"/>
      <c r="H244" s="5"/>
      <c r="I244" s="5"/>
      <c r="J244" s="5"/>
      <c r="K244" s="5"/>
      <c r="L244" s="5"/>
      <c r="M244" s="5"/>
      <c r="N244" s="5"/>
      <c r="O244" s="5"/>
      <c r="P244" s="5"/>
      <c r="Q244" s="5"/>
      <c r="R244" s="5"/>
      <c r="S244" s="5"/>
      <c r="T244" s="5"/>
      <c r="U244" s="5"/>
      <c r="V244" s="5"/>
      <c r="W244" s="5"/>
      <c r="X244" s="5"/>
      <c r="Y244" s="5"/>
    </row>
    <row r="245" spans="1:25">
      <c r="A245" s="5"/>
      <c r="B245" s="5"/>
      <c r="C245" s="12"/>
      <c r="D245" s="12"/>
      <c r="E245" s="12"/>
      <c r="F245" s="5"/>
      <c r="G245" s="5"/>
      <c r="H245" s="5"/>
      <c r="I245" s="5"/>
      <c r="J245" s="5"/>
      <c r="K245" s="5"/>
      <c r="L245" s="5"/>
      <c r="M245" s="5"/>
      <c r="N245" s="5"/>
      <c r="O245" s="5"/>
      <c r="P245" s="5"/>
      <c r="Q245" s="5"/>
      <c r="R245" s="5"/>
      <c r="S245" s="5"/>
      <c r="T245" s="5"/>
      <c r="U245" s="5"/>
      <c r="V245" s="5"/>
      <c r="W245" s="5"/>
      <c r="X245" s="5"/>
      <c r="Y245" s="5"/>
    </row>
    <row r="246" spans="1:25">
      <c r="A246" s="5"/>
      <c r="B246" s="5"/>
      <c r="C246" s="12"/>
      <c r="D246" s="12"/>
      <c r="E246" s="12"/>
      <c r="F246" s="5"/>
      <c r="G246" s="5"/>
      <c r="H246" s="5"/>
      <c r="I246" s="5"/>
      <c r="J246" s="5"/>
      <c r="K246" s="5"/>
      <c r="L246" s="5"/>
      <c r="M246" s="5"/>
      <c r="N246" s="5"/>
      <c r="O246" s="5"/>
      <c r="P246" s="5"/>
      <c r="Q246" s="5"/>
      <c r="R246" s="5"/>
      <c r="S246" s="5"/>
      <c r="T246" s="5"/>
      <c r="U246" s="5"/>
      <c r="V246" s="5"/>
      <c r="W246" s="5"/>
      <c r="X246" s="5"/>
      <c r="Y246" s="5"/>
    </row>
    <row r="247" spans="1:25">
      <c r="A247" s="5"/>
      <c r="B247" s="5"/>
      <c r="C247" s="12"/>
      <c r="D247" s="12"/>
      <c r="E247" s="12"/>
      <c r="F247" s="5"/>
      <c r="G247" s="5"/>
      <c r="H247" s="5"/>
      <c r="I247" s="5"/>
      <c r="J247" s="5"/>
      <c r="K247" s="5"/>
      <c r="L247" s="5"/>
      <c r="M247" s="5"/>
      <c r="N247" s="5"/>
      <c r="O247" s="5"/>
      <c r="P247" s="5"/>
      <c r="Q247" s="5"/>
      <c r="R247" s="5"/>
      <c r="S247" s="5"/>
      <c r="T247" s="5"/>
      <c r="U247" s="5"/>
      <c r="V247" s="5"/>
      <c r="W247" s="5"/>
      <c r="X247" s="5"/>
      <c r="Y247" s="5"/>
    </row>
    <row r="248" spans="1:25">
      <c r="A248" s="5"/>
      <c r="B248" s="5"/>
      <c r="C248" s="12"/>
      <c r="D248" s="12"/>
      <c r="E248" s="12"/>
      <c r="F248" s="5"/>
      <c r="G248" s="5"/>
      <c r="H248" s="5"/>
      <c r="I248" s="5"/>
      <c r="J248" s="5"/>
      <c r="K248" s="5"/>
      <c r="L248" s="5"/>
      <c r="M248" s="5"/>
      <c r="N248" s="5"/>
      <c r="O248" s="5"/>
      <c r="P248" s="5"/>
      <c r="Q248" s="5"/>
      <c r="R248" s="5"/>
      <c r="S248" s="5"/>
      <c r="T248" s="5"/>
      <c r="U248" s="5"/>
      <c r="V248" s="5"/>
      <c r="W248" s="5"/>
      <c r="X248" s="5"/>
      <c r="Y248" s="5"/>
    </row>
    <row r="249" spans="1:25">
      <c r="A249" s="5"/>
      <c r="B249" s="5"/>
      <c r="C249" s="12"/>
      <c r="D249" s="12"/>
      <c r="E249" s="12"/>
      <c r="F249" s="5"/>
      <c r="G249" s="5"/>
      <c r="H249" s="5"/>
      <c r="I249" s="5"/>
      <c r="J249" s="5"/>
      <c r="K249" s="5"/>
      <c r="L249" s="5"/>
      <c r="M249" s="5"/>
      <c r="N249" s="5"/>
      <c r="O249" s="5"/>
      <c r="P249" s="5"/>
      <c r="Q249" s="5"/>
      <c r="R249" s="5"/>
      <c r="S249" s="5"/>
      <c r="T249" s="5"/>
      <c r="U249" s="5"/>
      <c r="V249" s="5"/>
      <c r="W249" s="5"/>
      <c r="X249" s="5"/>
      <c r="Y249" s="5"/>
    </row>
    <row r="250" spans="1:25">
      <c r="A250" s="5"/>
      <c r="B250" s="5"/>
      <c r="C250" s="12"/>
      <c r="D250" s="12"/>
      <c r="E250" s="12"/>
      <c r="F250" s="5"/>
      <c r="G250" s="5"/>
      <c r="H250" s="5"/>
      <c r="I250" s="5"/>
      <c r="J250" s="5"/>
      <c r="K250" s="5"/>
      <c r="L250" s="5"/>
      <c r="M250" s="5"/>
      <c r="N250" s="5"/>
      <c r="O250" s="5"/>
      <c r="P250" s="5"/>
      <c r="Q250" s="5"/>
      <c r="R250" s="5"/>
      <c r="S250" s="5"/>
      <c r="T250" s="5"/>
      <c r="U250" s="5"/>
      <c r="V250" s="5"/>
      <c r="W250" s="5"/>
      <c r="X250" s="5"/>
      <c r="Y250" s="5"/>
    </row>
    <row r="251" spans="1:25">
      <c r="A251" s="5"/>
      <c r="B251" s="5"/>
      <c r="C251" s="12"/>
      <c r="D251" s="12"/>
      <c r="E251" s="12"/>
      <c r="F251" s="5"/>
      <c r="G251" s="5"/>
      <c r="H251" s="5"/>
      <c r="I251" s="5"/>
      <c r="J251" s="5"/>
      <c r="K251" s="5"/>
      <c r="L251" s="5"/>
      <c r="M251" s="5"/>
      <c r="N251" s="5"/>
      <c r="O251" s="5"/>
      <c r="P251" s="5"/>
      <c r="Q251" s="5"/>
      <c r="R251" s="5"/>
      <c r="S251" s="5"/>
      <c r="T251" s="5"/>
      <c r="U251" s="5"/>
      <c r="V251" s="5"/>
      <c r="W251" s="5"/>
      <c r="X251" s="5"/>
      <c r="Y251" s="5"/>
    </row>
    <row r="252" spans="1:25">
      <c r="A252" s="5"/>
      <c r="B252" s="5"/>
      <c r="C252" s="12"/>
      <c r="D252" s="12"/>
      <c r="E252" s="12"/>
      <c r="F252" s="5"/>
      <c r="G252" s="5"/>
      <c r="H252" s="5"/>
      <c r="I252" s="5"/>
      <c r="J252" s="5"/>
      <c r="K252" s="5"/>
      <c r="L252" s="5"/>
      <c r="M252" s="5"/>
      <c r="N252" s="5"/>
      <c r="O252" s="5"/>
      <c r="P252" s="5"/>
      <c r="Q252" s="5"/>
      <c r="R252" s="5"/>
      <c r="S252" s="5"/>
      <c r="T252" s="5"/>
      <c r="U252" s="5"/>
      <c r="V252" s="5"/>
      <c r="W252" s="5"/>
      <c r="X252" s="5"/>
      <c r="Y252" s="5"/>
    </row>
    <row r="253" spans="1:25">
      <c r="A253" s="5"/>
      <c r="B253" s="5"/>
      <c r="C253" s="12"/>
      <c r="D253" s="12"/>
      <c r="E253" s="12"/>
      <c r="F253" s="5"/>
      <c r="G253" s="5"/>
      <c r="H253" s="5"/>
      <c r="I253" s="5"/>
      <c r="J253" s="5"/>
      <c r="K253" s="5"/>
      <c r="L253" s="5"/>
      <c r="M253" s="5"/>
      <c r="N253" s="5"/>
      <c r="O253" s="5"/>
      <c r="P253" s="5"/>
      <c r="Q253" s="5"/>
      <c r="R253" s="5"/>
      <c r="S253" s="5"/>
      <c r="T253" s="5"/>
      <c r="U253" s="5"/>
      <c r="V253" s="5"/>
      <c r="W253" s="5"/>
      <c r="X253" s="5"/>
      <c r="Y253" s="5"/>
    </row>
    <row r="254" spans="1:25">
      <c r="A254" s="5"/>
      <c r="B254" s="5"/>
      <c r="C254" s="12"/>
      <c r="D254" s="12"/>
      <c r="E254" s="12"/>
      <c r="F254" s="5"/>
      <c r="G254" s="5"/>
      <c r="H254" s="5"/>
      <c r="I254" s="5"/>
      <c r="J254" s="5"/>
      <c r="K254" s="5"/>
      <c r="L254" s="5"/>
      <c r="M254" s="5"/>
      <c r="N254" s="5"/>
      <c r="O254" s="5"/>
      <c r="P254" s="5"/>
      <c r="Q254" s="5"/>
      <c r="R254" s="5"/>
      <c r="S254" s="5"/>
      <c r="T254" s="5"/>
      <c r="U254" s="5"/>
      <c r="V254" s="5"/>
      <c r="W254" s="5"/>
      <c r="X254" s="5"/>
      <c r="Y254" s="5"/>
    </row>
    <row r="255" spans="1:25">
      <c r="A255" s="5"/>
      <c r="B255" s="5"/>
      <c r="C255" s="12"/>
      <c r="D255" s="12"/>
      <c r="E255" s="12"/>
      <c r="F255" s="5"/>
      <c r="G255" s="5"/>
      <c r="H255" s="5"/>
      <c r="I255" s="5"/>
      <c r="J255" s="5"/>
      <c r="K255" s="5"/>
      <c r="L255" s="5"/>
      <c r="M255" s="5"/>
      <c r="N255" s="5"/>
      <c r="O255" s="5"/>
      <c r="P255" s="5"/>
      <c r="Q255" s="5"/>
      <c r="R255" s="5"/>
      <c r="S255" s="5"/>
      <c r="T255" s="5"/>
      <c r="U255" s="5"/>
      <c r="V255" s="5"/>
      <c r="W255" s="5"/>
      <c r="X255" s="5"/>
      <c r="Y255" s="5"/>
    </row>
    <row r="256" spans="1:25">
      <c r="A256" s="5"/>
      <c r="B256" s="5"/>
      <c r="C256" s="12"/>
      <c r="D256" s="12"/>
      <c r="E256" s="12"/>
      <c r="F256" s="5"/>
      <c r="G256" s="5"/>
      <c r="H256" s="5"/>
      <c r="I256" s="5"/>
      <c r="J256" s="5"/>
      <c r="K256" s="5"/>
      <c r="L256" s="5"/>
      <c r="M256" s="5"/>
      <c r="N256" s="5"/>
      <c r="O256" s="5"/>
      <c r="P256" s="5"/>
      <c r="Q256" s="5"/>
      <c r="R256" s="5"/>
      <c r="S256" s="5"/>
      <c r="T256" s="5"/>
      <c r="U256" s="5"/>
      <c r="V256" s="5"/>
      <c r="W256" s="5"/>
      <c r="X256" s="5"/>
      <c r="Y256" s="5"/>
    </row>
    <row r="257" spans="1:25">
      <c r="A257" s="5"/>
      <c r="B257" s="5"/>
      <c r="C257" s="12"/>
      <c r="D257" s="12"/>
      <c r="E257" s="12"/>
      <c r="F257" s="5"/>
      <c r="G257" s="5"/>
      <c r="H257" s="5"/>
      <c r="I257" s="5"/>
      <c r="J257" s="5"/>
      <c r="K257" s="5"/>
      <c r="L257" s="5"/>
      <c r="M257" s="5"/>
      <c r="N257" s="5"/>
      <c r="O257" s="5"/>
      <c r="P257" s="5"/>
      <c r="Q257" s="5"/>
      <c r="R257" s="5"/>
      <c r="S257" s="5"/>
      <c r="T257" s="5"/>
      <c r="U257" s="5"/>
      <c r="V257" s="5"/>
      <c r="W257" s="5"/>
      <c r="X257" s="5"/>
      <c r="Y257" s="5"/>
    </row>
    <row r="258" spans="1:25">
      <c r="A258" s="5"/>
      <c r="B258" s="5"/>
      <c r="C258" s="12"/>
      <c r="D258" s="12"/>
      <c r="E258" s="12"/>
      <c r="F258" s="5"/>
      <c r="G258" s="5"/>
      <c r="H258" s="5"/>
      <c r="I258" s="5"/>
      <c r="J258" s="5"/>
      <c r="K258" s="5"/>
      <c r="L258" s="5"/>
      <c r="M258" s="5"/>
      <c r="N258" s="5"/>
      <c r="O258" s="5"/>
      <c r="P258" s="5"/>
      <c r="Q258" s="5"/>
      <c r="R258" s="5"/>
      <c r="S258" s="5"/>
      <c r="T258" s="5"/>
      <c r="U258" s="5"/>
      <c r="V258" s="5"/>
      <c r="W258" s="5"/>
      <c r="X258" s="5"/>
      <c r="Y258" s="5"/>
    </row>
    <row r="259" spans="1:25">
      <c r="A259" s="5"/>
      <c r="B259" s="5"/>
      <c r="C259" s="12"/>
      <c r="D259" s="12"/>
      <c r="E259" s="12"/>
      <c r="F259" s="5"/>
      <c r="G259" s="5"/>
      <c r="H259" s="5"/>
      <c r="I259" s="5"/>
      <c r="J259" s="5"/>
      <c r="K259" s="5"/>
      <c r="L259" s="5"/>
      <c r="M259" s="5"/>
      <c r="N259" s="5"/>
      <c r="O259" s="5"/>
      <c r="P259" s="5"/>
      <c r="Q259" s="5"/>
      <c r="R259" s="5"/>
      <c r="S259" s="5"/>
      <c r="T259" s="5"/>
      <c r="U259" s="5"/>
      <c r="V259" s="5"/>
      <c r="W259" s="5"/>
      <c r="X259" s="5"/>
      <c r="Y259" s="5"/>
    </row>
    <row r="260" spans="1:25">
      <c r="A260" s="5"/>
      <c r="B260" s="5"/>
      <c r="C260" s="12"/>
      <c r="D260" s="12"/>
      <c r="E260" s="12"/>
      <c r="F260" s="5"/>
      <c r="G260" s="5"/>
      <c r="H260" s="5"/>
      <c r="I260" s="5"/>
      <c r="J260" s="5"/>
      <c r="K260" s="5"/>
      <c r="L260" s="5"/>
      <c r="M260" s="5"/>
      <c r="N260" s="5"/>
      <c r="O260" s="5"/>
      <c r="P260" s="5"/>
      <c r="Q260" s="5"/>
      <c r="R260" s="5"/>
      <c r="S260" s="5"/>
      <c r="T260" s="5"/>
      <c r="U260" s="5"/>
      <c r="V260" s="5"/>
      <c r="W260" s="5"/>
      <c r="X260" s="5"/>
      <c r="Y260" s="5"/>
    </row>
    <row r="261" spans="1:25">
      <c r="A261" s="5"/>
      <c r="B261" s="5"/>
      <c r="C261" s="12"/>
      <c r="D261" s="12"/>
      <c r="E261" s="12"/>
      <c r="F261" s="5"/>
      <c r="G261" s="5"/>
      <c r="H261" s="5"/>
      <c r="I261" s="5"/>
      <c r="J261" s="5"/>
      <c r="K261" s="5"/>
      <c r="L261" s="5"/>
      <c r="M261" s="5"/>
      <c r="N261" s="5"/>
      <c r="O261" s="5"/>
      <c r="P261" s="5"/>
      <c r="Q261" s="5"/>
      <c r="R261" s="5"/>
      <c r="S261" s="5"/>
      <c r="T261" s="5"/>
      <c r="U261" s="5"/>
      <c r="V261" s="5"/>
      <c r="W261" s="5"/>
      <c r="X261" s="5"/>
      <c r="Y261" s="5"/>
    </row>
    <row r="262" spans="1:25">
      <c r="A262" s="5"/>
      <c r="B262" s="5"/>
      <c r="C262" s="12"/>
      <c r="D262" s="12"/>
      <c r="E262" s="12"/>
      <c r="F262" s="5"/>
      <c r="G262" s="5"/>
      <c r="H262" s="5"/>
      <c r="I262" s="5"/>
      <c r="J262" s="5"/>
      <c r="K262" s="5"/>
      <c r="L262" s="5"/>
      <c r="M262" s="5"/>
      <c r="N262" s="5"/>
      <c r="O262" s="5"/>
      <c r="P262" s="5"/>
      <c r="Q262" s="5"/>
      <c r="R262" s="5"/>
      <c r="S262" s="5"/>
      <c r="T262" s="5"/>
      <c r="U262" s="5"/>
      <c r="V262" s="5"/>
      <c r="W262" s="5"/>
      <c r="X262" s="5"/>
      <c r="Y262" s="5"/>
    </row>
    <row r="263" spans="1:25">
      <c r="A263" s="5"/>
      <c r="B263" s="5"/>
      <c r="C263" s="12"/>
      <c r="D263" s="12"/>
      <c r="E263" s="12"/>
      <c r="F263" s="5"/>
      <c r="G263" s="5"/>
      <c r="H263" s="5"/>
      <c r="I263" s="5"/>
      <c r="J263" s="5"/>
      <c r="K263" s="5"/>
      <c r="L263" s="5"/>
      <c r="M263" s="5"/>
      <c r="N263" s="5"/>
      <c r="O263" s="5"/>
      <c r="P263" s="5"/>
      <c r="Q263" s="5"/>
      <c r="R263" s="5"/>
      <c r="S263" s="5"/>
      <c r="T263" s="5"/>
      <c r="U263" s="5"/>
      <c r="V263" s="5"/>
      <c r="W263" s="5"/>
      <c r="X263" s="5"/>
      <c r="Y263" s="5"/>
    </row>
    <row r="264" spans="1:25">
      <c r="A264" s="5"/>
      <c r="B264" s="5"/>
      <c r="C264" s="12"/>
      <c r="D264" s="12"/>
      <c r="E264" s="12"/>
      <c r="F264" s="5"/>
      <c r="G264" s="5"/>
      <c r="H264" s="5"/>
      <c r="I264" s="5"/>
      <c r="J264" s="5"/>
      <c r="K264" s="5"/>
      <c r="L264" s="5"/>
      <c r="M264" s="5"/>
      <c r="N264" s="5"/>
      <c r="O264" s="5"/>
      <c r="P264" s="5"/>
      <c r="Q264" s="5"/>
      <c r="R264" s="5"/>
      <c r="S264" s="5"/>
      <c r="T264" s="5"/>
      <c r="U264" s="5"/>
      <c r="V264" s="5"/>
      <c r="W264" s="5"/>
      <c r="X264" s="5"/>
      <c r="Y264" s="5"/>
    </row>
    <row r="265" spans="1:25">
      <c r="A265" s="5"/>
      <c r="B265" s="5"/>
      <c r="C265" s="12"/>
      <c r="D265" s="12"/>
      <c r="E265" s="12"/>
      <c r="F265" s="5"/>
      <c r="G265" s="5"/>
      <c r="H265" s="5"/>
      <c r="I265" s="5"/>
      <c r="J265" s="5"/>
      <c r="K265" s="5"/>
      <c r="L265" s="5"/>
      <c r="M265" s="5"/>
      <c r="N265" s="5"/>
      <c r="O265" s="5"/>
      <c r="P265" s="5"/>
      <c r="Q265" s="5"/>
      <c r="R265" s="5"/>
      <c r="S265" s="5"/>
      <c r="T265" s="5"/>
      <c r="U265" s="5"/>
      <c r="V265" s="5"/>
      <c r="W265" s="5"/>
      <c r="X265" s="5"/>
      <c r="Y265" s="5"/>
    </row>
    <row r="266" spans="1:25">
      <c r="A266" s="5"/>
      <c r="B266" s="5"/>
      <c r="C266" s="12"/>
      <c r="D266" s="12"/>
      <c r="E266" s="12"/>
      <c r="F266" s="5"/>
      <c r="G266" s="5"/>
      <c r="H266" s="5"/>
      <c r="I266" s="5"/>
      <c r="J266" s="5"/>
      <c r="K266" s="5"/>
      <c r="L266" s="5"/>
      <c r="M266" s="5"/>
      <c r="N266" s="5"/>
      <c r="O266" s="5"/>
      <c r="P266" s="5"/>
      <c r="Q266" s="5"/>
      <c r="R266" s="5"/>
      <c r="S266" s="5"/>
      <c r="T266" s="5"/>
      <c r="U266" s="5"/>
      <c r="V266" s="5"/>
      <c r="W266" s="5"/>
      <c r="X266" s="5"/>
      <c r="Y266" s="5"/>
    </row>
    <row r="267" spans="1:25">
      <c r="A267" s="5"/>
      <c r="B267" s="5"/>
      <c r="C267" s="12"/>
      <c r="D267" s="12"/>
      <c r="E267" s="12"/>
      <c r="F267" s="5"/>
      <c r="G267" s="5"/>
      <c r="H267" s="5"/>
      <c r="I267" s="5"/>
      <c r="J267" s="5"/>
      <c r="K267" s="5"/>
      <c r="L267" s="5"/>
      <c r="M267" s="5"/>
      <c r="N267" s="5"/>
      <c r="O267" s="5"/>
      <c r="P267" s="5"/>
      <c r="Q267" s="5"/>
      <c r="R267" s="5"/>
      <c r="S267" s="5"/>
      <c r="T267" s="5"/>
      <c r="U267" s="5"/>
      <c r="V267" s="5"/>
      <c r="W267" s="5"/>
      <c r="X267" s="5"/>
      <c r="Y267" s="5"/>
    </row>
    <row r="268" spans="1:25">
      <c r="A268" s="5"/>
      <c r="B268" s="5"/>
      <c r="C268" s="12"/>
      <c r="D268" s="12"/>
      <c r="E268" s="12"/>
      <c r="F268" s="5"/>
      <c r="G268" s="5"/>
      <c r="H268" s="5"/>
      <c r="I268" s="5"/>
      <c r="J268" s="5"/>
      <c r="K268" s="5"/>
      <c r="L268" s="5"/>
      <c r="M268" s="5"/>
      <c r="N268" s="5"/>
      <c r="O268" s="5"/>
      <c r="P268" s="5"/>
      <c r="Q268" s="5"/>
      <c r="R268" s="5"/>
      <c r="S268" s="5"/>
      <c r="T268" s="5"/>
      <c r="U268" s="5"/>
      <c r="V268" s="5"/>
      <c r="W268" s="5"/>
      <c r="X268" s="5"/>
      <c r="Y268" s="5"/>
    </row>
    <row r="269" spans="1:25">
      <c r="A269" s="5"/>
      <c r="B269" s="5"/>
      <c r="C269" s="12"/>
      <c r="D269" s="12"/>
      <c r="E269" s="12"/>
      <c r="F269" s="5"/>
      <c r="G269" s="5"/>
      <c r="H269" s="5"/>
      <c r="I269" s="5"/>
      <c r="J269" s="5"/>
      <c r="K269" s="5"/>
      <c r="L269" s="5"/>
      <c r="M269" s="5"/>
      <c r="N269" s="5"/>
      <c r="O269" s="5"/>
      <c r="P269" s="5"/>
      <c r="Q269" s="5"/>
      <c r="R269" s="5"/>
      <c r="S269" s="5"/>
      <c r="T269" s="5"/>
      <c r="U269" s="5"/>
      <c r="V269" s="5"/>
      <c r="W269" s="5"/>
      <c r="X269" s="5"/>
      <c r="Y269" s="5"/>
    </row>
    <row r="270" spans="1:25">
      <c r="A270" s="5"/>
      <c r="B270" s="5"/>
      <c r="C270" s="12"/>
      <c r="D270" s="12"/>
      <c r="E270" s="12"/>
      <c r="F270" s="5"/>
      <c r="G270" s="5"/>
      <c r="H270" s="5"/>
      <c r="I270" s="5"/>
      <c r="J270" s="5"/>
      <c r="K270" s="5"/>
      <c r="L270" s="5"/>
      <c r="M270" s="5"/>
      <c r="N270" s="5"/>
      <c r="O270" s="5"/>
      <c r="P270" s="5"/>
      <c r="Q270" s="5"/>
      <c r="R270" s="5"/>
      <c r="S270" s="5"/>
      <c r="T270" s="5"/>
      <c r="U270" s="5"/>
      <c r="V270" s="5"/>
      <c r="W270" s="5"/>
      <c r="X270" s="5"/>
      <c r="Y270" s="5"/>
    </row>
    <row r="271" spans="1:25">
      <c r="A271" s="5"/>
      <c r="B271" s="5"/>
      <c r="C271" s="12"/>
      <c r="D271" s="12"/>
      <c r="E271" s="12"/>
      <c r="F271" s="5"/>
      <c r="G271" s="5"/>
      <c r="H271" s="5"/>
      <c r="I271" s="5"/>
      <c r="J271" s="5"/>
      <c r="K271" s="5"/>
      <c r="L271" s="5"/>
      <c r="M271" s="5"/>
      <c r="N271" s="5"/>
      <c r="O271" s="5"/>
      <c r="P271" s="5"/>
      <c r="Q271" s="5"/>
      <c r="R271" s="5"/>
      <c r="S271" s="5"/>
      <c r="T271" s="5"/>
      <c r="U271" s="5"/>
      <c r="V271" s="5"/>
      <c r="W271" s="5"/>
      <c r="X271" s="5"/>
      <c r="Y271" s="5"/>
    </row>
    <row r="272" spans="1:25">
      <c r="A272" s="5"/>
      <c r="B272" s="5"/>
      <c r="C272" s="12"/>
      <c r="D272" s="12"/>
      <c r="E272" s="12"/>
      <c r="F272" s="5"/>
      <c r="G272" s="5"/>
      <c r="H272" s="5"/>
      <c r="I272" s="5"/>
      <c r="J272" s="5"/>
      <c r="K272" s="5"/>
      <c r="L272" s="5"/>
      <c r="M272" s="5"/>
      <c r="N272" s="5"/>
      <c r="O272" s="5"/>
      <c r="P272" s="5"/>
      <c r="Q272" s="5"/>
      <c r="R272" s="5"/>
      <c r="S272" s="5"/>
      <c r="T272" s="5"/>
      <c r="U272" s="5"/>
      <c r="V272" s="5"/>
      <c r="W272" s="5"/>
      <c r="X272" s="5"/>
      <c r="Y272" s="5"/>
    </row>
    <row r="273" spans="1:25">
      <c r="A273" s="5"/>
      <c r="B273" s="5"/>
      <c r="C273" s="12"/>
      <c r="D273" s="12"/>
      <c r="E273" s="12"/>
      <c r="F273" s="5"/>
      <c r="G273" s="5"/>
      <c r="H273" s="5"/>
      <c r="I273" s="5"/>
      <c r="J273" s="5"/>
      <c r="K273" s="5"/>
      <c r="L273" s="5"/>
      <c r="M273" s="5"/>
      <c r="N273" s="5"/>
      <c r="O273" s="5"/>
      <c r="P273" s="5"/>
      <c r="Q273" s="5"/>
      <c r="R273" s="5"/>
      <c r="S273" s="5"/>
      <c r="T273" s="5"/>
      <c r="U273" s="5"/>
      <c r="V273" s="5"/>
      <c r="W273" s="5"/>
      <c r="X273" s="5"/>
      <c r="Y273" s="5"/>
    </row>
    <row r="274" spans="1:25">
      <c r="A274" s="5"/>
      <c r="B274" s="5"/>
      <c r="C274" s="12"/>
      <c r="D274" s="12"/>
      <c r="E274" s="12"/>
      <c r="F274" s="5"/>
      <c r="G274" s="5"/>
      <c r="H274" s="5"/>
      <c r="I274" s="5"/>
      <c r="J274" s="5"/>
      <c r="K274" s="5"/>
      <c r="L274" s="5"/>
      <c r="M274" s="5"/>
      <c r="N274" s="5"/>
      <c r="O274" s="5"/>
      <c r="P274" s="5"/>
      <c r="Q274" s="5"/>
      <c r="R274" s="5"/>
      <c r="S274" s="5"/>
      <c r="T274" s="5"/>
      <c r="U274" s="5"/>
      <c r="V274" s="5"/>
      <c r="W274" s="5"/>
      <c r="X274" s="5"/>
      <c r="Y274" s="5"/>
    </row>
    <row r="275" spans="1:25">
      <c r="A275" s="5"/>
      <c r="B275" s="5"/>
      <c r="C275" s="12"/>
      <c r="D275" s="12"/>
      <c r="E275" s="12"/>
      <c r="F275" s="5"/>
      <c r="G275" s="5"/>
      <c r="H275" s="5"/>
      <c r="I275" s="5"/>
      <c r="J275" s="5"/>
      <c r="K275" s="5"/>
      <c r="L275" s="5"/>
      <c r="M275" s="5"/>
      <c r="N275" s="5"/>
      <c r="O275" s="5"/>
      <c r="P275" s="5"/>
      <c r="Q275" s="5"/>
      <c r="R275" s="5"/>
      <c r="S275" s="5"/>
      <c r="T275" s="5"/>
      <c r="U275" s="5"/>
      <c r="V275" s="5"/>
      <c r="W275" s="5"/>
      <c r="X275" s="5"/>
      <c r="Y275" s="5"/>
    </row>
    <row r="276" spans="1:25">
      <c r="A276" s="5"/>
      <c r="B276" s="5"/>
      <c r="C276" s="12"/>
      <c r="D276" s="12"/>
      <c r="E276" s="12"/>
      <c r="F276" s="5"/>
      <c r="G276" s="5"/>
      <c r="H276" s="5"/>
      <c r="I276" s="5"/>
      <c r="J276" s="5"/>
      <c r="K276" s="5"/>
      <c r="L276" s="5"/>
      <c r="M276" s="5"/>
      <c r="N276" s="5"/>
      <c r="O276" s="5"/>
      <c r="P276" s="5"/>
      <c r="Q276" s="5"/>
      <c r="R276" s="5"/>
      <c r="S276" s="5"/>
      <c r="T276" s="5"/>
      <c r="U276" s="5"/>
      <c r="V276" s="5"/>
      <c r="W276" s="5"/>
      <c r="X276" s="5"/>
      <c r="Y276" s="5"/>
    </row>
    <row r="277" spans="1:25">
      <c r="A277" s="5"/>
      <c r="B277" s="5"/>
      <c r="C277" s="12"/>
      <c r="D277" s="12"/>
      <c r="E277" s="12"/>
      <c r="F277" s="5"/>
      <c r="G277" s="5"/>
      <c r="H277" s="5"/>
      <c r="I277" s="5"/>
      <c r="J277" s="5"/>
      <c r="K277" s="5"/>
      <c r="L277" s="5"/>
      <c r="M277" s="5"/>
      <c r="N277" s="5"/>
      <c r="O277" s="5"/>
      <c r="P277" s="5"/>
      <c r="Q277" s="5"/>
      <c r="R277" s="5"/>
      <c r="S277" s="5"/>
      <c r="T277" s="5"/>
      <c r="U277" s="5"/>
      <c r="V277" s="5"/>
      <c r="W277" s="5"/>
      <c r="X277" s="5"/>
      <c r="Y277" s="5"/>
    </row>
    <row r="278" spans="1:25">
      <c r="A278" s="5"/>
      <c r="B278" s="5"/>
      <c r="C278" s="12"/>
      <c r="D278" s="12"/>
      <c r="E278" s="12"/>
      <c r="F278" s="5"/>
      <c r="G278" s="5"/>
      <c r="H278" s="5"/>
      <c r="I278" s="5"/>
      <c r="J278" s="5"/>
      <c r="K278" s="5"/>
      <c r="L278" s="5"/>
      <c r="M278" s="5"/>
      <c r="N278" s="5"/>
      <c r="O278" s="5"/>
      <c r="P278" s="5"/>
      <c r="Q278" s="5"/>
      <c r="R278" s="5"/>
      <c r="S278" s="5"/>
      <c r="T278" s="5"/>
      <c r="U278" s="5"/>
      <c r="V278" s="5"/>
      <c r="W278" s="5"/>
      <c r="X278" s="5"/>
      <c r="Y278" s="5"/>
    </row>
    <row r="279" spans="1:25">
      <c r="A279" s="5"/>
      <c r="B279" s="5"/>
      <c r="C279" s="12"/>
      <c r="D279" s="12"/>
      <c r="E279" s="12"/>
      <c r="F279" s="5"/>
      <c r="G279" s="5"/>
      <c r="H279" s="5"/>
      <c r="I279" s="5"/>
      <c r="J279" s="5"/>
      <c r="K279" s="5"/>
      <c r="L279" s="5"/>
      <c r="M279" s="5"/>
      <c r="N279" s="5"/>
      <c r="O279" s="5"/>
      <c r="P279" s="5"/>
      <c r="Q279" s="5"/>
      <c r="R279" s="5"/>
      <c r="S279" s="5"/>
      <c r="T279" s="5"/>
      <c r="U279" s="5"/>
      <c r="V279" s="5"/>
      <c r="W279" s="5"/>
      <c r="X279" s="5"/>
      <c r="Y279" s="5"/>
    </row>
    <row r="280" spans="1:25">
      <c r="A280" s="5"/>
      <c r="B280" s="5"/>
      <c r="C280" s="12"/>
      <c r="D280" s="12"/>
      <c r="E280" s="12"/>
      <c r="F280" s="5"/>
      <c r="G280" s="5"/>
      <c r="H280" s="5"/>
      <c r="I280" s="5"/>
      <c r="J280" s="5"/>
      <c r="K280" s="5"/>
      <c r="L280" s="5"/>
      <c r="M280" s="5"/>
      <c r="N280" s="5"/>
      <c r="O280" s="5"/>
      <c r="P280" s="5"/>
      <c r="Q280" s="5"/>
      <c r="R280" s="5"/>
      <c r="S280" s="5"/>
      <c r="T280" s="5"/>
      <c r="U280" s="5"/>
      <c r="V280" s="5"/>
      <c r="W280" s="5"/>
      <c r="X280" s="5"/>
      <c r="Y280" s="5"/>
    </row>
    <row r="281" spans="1:25">
      <c r="A281" s="5"/>
      <c r="B281" s="5"/>
      <c r="C281" s="12"/>
      <c r="D281" s="12"/>
      <c r="E281" s="12"/>
      <c r="F281" s="5"/>
      <c r="G281" s="5"/>
      <c r="H281" s="5"/>
      <c r="I281" s="5"/>
      <c r="J281" s="5"/>
      <c r="K281" s="5"/>
      <c r="L281" s="5"/>
      <c r="M281" s="5"/>
      <c r="N281" s="5"/>
      <c r="O281" s="5"/>
      <c r="P281" s="5"/>
      <c r="Q281" s="5"/>
      <c r="R281" s="5"/>
      <c r="S281" s="5"/>
      <c r="T281" s="5"/>
      <c r="U281" s="5"/>
      <c r="V281" s="5"/>
      <c r="W281" s="5"/>
      <c r="X281" s="5"/>
      <c r="Y281" s="5"/>
    </row>
    <row r="282" spans="1:25">
      <c r="A282" s="5"/>
      <c r="B282" s="5"/>
      <c r="C282" s="12"/>
      <c r="D282" s="12"/>
      <c r="E282" s="12"/>
      <c r="F282" s="5"/>
      <c r="G282" s="5"/>
      <c r="H282" s="5"/>
      <c r="I282" s="5"/>
      <c r="J282" s="5"/>
      <c r="K282" s="5"/>
      <c r="L282" s="5"/>
      <c r="M282" s="5"/>
      <c r="N282" s="5"/>
      <c r="O282" s="5"/>
      <c r="P282" s="5"/>
      <c r="Q282" s="5"/>
      <c r="R282" s="5"/>
      <c r="S282" s="5"/>
      <c r="T282" s="5"/>
      <c r="U282" s="5"/>
      <c r="V282" s="5"/>
      <c r="W282" s="5"/>
      <c r="X282" s="5"/>
      <c r="Y282" s="5"/>
    </row>
    <row r="283" spans="1:25">
      <c r="A283" s="5"/>
      <c r="B283" s="5"/>
      <c r="C283" s="12"/>
      <c r="D283" s="12"/>
      <c r="E283" s="12"/>
      <c r="F283" s="5"/>
      <c r="G283" s="5"/>
      <c r="H283" s="5"/>
      <c r="I283" s="5"/>
      <c r="J283" s="5"/>
      <c r="K283" s="5"/>
      <c r="L283" s="5"/>
      <c r="M283" s="5"/>
      <c r="N283" s="5"/>
      <c r="O283" s="5"/>
      <c r="P283" s="5"/>
      <c r="Q283" s="5"/>
      <c r="R283" s="5"/>
      <c r="S283" s="5"/>
      <c r="T283" s="5"/>
      <c r="U283" s="5"/>
      <c r="V283" s="5"/>
      <c r="W283" s="5"/>
      <c r="X283" s="5"/>
      <c r="Y283" s="5"/>
    </row>
    <row r="284" spans="1:25">
      <c r="A284" s="5"/>
      <c r="B284" s="5"/>
      <c r="C284" s="12"/>
      <c r="D284" s="12"/>
      <c r="E284" s="12"/>
      <c r="F284" s="5"/>
      <c r="G284" s="5"/>
      <c r="H284" s="5"/>
      <c r="I284" s="5"/>
      <c r="J284" s="5"/>
      <c r="K284" s="5"/>
      <c r="L284" s="5"/>
      <c r="M284" s="5"/>
      <c r="N284" s="5"/>
      <c r="O284" s="5"/>
      <c r="P284" s="5"/>
      <c r="Q284" s="5"/>
      <c r="R284" s="5"/>
      <c r="S284" s="5"/>
      <c r="T284" s="5"/>
      <c r="U284" s="5"/>
      <c r="V284" s="5"/>
      <c r="W284" s="5"/>
      <c r="X284" s="5"/>
      <c r="Y284" s="5"/>
    </row>
    <row r="285" spans="1:25">
      <c r="A285" s="5"/>
      <c r="B285" s="5"/>
      <c r="C285" s="12"/>
      <c r="D285" s="12"/>
      <c r="E285" s="12"/>
      <c r="F285" s="5"/>
      <c r="G285" s="5"/>
      <c r="H285" s="5"/>
      <c r="I285" s="5"/>
      <c r="J285" s="5"/>
      <c r="K285" s="5"/>
      <c r="L285" s="5"/>
      <c r="M285" s="5"/>
      <c r="N285" s="5"/>
      <c r="O285" s="5"/>
      <c r="P285" s="5"/>
      <c r="Q285" s="5"/>
      <c r="R285" s="5"/>
      <c r="S285" s="5"/>
      <c r="T285" s="5"/>
      <c r="U285" s="5"/>
      <c r="V285" s="5"/>
      <c r="W285" s="5"/>
      <c r="X285" s="5"/>
      <c r="Y285" s="5"/>
    </row>
    <row r="286" spans="1:25">
      <c r="A286" s="5"/>
      <c r="B286" s="5"/>
      <c r="C286" s="12"/>
      <c r="D286" s="12"/>
      <c r="E286" s="12"/>
      <c r="F286" s="5"/>
      <c r="G286" s="5"/>
      <c r="H286" s="5"/>
      <c r="I286" s="5"/>
      <c r="J286" s="5"/>
      <c r="K286" s="5"/>
      <c r="L286" s="5"/>
      <c r="M286" s="5"/>
      <c r="N286" s="5"/>
      <c r="O286" s="5"/>
      <c r="P286" s="5"/>
      <c r="Q286" s="5"/>
      <c r="R286" s="5"/>
      <c r="S286" s="5"/>
      <c r="T286" s="5"/>
      <c r="U286" s="5"/>
      <c r="V286" s="5"/>
      <c r="W286" s="5"/>
      <c r="X286" s="5"/>
      <c r="Y286" s="5"/>
    </row>
    <row r="287" spans="1:25">
      <c r="A287" s="5"/>
      <c r="B287" s="5"/>
      <c r="C287" s="12"/>
      <c r="D287" s="12"/>
      <c r="E287" s="12"/>
      <c r="F287" s="5"/>
      <c r="G287" s="5"/>
      <c r="H287" s="5"/>
      <c r="I287" s="5"/>
      <c r="J287" s="5"/>
      <c r="K287" s="5"/>
      <c r="L287" s="5"/>
      <c r="M287" s="5"/>
      <c r="N287" s="5"/>
      <c r="O287" s="5"/>
      <c r="P287" s="5"/>
      <c r="Q287" s="5"/>
      <c r="R287" s="5"/>
      <c r="S287" s="5"/>
      <c r="T287" s="5"/>
      <c r="U287" s="5"/>
      <c r="V287" s="5"/>
      <c r="W287" s="5"/>
      <c r="X287" s="5"/>
      <c r="Y287" s="5"/>
    </row>
    <row r="288" spans="1:25">
      <c r="A288" s="5"/>
      <c r="B288" s="5"/>
      <c r="C288" s="12"/>
      <c r="D288" s="12"/>
      <c r="E288" s="12"/>
      <c r="F288" s="5"/>
      <c r="G288" s="5"/>
      <c r="H288" s="5"/>
      <c r="I288" s="5"/>
      <c r="J288" s="5"/>
      <c r="K288" s="5"/>
      <c r="L288" s="5"/>
      <c r="M288" s="5"/>
      <c r="N288" s="5"/>
      <c r="O288" s="5"/>
      <c r="P288" s="5"/>
      <c r="Q288" s="5"/>
      <c r="R288" s="5"/>
      <c r="S288" s="5"/>
      <c r="T288" s="5"/>
      <c r="U288" s="5"/>
      <c r="V288" s="5"/>
      <c r="W288" s="5"/>
      <c r="X288" s="5"/>
      <c r="Y288" s="5"/>
    </row>
    <row r="289" spans="1:25">
      <c r="A289" s="5"/>
      <c r="B289" s="5"/>
      <c r="C289" s="12"/>
      <c r="D289" s="12"/>
      <c r="E289" s="12"/>
      <c r="F289" s="5"/>
      <c r="G289" s="5"/>
      <c r="H289" s="5"/>
      <c r="I289" s="5"/>
      <c r="J289" s="5"/>
      <c r="K289" s="5"/>
      <c r="L289" s="5"/>
      <c r="M289" s="5"/>
      <c r="N289" s="5"/>
      <c r="O289" s="5"/>
      <c r="P289" s="5"/>
      <c r="Q289" s="5"/>
      <c r="R289" s="5"/>
      <c r="S289" s="5"/>
      <c r="T289" s="5"/>
      <c r="U289" s="5"/>
      <c r="V289" s="5"/>
      <c r="W289" s="5"/>
      <c r="X289" s="5"/>
      <c r="Y289" s="5"/>
    </row>
    <row r="290" spans="1:25">
      <c r="A290" s="5"/>
      <c r="B290" s="5"/>
      <c r="C290" s="12"/>
      <c r="D290" s="12"/>
      <c r="E290" s="12"/>
      <c r="F290" s="5"/>
      <c r="G290" s="5"/>
      <c r="H290" s="5"/>
      <c r="I290" s="5"/>
      <c r="J290" s="5"/>
      <c r="K290" s="5"/>
      <c r="L290" s="5"/>
      <c r="M290" s="5"/>
      <c r="N290" s="5"/>
      <c r="O290" s="5"/>
      <c r="P290" s="5"/>
      <c r="Q290" s="5"/>
      <c r="R290" s="5"/>
      <c r="S290" s="5"/>
      <c r="T290" s="5"/>
      <c r="U290" s="5"/>
      <c r="V290" s="5"/>
      <c r="W290" s="5"/>
      <c r="X290" s="5"/>
      <c r="Y290" s="5"/>
    </row>
    <row r="291" spans="1:25">
      <c r="A291" s="5"/>
      <c r="B291" s="5"/>
      <c r="C291" s="12"/>
      <c r="D291" s="12"/>
      <c r="E291" s="12"/>
      <c r="F291" s="5"/>
      <c r="G291" s="5"/>
      <c r="H291" s="5"/>
      <c r="I291" s="5"/>
      <c r="J291" s="5"/>
      <c r="K291" s="5"/>
      <c r="L291" s="5"/>
      <c r="M291" s="5"/>
      <c r="N291" s="5"/>
      <c r="O291" s="5"/>
      <c r="P291" s="5"/>
      <c r="Q291" s="5"/>
      <c r="R291" s="5"/>
      <c r="S291" s="5"/>
      <c r="T291" s="5"/>
      <c r="U291" s="5"/>
      <c r="V291" s="5"/>
      <c r="W291" s="5"/>
      <c r="X291" s="5"/>
      <c r="Y291" s="5"/>
    </row>
    <row r="292" spans="1:25">
      <c r="A292" s="5"/>
      <c r="B292" s="5"/>
      <c r="C292" s="12"/>
      <c r="D292" s="12"/>
      <c r="E292" s="12"/>
      <c r="F292" s="5"/>
      <c r="G292" s="5"/>
      <c r="H292" s="5"/>
      <c r="I292" s="5"/>
      <c r="J292" s="5"/>
      <c r="K292" s="5"/>
      <c r="L292" s="5"/>
      <c r="M292" s="5"/>
      <c r="N292" s="5"/>
      <c r="O292" s="5"/>
      <c r="P292" s="5"/>
      <c r="Q292" s="5"/>
      <c r="R292" s="5"/>
      <c r="S292" s="5"/>
      <c r="T292" s="5"/>
      <c r="U292" s="5"/>
      <c r="V292" s="5"/>
      <c r="W292" s="5"/>
      <c r="X292" s="5"/>
      <c r="Y292" s="5"/>
    </row>
    <row r="293" spans="1:25">
      <c r="A293" s="5"/>
      <c r="B293" s="5"/>
      <c r="C293" s="12"/>
      <c r="D293" s="12"/>
      <c r="E293" s="12"/>
      <c r="F293" s="5"/>
      <c r="G293" s="5"/>
      <c r="H293" s="5"/>
      <c r="I293" s="5"/>
      <c r="J293" s="5"/>
      <c r="K293" s="5"/>
      <c r="L293" s="5"/>
      <c r="M293" s="5"/>
      <c r="N293" s="5"/>
      <c r="O293" s="5"/>
      <c r="P293" s="5"/>
      <c r="Q293" s="5"/>
      <c r="R293" s="5"/>
      <c r="S293" s="5"/>
      <c r="T293" s="5"/>
      <c r="U293" s="5"/>
      <c r="V293" s="5"/>
      <c r="W293" s="5"/>
      <c r="X293" s="5"/>
      <c r="Y293" s="5"/>
    </row>
    <row r="294" spans="1:25">
      <c r="A294" s="5"/>
      <c r="B294" s="5"/>
      <c r="C294" s="12"/>
      <c r="D294" s="12"/>
      <c r="E294" s="12"/>
      <c r="F294" s="5"/>
      <c r="G294" s="5"/>
      <c r="H294" s="5"/>
      <c r="I294" s="5"/>
      <c r="J294" s="5"/>
      <c r="K294" s="5"/>
      <c r="L294" s="5"/>
      <c r="M294" s="5"/>
      <c r="N294" s="5"/>
      <c r="O294" s="5"/>
      <c r="P294" s="5"/>
      <c r="Q294" s="5"/>
      <c r="R294" s="5"/>
      <c r="S294" s="5"/>
      <c r="T294" s="5"/>
      <c r="U294" s="5"/>
      <c r="V294" s="5"/>
      <c r="W294" s="5"/>
      <c r="X294" s="5"/>
      <c r="Y294" s="5"/>
    </row>
    <row r="295" spans="1:25">
      <c r="A295" s="5"/>
      <c r="B295" s="5"/>
      <c r="C295" s="12"/>
      <c r="D295" s="12"/>
      <c r="E295" s="12"/>
      <c r="F295" s="5"/>
      <c r="G295" s="5"/>
      <c r="H295" s="5"/>
      <c r="I295" s="5"/>
      <c r="J295" s="5"/>
      <c r="K295" s="5"/>
      <c r="L295" s="5"/>
      <c r="M295" s="5"/>
      <c r="N295" s="5"/>
      <c r="O295" s="5"/>
      <c r="P295" s="5"/>
      <c r="Q295" s="5"/>
      <c r="R295" s="5"/>
      <c r="S295" s="5"/>
      <c r="T295" s="5"/>
      <c r="U295" s="5"/>
      <c r="V295" s="5"/>
      <c r="W295" s="5"/>
      <c r="X295" s="5"/>
      <c r="Y295" s="5"/>
    </row>
    <row r="296" spans="1:25">
      <c r="A296" s="5"/>
      <c r="B296" s="5"/>
      <c r="C296" s="12"/>
      <c r="D296" s="12"/>
      <c r="E296" s="12"/>
      <c r="F296" s="5"/>
      <c r="G296" s="5"/>
      <c r="H296" s="5"/>
      <c r="I296" s="5"/>
      <c r="J296" s="5"/>
      <c r="K296" s="5"/>
      <c r="L296" s="5"/>
      <c r="M296" s="5"/>
      <c r="N296" s="5"/>
      <c r="O296" s="5"/>
      <c r="P296" s="5"/>
      <c r="Q296" s="5"/>
      <c r="R296" s="5"/>
      <c r="S296" s="5"/>
      <c r="T296" s="5"/>
      <c r="U296" s="5"/>
      <c r="V296" s="5"/>
      <c r="W296" s="5"/>
      <c r="X296" s="5"/>
      <c r="Y296" s="5"/>
    </row>
    <row r="297" spans="1:25">
      <c r="A297" s="5"/>
      <c r="B297" s="5"/>
      <c r="C297" s="12"/>
      <c r="D297" s="12"/>
      <c r="E297" s="12"/>
      <c r="F297" s="5"/>
      <c r="G297" s="5"/>
      <c r="H297" s="5"/>
      <c r="I297" s="5"/>
      <c r="J297" s="5"/>
      <c r="K297" s="5"/>
      <c r="L297" s="5"/>
      <c r="M297" s="5"/>
      <c r="N297" s="5"/>
      <c r="O297" s="5"/>
      <c r="P297" s="5"/>
      <c r="Q297" s="5"/>
      <c r="R297" s="5"/>
      <c r="S297" s="5"/>
      <c r="T297" s="5"/>
      <c r="U297" s="5"/>
      <c r="V297" s="5"/>
      <c r="W297" s="5"/>
      <c r="X297" s="5"/>
      <c r="Y297" s="5"/>
    </row>
    <row r="298" spans="1:25">
      <c r="A298" s="5"/>
      <c r="B298" s="5"/>
      <c r="C298" s="12"/>
      <c r="D298" s="12"/>
      <c r="E298" s="12"/>
      <c r="F298" s="5"/>
      <c r="G298" s="5"/>
      <c r="H298" s="5"/>
      <c r="I298" s="5"/>
      <c r="J298" s="5"/>
      <c r="K298" s="5"/>
      <c r="L298" s="5"/>
      <c r="M298" s="5"/>
      <c r="N298" s="5"/>
      <c r="O298" s="5"/>
      <c r="P298" s="5"/>
      <c r="Q298" s="5"/>
      <c r="R298" s="5"/>
      <c r="S298" s="5"/>
      <c r="T298" s="5"/>
      <c r="U298" s="5"/>
      <c r="V298" s="5"/>
      <c r="W298" s="5"/>
      <c r="X298" s="5"/>
      <c r="Y298" s="5"/>
    </row>
    <row r="299" spans="1:25">
      <c r="A299" s="5"/>
      <c r="B299" s="5"/>
      <c r="C299" s="12"/>
      <c r="D299" s="12"/>
      <c r="E299" s="12"/>
      <c r="F299" s="5"/>
      <c r="G299" s="5"/>
      <c r="H299" s="5"/>
      <c r="I299" s="5"/>
      <c r="J299" s="5"/>
      <c r="K299" s="5"/>
      <c r="L299" s="5"/>
      <c r="M299" s="5"/>
      <c r="N299" s="5"/>
      <c r="O299" s="5"/>
      <c r="P299" s="5"/>
      <c r="Q299" s="5"/>
      <c r="R299" s="5"/>
      <c r="S299" s="5"/>
      <c r="T299" s="5"/>
      <c r="U299" s="5"/>
      <c r="V299" s="5"/>
      <c r="W299" s="5"/>
      <c r="X299" s="5"/>
      <c r="Y299" s="5"/>
    </row>
    <row r="300" spans="1:25">
      <c r="A300" s="5"/>
      <c r="B300" s="5"/>
      <c r="C300" s="12"/>
      <c r="D300" s="12"/>
      <c r="E300" s="12"/>
      <c r="F300" s="5"/>
      <c r="G300" s="5"/>
      <c r="H300" s="5"/>
      <c r="I300" s="5"/>
      <c r="J300" s="5"/>
      <c r="K300" s="5"/>
      <c r="L300" s="5"/>
      <c r="M300" s="5"/>
      <c r="N300" s="5"/>
      <c r="O300" s="5"/>
      <c r="P300" s="5"/>
      <c r="Q300" s="5"/>
      <c r="R300" s="5"/>
      <c r="S300" s="5"/>
      <c r="T300" s="5"/>
      <c r="U300" s="5"/>
      <c r="V300" s="5"/>
      <c r="W300" s="5"/>
      <c r="X300" s="5"/>
      <c r="Y300" s="5"/>
    </row>
    <row r="301" spans="1:25">
      <c r="A301" s="5"/>
      <c r="B301" s="5"/>
      <c r="C301" s="12"/>
      <c r="D301" s="12"/>
      <c r="E301" s="12"/>
      <c r="F301" s="5"/>
      <c r="G301" s="5"/>
      <c r="H301" s="5"/>
      <c r="I301" s="5"/>
      <c r="J301" s="5"/>
      <c r="K301" s="5"/>
      <c r="L301" s="5"/>
      <c r="M301" s="5"/>
      <c r="N301" s="5"/>
      <c r="O301" s="5"/>
      <c r="P301" s="5"/>
      <c r="Q301" s="5"/>
      <c r="R301" s="5"/>
      <c r="S301" s="5"/>
      <c r="T301" s="5"/>
      <c r="U301" s="5"/>
      <c r="V301" s="5"/>
      <c r="W301" s="5"/>
      <c r="X301" s="5"/>
      <c r="Y301" s="5"/>
    </row>
    <row r="302" spans="1:25">
      <c r="A302" s="5"/>
      <c r="B302" s="5"/>
      <c r="C302" s="12"/>
      <c r="D302" s="12"/>
      <c r="E302" s="12"/>
      <c r="F302" s="5"/>
      <c r="G302" s="5"/>
      <c r="H302" s="5"/>
      <c r="I302" s="5"/>
      <c r="J302" s="5"/>
      <c r="K302" s="5"/>
      <c r="L302" s="5"/>
      <c r="M302" s="5"/>
      <c r="N302" s="5"/>
      <c r="O302" s="5"/>
      <c r="P302" s="5"/>
      <c r="Q302" s="5"/>
      <c r="R302" s="5"/>
      <c r="S302" s="5"/>
      <c r="T302" s="5"/>
      <c r="U302" s="5"/>
      <c r="V302" s="5"/>
      <c r="W302" s="5"/>
      <c r="X302" s="5"/>
      <c r="Y302" s="5"/>
    </row>
    <row r="303" spans="1:25">
      <c r="A303" s="5"/>
      <c r="B303" s="5"/>
      <c r="C303" s="12"/>
      <c r="D303" s="12"/>
      <c r="E303" s="12"/>
      <c r="F303" s="5"/>
      <c r="G303" s="5"/>
      <c r="H303" s="5"/>
      <c r="I303" s="5"/>
      <c r="J303" s="5"/>
      <c r="K303" s="5"/>
      <c r="L303" s="5"/>
      <c r="M303" s="5"/>
      <c r="N303" s="5"/>
      <c r="O303" s="5"/>
      <c r="P303" s="5"/>
      <c r="Q303" s="5"/>
      <c r="R303" s="5"/>
      <c r="S303" s="5"/>
      <c r="T303" s="5"/>
      <c r="U303" s="5"/>
      <c r="V303" s="5"/>
      <c r="W303" s="5"/>
      <c r="X303" s="5"/>
      <c r="Y303" s="5"/>
    </row>
    <row r="304" spans="1:25">
      <c r="A304" s="5"/>
      <c r="B304" s="5"/>
      <c r="C304" s="12"/>
      <c r="D304" s="12"/>
      <c r="E304" s="12"/>
      <c r="F304" s="5"/>
      <c r="G304" s="5"/>
      <c r="H304" s="5"/>
      <c r="I304" s="5"/>
      <c r="J304" s="5"/>
      <c r="K304" s="5"/>
      <c r="L304" s="5"/>
      <c r="M304" s="5"/>
      <c r="N304" s="5"/>
      <c r="O304" s="5"/>
      <c r="P304" s="5"/>
      <c r="Q304" s="5"/>
      <c r="R304" s="5"/>
      <c r="S304" s="5"/>
      <c r="T304" s="5"/>
      <c r="U304" s="5"/>
      <c r="V304" s="5"/>
      <c r="W304" s="5"/>
      <c r="X304" s="5"/>
      <c r="Y304" s="5"/>
    </row>
    <row r="305" spans="1:25">
      <c r="A305" s="5"/>
      <c r="B305" s="5"/>
      <c r="C305" s="12"/>
      <c r="D305" s="12"/>
      <c r="E305" s="12"/>
      <c r="F305" s="5"/>
      <c r="G305" s="5"/>
      <c r="H305" s="5"/>
      <c r="I305" s="5"/>
      <c r="J305" s="5"/>
      <c r="K305" s="5"/>
      <c r="L305" s="5"/>
      <c r="M305" s="5"/>
      <c r="N305" s="5"/>
      <c r="O305" s="5"/>
      <c r="P305" s="5"/>
      <c r="Q305" s="5"/>
      <c r="R305" s="5"/>
      <c r="S305" s="5"/>
      <c r="T305" s="5"/>
      <c r="U305" s="5"/>
      <c r="V305" s="5"/>
      <c r="W305" s="5"/>
      <c r="X305" s="5"/>
      <c r="Y305" s="5"/>
    </row>
    <row r="306" spans="1:25">
      <c r="A306" s="5"/>
      <c r="B306" s="5"/>
      <c r="C306" s="12"/>
      <c r="D306" s="12"/>
      <c r="E306" s="12"/>
      <c r="F306" s="5"/>
      <c r="G306" s="5"/>
      <c r="H306" s="5"/>
      <c r="I306" s="5"/>
      <c r="J306" s="5"/>
      <c r="K306" s="5"/>
      <c r="L306" s="5"/>
      <c r="M306" s="5"/>
      <c r="N306" s="5"/>
      <c r="O306" s="5"/>
      <c r="P306" s="5"/>
      <c r="Q306" s="5"/>
      <c r="R306" s="5"/>
      <c r="S306" s="5"/>
      <c r="T306" s="5"/>
      <c r="U306" s="5"/>
      <c r="V306" s="5"/>
      <c r="W306" s="5"/>
      <c r="X306" s="5"/>
      <c r="Y306" s="5"/>
    </row>
    <row r="307" spans="1:25">
      <c r="A307" s="5"/>
      <c r="B307" s="5"/>
      <c r="C307" s="12"/>
      <c r="D307" s="12"/>
      <c r="E307" s="12"/>
      <c r="F307" s="5"/>
      <c r="G307" s="5"/>
      <c r="H307" s="5"/>
      <c r="I307" s="5"/>
      <c r="J307" s="5"/>
      <c r="K307" s="5"/>
      <c r="L307" s="5"/>
      <c r="M307" s="5"/>
      <c r="N307" s="5"/>
      <c r="O307" s="5"/>
      <c r="P307" s="5"/>
      <c r="Q307" s="5"/>
      <c r="R307" s="5"/>
      <c r="S307" s="5"/>
      <c r="T307" s="5"/>
      <c r="U307" s="5"/>
      <c r="V307" s="5"/>
      <c r="W307" s="5"/>
      <c r="X307" s="5"/>
      <c r="Y307" s="5"/>
    </row>
    <row r="308" spans="1:25">
      <c r="A308" s="5"/>
      <c r="B308" s="5"/>
      <c r="C308" s="12"/>
      <c r="D308" s="12"/>
      <c r="E308" s="12"/>
      <c r="F308" s="5"/>
      <c r="G308" s="5"/>
      <c r="H308" s="5"/>
      <c r="I308" s="5"/>
      <c r="J308" s="5"/>
      <c r="K308" s="5"/>
      <c r="L308" s="5"/>
      <c r="M308" s="5"/>
      <c r="N308" s="5"/>
      <c r="O308" s="5"/>
      <c r="P308" s="5"/>
      <c r="Q308" s="5"/>
      <c r="R308" s="5"/>
      <c r="S308" s="5"/>
      <c r="T308" s="5"/>
      <c r="U308" s="5"/>
      <c r="V308" s="5"/>
      <c r="W308" s="5"/>
      <c r="X308" s="5"/>
      <c r="Y308" s="5"/>
    </row>
    <row r="309" spans="1:25">
      <c r="A309" s="5"/>
      <c r="B309" s="5"/>
      <c r="C309" s="12"/>
      <c r="D309" s="12"/>
      <c r="E309" s="12"/>
      <c r="F309" s="5"/>
      <c r="G309" s="5"/>
      <c r="H309" s="5"/>
      <c r="I309" s="5"/>
      <c r="J309" s="5"/>
      <c r="K309" s="5"/>
      <c r="L309" s="5"/>
      <c r="M309" s="5"/>
      <c r="N309" s="5"/>
      <c r="O309" s="5"/>
      <c r="P309" s="5"/>
      <c r="Q309" s="5"/>
      <c r="R309" s="5"/>
      <c r="S309" s="5"/>
      <c r="T309" s="5"/>
      <c r="U309" s="5"/>
      <c r="V309" s="5"/>
      <c r="W309" s="5"/>
      <c r="X309" s="5"/>
      <c r="Y309" s="5"/>
    </row>
    <row r="310" spans="1:25">
      <c r="A310" s="5"/>
      <c r="B310" s="5"/>
      <c r="C310" s="12"/>
      <c r="D310" s="12"/>
      <c r="E310" s="12"/>
      <c r="F310" s="5"/>
      <c r="G310" s="5"/>
      <c r="H310" s="5"/>
      <c r="I310" s="5"/>
      <c r="J310" s="5"/>
      <c r="K310" s="5"/>
      <c r="L310" s="5"/>
      <c r="M310" s="5"/>
      <c r="N310" s="5"/>
      <c r="O310" s="5"/>
      <c r="P310" s="5"/>
      <c r="Q310" s="5"/>
      <c r="R310" s="5"/>
      <c r="S310" s="5"/>
      <c r="T310" s="5"/>
      <c r="U310" s="5"/>
      <c r="V310" s="5"/>
      <c r="W310" s="5"/>
      <c r="X310" s="5"/>
      <c r="Y310" s="5"/>
    </row>
    <row r="311" spans="1:25">
      <c r="A311" s="5"/>
      <c r="B311" s="5"/>
      <c r="C311" s="12"/>
      <c r="D311" s="12"/>
      <c r="E311" s="12"/>
      <c r="F311" s="5"/>
      <c r="G311" s="5"/>
      <c r="H311" s="5"/>
      <c r="I311" s="5"/>
      <c r="J311" s="5"/>
      <c r="K311" s="5"/>
      <c r="L311" s="5"/>
      <c r="M311" s="5"/>
      <c r="N311" s="5"/>
      <c r="O311" s="5"/>
      <c r="P311" s="5"/>
      <c r="Q311" s="5"/>
      <c r="R311" s="5"/>
      <c r="S311" s="5"/>
      <c r="T311" s="5"/>
      <c r="U311" s="5"/>
      <c r="V311" s="5"/>
      <c r="W311" s="5"/>
      <c r="X311" s="5"/>
      <c r="Y311" s="5"/>
    </row>
    <row r="312" spans="1:25">
      <c r="A312" s="5"/>
      <c r="B312" s="5"/>
      <c r="C312" s="12"/>
      <c r="D312" s="12"/>
      <c r="E312" s="12"/>
      <c r="F312" s="5"/>
      <c r="G312" s="5"/>
      <c r="H312" s="5"/>
      <c r="I312" s="5"/>
      <c r="J312" s="5"/>
      <c r="K312" s="5"/>
      <c r="L312" s="5"/>
      <c r="M312" s="5"/>
      <c r="N312" s="5"/>
      <c r="O312" s="5"/>
      <c r="P312" s="5"/>
      <c r="Q312" s="5"/>
      <c r="R312" s="5"/>
      <c r="S312" s="5"/>
      <c r="T312" s="5"/>
      <c r="U312" s="5"/>
      <c r="V312" s="5"/>
      <c r="W312" s="5"/>
      <c r="X312" s="5"/>
      <c r="Y312" s="5"/>
    </row>
    <row r="313" spans="1:25">
      <c r="A313" s="5"/>
      <c r="B313" s="5"/>
      <c r="C313" s="12"/>
      <c r="D313" s="12"/>
      <c r="E313" s="12"/>
      <c r="F313" s="5"/>
      <c r="G313" s="5"/>
      <c r="H313" s="5"/>
      <c r="I313" s="5"/>
      <c r="J313" s="5"/>
      <c r="K313" s="5"/>
      <c r="L313" s="5"/>
      <c r="M313" s="5"/>
      <c r="N313" s="5"/>
      <c r="O313" s="5"/>
      <c r="P313" s="5"/>
      <c r="Q313" s="5"/>
      <c r="R313" s="5"/>
      <c r="S313" s="5"/>
      <c r="T313" s="5"/>
      <c r="U313" s="5"/>
      <c r="V313" s="5"/>
      <c r="W313" s="5"/>
      <c r="X313" s="5"/>
      <c r="Y313" s="5"/>
    </row>
    <row r="314" spans="1:25">
      <c r="A314" s="5"/>
      <c r="B314" s="5"/>
      <c r="C314" s="12"/>
      <c r="D314" s="12"/>
      <c r="E314" s="12"/>
      <c r="F314" s="5"/>
      <c r="G314" s="5"/>
      <c r="H314" s="5"/>
      <c r="I314" s="5"/>
      <c r="J314" s="5"/>
      <c r="K314" s="5"/>
      <c r="L314" s="5"/>
      <c r="M314" s="5"/>
      <c r="N314" s="5"/>
      <c r="O314" s="5"/>
      <c r="P314" s="5"/>
      <c r="Q314" s="5"/>
      <c r="R314" s="5"/>
      <c r="S314" s="5"/>
      <c r="T314" s="5"/>
      <c r="U314" s="5"/>
      <c r="V314" s="5"/>
      <c r="W314" s="5"/>
      <c r="X314" s="5"/>
      <c r="Y314" s="5"/>
    </row>
    <row r="315" spans="1:25">
      <c r="A315" s="5"/>
      <c r="B315" s="5"/>
      <c r="C315" s="12"/>
      <c r="D315" s="12"/>
      <c r="E315" s="12"/>
      <c r="F315" s="5"/>
      <c r="G315" s="5"/>
      <c r="H315" s="5"/>
      <c r="I315" s="5"/>
      <c r="J315" s="5"/>
      <c r="K315" s="5"/>
      <c r="L315" s="5"/>
      <c r="M315" s="5"/>
      <c r="N315" s="5"/>
      <c r="O315" s="5"/>
      <c r="P315" s="5"/>
      <c r="Q315" s="5"/>
      <c r="R315" s="5"/>
      <c r="S315" s="5"/>
      <c r="T315" s="5"/>
      <c r="U315" s="5"/>
      <c r="V315" s="5"/>
      <c r="W315" s="5"/>
      <c r="X315" s="5"/>
      <c r="Y315" s="5"/>
    </row>
    <row r="316" spans="1:25">
      <c r="A316" s="5"/>
      <c r="B316" s="5"/>
      <c r="C316" s="12"/>
      <c r="D316" s="12"/>
      <c r="E316" s="12"/>
      <c r="F316" s="5"/>
      <c r="G316" s="5"/>
      <c r="H316" s="5"/>
      <c r="I316" s="5"/>
      <c r="J316" s="5"/>
      <c r="K316" s="5"/>
      <c r="L316" s="5"/>
      <c r="M316" s="5"/>
      <c r="N316" s="5"/>
      <c r="O316" s="5"/>
      <c r="P316" s="5"/>
      <c r="Q316" s="5"/>
      <c r="R316" s="5"/>
      <c r="S316" s="5"/>
      <c r="T316" s="5"/>
      <c r="U316" s="5"/>
      <c r="V316" s="5"/>
      <c r="W316" s="5"/>
      <c r="X316" s="5"/>
      <c r="Y316" s="5"/>
    </row>
    <row r="317" spans="1:25">
      <c r="A317" s="5"/>
      <c r="B317" s="5"/>
      <c r="C317" s="12"/>
      <c r="D317" s="12"/>
      <c r="E317" s="12"/>
      <c r="F317" s="5"/>
      <c r="G317" s="5"/>
      <c r="H317" s="5"/>
      <c r="I317" s="5"/>
      <c r="J317" s="5"/>
      <c r="K317" s="5"/>
      <c r="L317" s="5"/>
      <c r="M317" s="5"/>
      <c r="N317" s="5"/>
      <c r="O317" s="5"/>
      <c r="P317" s="5"/>
      <c r="Q317" s="5"/>
      <c r="R317" s="5"/>
      <c r="S317" s="5"/>
      <c r="T317" s="5"/>
      <c r="U317" s="5"/>
      <c r="V317" s="5"/>
      <c r="W317" s="5"/>
      <c r="X317" s="5"/>
      <c r="Y317" s="5"/>
    </row>
    <row r="318" spans="1:25">
      <c r="A318" s="5"/>
      <c r="B318" s="5"/>
      <c r="C318" s="12"/>
      <c r="D318" s="12"/>
      <c r="E318" s="12"/>
      <c r="F318" s="5"/>
      <c r="G318" s="5"/>
      <c r="H318" s="5"/>
      <c r="I318" s="5"/>
      <c r="J318" s="5"/>
      <c r="K318" s="5"/>
      <c r="L318" s="5"/>
      <c r="M318" s="5"/>
      <c r="N318" s="5"/>
      <c r="O318" s="5"/>
      <c r="P318" s="5"/>
      <c r="Q318" s="5"/>
      <c r="R318" s="5"/>
      <c r="S318" s="5"/>
      <c r="T318" s="5"/>
      <c r="U318" s="5"/>
      <c r="V318" s="5"/>
      <c r="W318" s="5"/>
      <c r="X318" s="5"/>
      <c r="Y318" s="5"/>
    </row>
    <row r="319" spans="1:25">
      <c r="A319" s="5"/>
      <c r="B319" s="5"/>
      <c r="C319" s="12"/>
      <c r="D319" s="12"/>
      <c r="E319" s="12"/>
      <c r="F319" s="5"/>
      <c r="G319" s="5"/>
      <c r="H319" s="5"/>
      <c r="I319" s="5"/>
      <c r="J319" s="5"/>
      <c r="K319" s="5"/>
      <c r="L319" s="5"/>
      <c r="M319" s="5"/>
      <c r="N319" s="5"/>
      <c r="O319" s="5"/>
      <c r="P319" s="5"/>
      <c r="Q319" s="5"/>
      <c r="R319" s="5"/>
      <c r="S319" s="5"/>
      <c r="T319" s="5"/>
      <c r="U319" s="5"/>
      <c r="V319" s="5"/>
      <c r="W319" s="5"/>
      <c r="X319" s="5"/>
      <c r="Y319" s="5"/>
    </row>
    <row r="320" spans="1:25">
      <c r="A320" s="5"/>
      <c r="B320" s="5"/>
      <c r="C320" s="12"/>
      <c r="D320" s="12"/>
      <c r="E320" s="12"/>
      <c r="F320" s="5"/>
      <c r="G320" s="5"/>
      <c r="H320" s="5"/>
      <c r="I320" s="5"/>
      <c r="J320" s="5"/>
      <c r="K320" s="5"/>
      <c r="L320" s="5"/>
      <c r="M320" s="5"/>
      <c r="N320" s="5"/>
      <c r="O320" s="5"/>
      <c r="P320" s="5"/>
      <c r="Q320" s="5"/>
      <c r="R320" s="5"/>
      <c r="S320" s="5"/>
      <c r="T320" s="5"/>
      <c r="U320" s="5"/>
      <c r="V320" s="5"/>
      <c r="W320" s="5"/>
      <c r="X320" s="5"/>
      <c r="Y320" s="5"/>
    </row>
    <row r="321" spans="1:25">
      <c r="A321" s="5"/>
      <c r="B321" s="5"/>
      <c r="C321" s="12"/>
      <c r="D321" s="12"/>
      <c r="E321" s="12"/>
      <c r="F321" s="5"/>
      <c r="G321" s="5"/>
      <c r="H321" s="5"/>
      <c r="I321" s="5"/>
      <c r="J321" s="5"/>
      <c r="K321" s="5"/>
      <c r="L321" s="5"/>
      <c r="M321" s="5"/>
      <c r="N321" s="5"/>
      <c r="O321" s="5"/>
      <c r="P321" s="5"/>
      <c r="Q321" s="5"/>
      <c r="R321" s="5"/>
      <c r="S321" s="5"/>
      <c r="T321" s="5"/>
      <c r="U321" s="5"/>
      <c r="V321" s="5"/>
      <c r="W321" s="5"/>
      <c r="X321" s="5"/>
      <c r="Y321" s="5"/>
    </row>
    <row r="322" spans="1:25">
      <c r="A322" s="5"/>
      <c r="B322" s="5"/>
      <c r="C322" s="12"/>
      <c r="D322" s="12"/>
      <c r="E322" s="12"/>
      <c r="F322" s="5"/>
      <c r="G322" s="5"/>
      <c r="H322" s="5"/>
      <c r="I322" s="5"/>
      <c r="J322" s="5"/>
      <c r="K322" s="5"/>
      <c r="L322" s="5"/>
      <c r="M322" s="5"/>
      <c r="N322" s="5"/>
      <c r="O322" s="5"/>
      <c r="P322" s="5"/>
      <c r="Q322" s="5"/>
      <c r="R322" s="5"/>
      <c r="S322" s="5"/>
      <c r="T322" s="5"/>
      <c r="U322" s="5"/>
      <c r="V322" s="5"/>
      <c r="W322" s="5"/>
      <c r="X322" s="5"/>
      <c r="Y322" s="5"/>
    </row>
    <row r="323" spans="1:25">
      <c r="A323" s="5"/>
      <c r="B323" s="5"/>
      <c r="C323" s="12"/>
      <c r="D323" s="12"/>
      <c r="E323" s="12"/>
      <c r="F323" s="5"/>
      <c r="G323" s="5"/>
      <c r="H323" s="5"/>
      <c r="I323" s="5"/>
      <c r="J323" s="5"/>
      <c r="K323" s="5"/>
      <c r="L323" s="5"/>
      <c r="M323" s="5"/>
      <c r="N323" s="5"/>
      <c r="O323" s="5"/>
      <c r="P323" s="5"/>
      <c r="Q323" s="5"/>
      <c r="R323" s="5"/>
      <c r="S323" s="5"/>
      <c r="T323" s="5"/>
      <c r="U323" s="5"/>
      <c r="V323" s="5"/>
      <c r="W323" s="5"/>
      <c r="X323" s="5"/>
      <c r="Y323" s="5"/>
    </row>
    <row r="324" spans="1:25">
      <c r="A324" s="5"/>
      <c r="B324" s="5"/>
      <c r="C324" s="12"/>
      <c r="D324" s="12"/>
      <c r="E324" s="12"/>
      <c r="F324" s="5"/>
      <c r="G324" s="5"/>
      <c r="H324" s="5"/>
      <c r="I324" s="5"/>
      <c r="J324" s="5"/>
      <c r="K324" s="5"/>
      <c r="L324" s="5"/>
      <c r="M324" s="5"/>
      <c r="N324" s="5"/>
      <c r="O324" s="5"/>
      <c r="P324" s="5"/>
      <c r="Q324" s="5"/>
      <c r="R324" s="5"/>
      <c r="S324" s="5"/>
      <c r="T324" s="5"/>
      <c r="U324" s="5"/>
      <c r="V324" s="5"/>
      <c r="W324" s="5"/>
      <c r="X324" s="5"/>
      <c r="Y324" s="5"/>
    </row>
    <row r="325" spans="1:25">
      <c r="A325" s="5"/>
      <c r="B325" s="5"/>
      <c r="C325" s="12"/>
      <c r="D325" s="12"/>
      <c r="E325" s="12"/>
      <c r="F325" s="5"/>
      <c r="G325" s="5"/>
      <c r="H325" s="5"/>
      <c r="I325" s="5"/>
      <c r="J325" s="5"/>
      <c r="K325" s="5"/>
      <c r="L325" s="5"/>
      <c r="M325" s="5"/>
      <c r="N325" s="5"/>
      <c r="O325" s="5"/>
      <c r="P325" s="5"/>
      <c r="Q325" s="5"/>
      <c r="R325" s="5"/>
      <c r="S325" s="5"/>
      <c r="T325" s="5"/>
      <c r="U325" s="5"/>
      <c r="V325" s="5"/>
      <c r="W325" s="5"/>
      <c r="X325" s="5"/>
      <c r="Y325" s="5"/>
    </row>
    <row r="326" spans="1:25">
      <c r="A326" s="5"/>
      <c r="B326" s="5"/>
      <c r="C326" s="12"/>
      <c r="D326" s="12"/>
      <c r="E326" s="12"/>
      <c r="F326" s="5"/>
      <c r="G326" s="5"/>
      <c r="H326" s="5"/>
      <c r="I326" s="5"/>
      <c r="J326" s="5"/>
      <c r="K326" s="5"/>
      <c r="L326" s="5"/>
      <c r="M326" s="5"/>
      <c r="N326" s="5"/>
      <c r="O326" s="5"/>
      <c r="P326" s="5"/>
      <c r="Q326" s="5"/>
      <c r="R326" s="5"/>
      <c r="S326" s="5"/>
      <c r="T326" s="5"/>
      <c r="U326" s="5"/>
      <c r="V326" s="5"/>
      <c r="W326" s="5"/>
      <c r="X326" s="5"/>
      <c r="Y326" s="5"/>
    </row>
    <row r="327" spans="1:25">
      <c r="A327" s="5"/>
      <c r="B327" s="5"/>
      <c r="C327" s="12"/>
      <c r="D327" s="12"/>
      <c r="E327" s="12"/>
      <c r="F327" s="5"/>
      <c r="G327" s="5"/>
      <c r="H327" s="5"/>
      <c r="I327" s="5"/>
      <c r="J327" s="5"/>
      <c r="K327" s="5"/>
      <c r="L327" s="5"/>
      <c r="M327" s="5"/>
      <c r="N327" s="5"/>
      <c r="O327" s="5"/>
      <c r="P327" s="5"/>
      <c r="Q327" s="5"/>
      <c r="R327" s="5"/>
      <c r="S327" s="5"/>
      <c r="T327" s="5"/>
      <c r="U327" s="5"/>
      <c r="V327" s="5"/>
      <c r="W327" s="5"/>
      <c r="X327" s="5"/>
      <c r="Y327" s="5"/>
    </row>
    <row r="328" spans="1:25">
      <c r="A328" s="5"/>
      <c r="B328" s="5"/>
      <c r="C328" s="12"/>
      <c r="D328" s="12"/>
      <c r="E328" s="12"/>
      <c r="F328" s="5"/>
      <c r="G328" s="5"/>
      <c r="H328" s="5"/>
      <c r="I328" s="5"/>
      <c r="J328" s="5"/>
      <c r="K328" s="5"/>
      <c r="L328" s="5"/>
      <c r="M328" s="5"/>
      <c r="N328" s="5"/>
      <c r="O328" s="5"/>
      <c r="P328" s="5"/>
      <c r="Q328" s="5"/>
      <c r="R328" s="5"/>
      <c r="S328" s="5"/>
      <c r="T328" s="5"/>
      <c r="U328" s="5"/>
      <c r="V328" s="5"/>
      <c r="W328" s="5"/>
      <c r="X328" s="5"/>
      <c r="Y328" s="5"/>
    </row>
    <row r="329" spans="1:25">
      <c r="A329" s="5"/>
      <c r="B329" s="5"/>
      <c r="C329" s="12"/>
      <c r="D329" s="12"/>
      <c r="E329" s="12"/>
      <c r="F329" s="5"/>
      <c r="G329" s="5"/>
      <c r="H329" s="5"/>
      <c r="I329" s="5"/>
      <c r="J329" s="5"/>
      <c r="K329" s="5"/>
      <c r="L329" s="5"/>
      <c r="M329" s="5"/>
      <c r="N329" s="5"/>
      <c r="O329" s="5"/>
      <c r="P329" s="5"/>
      <c r="Q329" s="5"/>
      <c r="R329" s="5"/>
      <c r="S329" s="5"/>
      <c r="T329" s="5"/>
      <c r="U329" s="5"/>
      <c r="V329" s="5"/>
      <c r="W329" s="5"/>
      <c r="X329" s="5"/>
      <c r="Y329" s="5"/>
    </row>
    <row r="330" spans="1:25">
      <c r="A330" s="5"/>
      <c r="B330" s="5"/>
      <c r="C330" s="12"/>
      <c r="D330" s="12"/>
      <c r="E330" s="12"/>
      <c r="F330" s="5"/>
      <c r="G330" s="5"/>
      <c r="H330" s="5"/>
      <c r="I330" s="5"/>
      <c r="J330" s="5"/>
      <c r="K330" s="5"/>
      <c r="L330" s="5"/>
      <c r="M330" s="5"/>
      <c r="N330" s="5"/>
      <c r="O330" s="5"/>
      <c r="P330" s="5"/>
      <c r="Q330" s="5"/>
      <c r="R330" s="5"/>
      <c r="S330" s="5"/>
      <c r="T330" s="5"/>
      <c r="U330" s="5"/>
      <c r="V330" s="5"/>
      <c r="W330" s="5"/>
      <c r="X330" s="5"/>
      <c r="Y330" s="5"/>
    </row>
    <row r="331" spans="1:25">
      <c r="A331" s="5"/>
      <c r="B331" s="5"/>
      <c r="C331" s="12"/>
      <c r="D331" s="12"/>
      <c r="E331" s="12"/>
      <c r="F331" s="5"/>
      <c r="G331" s="5"/>
      <c r="H331" s="5"/>
      <c r="I331" s="5"/>
      <c r="J331" s="5"/>
      <c r="K331" s="5"/>
      <c r="L331" s="5"/>
      <c r="M331" s="5"/>
      <c r="N331" s="5"/>
      <c r="O331" s="5"/>
      <c r="P331" s="5"/>
      <c r="Q331" s="5"/>
      <c r="R331" s="5"/>
      <c r="S331" s="5"/>
      <c r="T331" s="5"/>
      <c r="U331" s="5"/>
      <c r="V331" s="5"/>
      <c r="W331" s="5"/>
      <c r="X331" s="5"/>
      <c r="Y331" s="5"/>
    </row>
    <row r="332" spans="1:25">
      <c r="A332" s="5"/>
      <c r="B332" s="5"/>
      <c r="C332" s="12"/>
      <c r="D332" s="12"/>
      <c r="E332" s="12"/>
      <c r="F332" s="5"/>
      <c r="G332" s="5"/>
      <c r="H332" s="5"/>
      <c r="I332" s="5"/>
      <c r="J332" s="5"/>
      <c r="K332" s="5"/>
      <c r="L332" s="5"/>
      <c r="M332" s="5"/>
      <c r="N332" s="5"/>
      <c r="O332" s="5"/>
      <c r="P332" s="5"/>
      <c r="Q332" s="5"/>
      <c r="R332" s="5"/>
      <c r="S332" s="5"/>
      <c r="T332" s="5"/>
      <c r="U332" s="5"/>
      <c r="V332" s="5"/>
      <c r="W332" s="5"/>
      <c r="X332" s="5"/>
      <c r="Y332" s="5"/>
    </row>
    <row r="333" spans="1:25">
      <c r="A333" s="5"/>
      <c r="B333" s="5"/>
      <c r="C333" s="12"/>
      <c r="D333" s="12"/>
      <c r="E333" s="12"/>
      <c r="F333" s="5"/>
      <c r="G333" s="5"/>
      <c r="H333" s="5"/>
      <c r="I333" s="5"/>
      <c r="J333" s="5"/>
      <c r="K333" s="5"/>
      <c r="L333" s="5"/>
      <c r="M333" s="5"/>
      <c r="N333" s="5"/>
      <c r="O333" s="5"/>
      <c r="P333" s="5"/>
      <c r="Q333" s="5"/>
      <c r="R333" s="5"/>
      <c r="S333" s="5"/>
      <c r="T333" s="5"/>
      <c r="U333" s="5"/>
      <c r="V333" s="5"/>
      <c r="W333" s="5"/>
      <c r="X333" s="5"/>
      <c r="Y333" s="5"/>
    </row>
    <row r="334" spans="1:25">
      <c r="A334" s="5"/>
      <c r="B334" s="5"/>
      <c r="C334" s="12"/>
      <c r="D334" s="12"/>
      <c r="E334" s="12"/>
      <c r="F334" s="5"/>
      <c r="G334" s="5"/>
      <c r="H334" s="5"/>
      <c r="I334" s="5"/>
      <c r="J334" s="5"/>
      <c r="K334" s="5"/>
      <c r="L334" s="5"/>
      <c r="M334" s="5"/>
      <c r="N334" s="5"/>
      <c r="O334" s="5"/>
      <c r="P334" s="5"/>
      <c r="Q334" s="5"/>
      <c r="R334" s="5"/>
      <c r="S334" s="5"/>
      <c r="T334" s="5"/>
      <c r="U334" s="5"/>
      <c r="V334" s="5"/>
      <c r="W334" s="5"/>
      <c r="X334" s="5"/>
      <c r="Y334" s="5"/>
    </row>
    <row r="335" spans="1:25">
      <c r="A335" s="5"/>
      <c r="B335" s="5"/>
      <c r="C335" s="12"/>
      <c r="D335" s="12"/>
      <c r="E335" s="12"/>
      <c r="F335" s="5"/>
      <c r="G335" s="5"/>
      <c r="H335" s="5"/>
      <c r="I335" s="5"/>
      <c r="J335" s="5"/>
      <c r="K335" s="5"/>
      <c r="L335" s="5"/>
      <c r="M335" s="5"/>
      <c r="N335" s="5"/>
      <c r="O335" s="5"/>
      <c r="P335" s="5"/>
      <c r="Q335" s="5"/>
      <c r="R335" s="5"/>
      <c r="S335" s="5"/>
      <c r="T335" s="5"/>
      <c r="U335" s="5"/>
      <c r="V335" s="5"/>
      <c r="W335" s="5"/>
      <c r="X335" s="5"/>
      <c r="Y335" s="5"/>
    </row>
    <row r="336" spans="1:25">
      <c r="A336" s="5"/>
      <c r="B336" s="5"/>
      <c r="C336" s="12"/>
      <c r="D336" s="12"/>
      <c r="E336" s="12"/>
      <c r="F336" s="5"/>
      <c r="G336" s="5"/>
      <c r="H336" s="5"/>
      <c r="I336" s="5"/>
      <c r="J336" s="5"/>
      <c r="K336" s="5"/>
      <c r="L336" s="5"/>
      <c r="M336" s="5"/>
      <c r="N336" s="5"/>
      <c r="O336" s="5"/>
      <c r="P336" s="5"/>
      <c r="Q336" s="5"/>
      <c r="R336" s="5"/>
      <c r="S336" s="5"/>
      <c r="T336" s="5"/>
      <c r="U336" s="5"/>
      <c r="V336" s="5"/>
      <c r="W336" s="5"/>
      <c r="X336" s="5"/>
      <c r="Y336" s="5"/>
    </row>
    <row r="337" spans="1:25">
      <c r="A337" s="5"/>
      <c r="B337" s="5"/>
      <c r="C337" s="12"/>
      <c r="D337" s="12"/>
      <c r="E337" s="12"/>
      <c r="F337" s="5"/>
      <c r="G337" s="5"/>
      <c r="H337" s="5"/>
      <c r="I337" s="5"/>
      <c r="J337" s="5"/>
      <c r="K337" s="5"/>
      <c r="L337" s="5"/>
      <c r="M337" s="5"/>
      <c r="N337" s="5"/>
      <c r="O337" s="5"/>
      <c r="P337" s="5"/>
      <c r="Q337" s="5"/>
      <c r="R337" s="5"/>
      <c r="S337" s="5"/>
      <c r="T337" s="5"/>
      <c r="U337" s="5"/>
      <c r="V337" s="5"/>
      <c r="W337" s="5"/>
      <c r="X337" s="5"/>
      <c r="Y337" s="5"/>
    </row>
    <row r="338" spans="1:25">
      <c r="A338" s="5"/>
      <c r="B338" s="5"/>
      <c r="C338" s="12"/>
      <c r="D338" s="12"/>
      <c r="E338" s="12"/>
      <c r="F338" s="5"/>
      <c r="G338" s="5"/>
      <c r="H338" s="5"/>
      <c r="I338" s="5"/>
      <c r="J338" s="5"/>
      <c r="K338" s="5"/>
      <c r="L338" s="5"/>
      <c r="M338" s="5"/>
      <c r="N338" s="5"/>
      <c r="O338" s="5"/>
      <c r="P338" s="5"/>
      <c r="Q338" s="5"/>
      <c r="R338" s="5"/>
      <c r="S338" s="5"/>
      <c r="T338" s="5"/>
      <c r="U338" s="5"/>
      <c r="V338" s="5"/>
      <c r="W338" s="5"/>
      <c r="X338" s="5"/>
      <c r="Y338" s="5"/>
    </row>
    <row r="339" spans="1:25">
      <c r="A339" s="5"/>
      <c r="B339" s="5"/>
      <c r="C339" s="12"/>
      <c r="D339" s="12"/>
      <c r="E339" s="12"/>
      <c r="F339" s="5"/>
      <c r="G339" s="5"/>
      <c r="H339" s="5"/>
      <c r="I339" s="5"/>
      <c r="J339" s="5"/>
      <c r="K339" s="5"/>
      <c r="L339" s="5"/>
      <c r="M339" s="5"/>
      <c r="N339" s="5"/>
      <c r="O339" s="5"/>
      <c r="P339" s="5"/>
      <c r="Q339" s="5"/>
      <c r="R339" s="5"/>
      <c r="S339" s="5"/>
      <c r="T339" s="5"/>
      <c r="U339" s="5"/>
      <c r="V339" s="5"/>
      <c r="W339" s="5"/>
      <c r="X339" s="5"/>
      <c r="Y339" s="5"/>
    </row>
    <row r="340" spans="1:25">
      <c r="A340" s="5"/>
      <c r="B340" s="5"/>
      <c r="C340" s="12"/>
      <c r="D340" s="12"/>
      <c r="E340" s="12"/>
      <c r="F340" s="5"/>
      <c r="G340" s="5"/>
      <c r="H340" s="5"/>
      <c r="I340" s="5"/>
      <c r="J340" s="5"/>
      <c r="K340" s="5"/>
      <c r="L340" s="5"/>
      <c r="M340" s="5"/>
      <c r="N340" s="5"/>
      <c r="O340" s="5"/>
      <c r="P340" s="5"/>
      <c r="Q340" s="5"/>
      <c r="R340" s="5"/>
      <c r="S340" s="5"/>
      <c r="T340" s="5"/>
      <c r="U340" s="5"/>
      <c r="V340" s="5"/>
      <c r="W340" s="5"/>
      <c r="X340" s="5"/>
      <c r="Y340" s="5"/>
    </row>
    <row r="341" spans="1:25">
      <c r="A341" s="5"/>
      <c r="B341" s="5"/>
      <c r="C341" s="12"/>
      <c r="D341" s="12"/>
      <c r="E341" s="12"/>
      <c r="F341" s="5"/>
      <c r="G341" s="5"/>
      <c r="H341" s="5"/>
      <c r="I341" s="5"/>
      <c r="J341" s="5"/>
      <c r="K341" s="5"/>
      <c r="L341" s="5"/>
      <c r="M341" s="5"/>
      <c r="N341" s="5"/>
      <c r="O341" s="5"/>
      <c r="P341" s="5"/>
      <c r="Q341" s="5"/>
      <c r="R341" s="5"/>
      <c r="S341" s="5"/>
      <c r="T341" s="5"/>
      <c r="U341" s="5"/>
      <c r="V341" s="5"/>
      <c r="W341" s="5"/>
      <c r="X341" s="5"/>
      <c r="Y341" s="5"/>
    </row>
    <row r="342" spans="1:25">
      <c r="A342" s="5"/>
      <c r="B342" s="5"/>
      <c r="C342" s="12"/>
      <c r="D342" s="12"/>
      <c r="E342" s="12"/>
      <c r="F342" s="5"/>
      <c r="G342" s="5"/>
      <c r="H342" s="5"/>
      <c r="I342" s="5"/>
      <c r="J342" s="5"/>
      <c r="K342" s="5"/>
      <c r="L342" s="5"/>
      <c r="M342" s="5"/>
      <c r="N342" s="5"/>
      <c r="O342" s="5"/>
      <c r="P342" s="5"/>
      <c r="Q342" s="5"/>
      <c r="R342" s="5"/>
      <c r="S342" s="5"/>
      <c r="T342" s="5"/>
      <c r="U342" s="5"/>
      <c r="V342" s="5"/>
      <c r="W342" s="5"/>
      <c r="X342" s="5"/>
      <c r="Y342" s="5"/>
    </row>
    <row r="343" spans="1:25">
      <c r="A343" s="5"/>
      <c r="B343" s="5"/>
      <c r="C343" s="12"/>
      <c r="D343" s="12"/>
      <c r="E343" s="12"/>
      <c r="F343" s="5"/>
      <c r="G343" s="5"/>
      <c r="H343" s="5"/>
      <c r="I343" s="5"/>
      <c r="J343" s="5"/>
      <c r="K343" s="5"/>
      <c r="L343" s="5"/>
      <c r="M343" s="5"/>
      <c r="N343" s="5"/>
      <c r="O343" s="5"/>
      <c r="P343" s="5"/>
      <c r="Q343" s="5"/>
      <c r="R343" s="5"/>
      <c r="S343" s="5"/>
      <c r="T343" s="5"/>
      <c r="U343" s="5"/>
      <c r="V343" s="5"/>
      <c r="W343" s="5"/>
      <c r="X343" s="5"/>
      <c r="Y343" s="5"/>
    </row>
    <row r="344" spans="1:25">
      <c r="A344" s="5"/>
      <c r="B344" s="5"/>
      <c r="C344" s="12"/>
      <c r="D344" s="12"/>
      <c r="E344" s="12"/>
      <c r="F344" s="5"/>
      <c r="G344" s="5"/>
      <c r="H344" s="5"/>
      <c r="I344" s="5"/>
      <c r="J344" s="5"/>
      <c r="K344" s="5"/>
      <c r="L344" s="5"/>
      <c r="M344" s="5"/>
      <c r="N344" s="5"/>
      <c r="O344" s="5"/>
      <c r="P344" s="5"/>
      <c r="Q344" s="5"/>
      <c r="R344" s="5"/>
      <c r="S344" s="5"/>
      <c r="T344" s="5"/>
      <c r="U344" s="5"/>
      <c r="V344" s="5"/>
      <c r="W344" s="5"/>
      <c r="X344" s="5"/>
      <c r="Y344" s="5"/>
    </row>
    <row r="345" spans="1:25">
      <c r="A345" s="5"/>
      <c r="B345" s="5"/>
      <c r="C345" s="12"/>
      <c r="D345" s="12"/>
      <c r="E345" s="12"/>
      <c r="F345" s="5"/>
      <c r="G345" s="5"/>
      <c r="H345" s="5"/>
      <c r="I345" s="5"/>
      <c r="J345" s="5"/>
      <c r="K345" s="5"/>
      <c r="L345" s="5"/>
      <c r="M345" s="5"/>
      <c r="N345" s="5"/>
      <c r="O345" s="5"/>
      <c r="P345" s="5"/>
      <c r="Q345" s="5"/>
      <c r="R345" s="5"/>
      <c r="S345" s="5"/>
      <c r="T345" s="5"/>
      <c r="U345" s="5"/>
      <c r="V345" s="5"/>
      <c r="W345" s="5"/>
      <c r="X345" s="5"/>
      <c r="Y345" s="5"/>
    </row>
    <row r="346" spans="1:25">
      <c r="A346" s="5"/>
      <c r="B346" s="5"/>
      <c r="C346" s="12"/>
      <c r="D346" s="12"/>
      <c r="E346" s="12"/>
      <c r="F346" s="5"/>
      <c r="G346" s="5"/>
      <c r="H346" s="5"/>
      <c r="I346" s="5"/>
      <c r="J346" s="5"/>
      <c r="K346" s="5"/>
      <c r="L346" s="5"/>
      <c r="M346" s="5"/>
      <c r="N346" s="5"/>
      <c r="O346" s="5"/>
      <c r="P346" s="5"/>
      <c r="Q346" s="5"/>
      <c r="R346" s="5"/>
      <c r="S346" s="5"/>
      <c r="T346" s="5"/>
      <c r="U346" s="5"/>
      <c r="V346" s="5"/>
      <c r="W346" s="5"/>
      <c r="X346" s="5"/>
      <c r="Y346" s="5"/>
    </row>
    <row r="347" spans="1:25">
      <c r="A347" s="5"/>
      <c r="B347" s="5"/>
      <c r="C347" s="12"/>
      <c r="D347" s="12"/>
      <c r="E347" s="12"/>
      <c r="F347" s="5"/>
      <c r="G347" s="5"/>
      <c r="H347" s="5"/>
      <c r="I347" s="5"/>
      <c r="J347" s="5"/>
      <c r="K347" s="5"/>
      <c r="L347" s="5"/>
      <c r="M347" s="5"/>
      <c r="N347" s="5"/>
      <c r="O347" s="5"/>
      <c r="P347" s="5"/>
      <c r="Q347" s="5"/>
      <c r="R347" s="5"/>
      <c r="S347" s="5"/>
      <c r="T347" s="5"/>
      <c r="U347" s="5"/>
      <c r="V347" s="5"/>
      <c r="W347" s="5"/>
      <c r="X347" s="5"/>
      <c r="Y347" s="5"/>
    </row>
    <row r="348" spans="1:25">
      <c r="A348" s="5"/>
      <c r="B348" s="5"/>
      <c r="C348" s="12"/>
      <c r="D348" s="12"/>
      <c r="E348" s="12"/>
      <c r="F348" s="5"/>
      <c r="G348" s="5"/>
      <c r="H348" s="5"/>
      <c r="I348" s="5"/>
      <c r="J348" s="5"/>
      <c r="K348" s="5"/>
      <c r="L348" s="5"/>
      <c r="M348" s="5"/>
      <c r="N348" s="5"/>
      <c r="O348" s="5"/>
      <c r="P348" s="5"/>
      <c r="Q348" s="5"/>
      <c r="R348" s="5"/>
      <c r="S348" s="5"/>
      <c r="T348" s="5"/>
      <c r="U348" s="5"/>
      <c r="V348" s="5"/>
      <c r="W348" s="5"/>
      <c r="X348" s="5"/>
      <c r="Y348" s="5"/>
    </row>
    <row r="349" spans="1:25">
      <c r="A349" s="5"/>
      <c r="B349" s="5"/>
      <c r="C349" s="12"/>
      <c r="D349" s="12"/>
      <c r="E349" s="12"/>
      <c r="F349" s="5"/>
      <c r="G349" s="5"/>
      <c r="H349" s="5"/>
      <c r="I349" s="5"/>
      <c r="J349" s="5"/>
      <c r="K349" s="5"/>
      <c r="L349" s="5"/>
      <c r="M349" s="5"/>
      <c r="N349" s="5"/>
      <c r="O349" s="5"/>
      <c r="P349" s="5"/>
      <c r="Q349" s="5"/>
      <c r="R349" s="5"/>
      <c r="S349" s="5"/>
      <c r="T349" s="5"/>
      <c r="U349" s="5"/>
      <c r="V349" s="5"/>
      <c r="W349" s="5"/>
      <c r="X349" s="5"/>
      <c r="Y349" s="5"/>
    </row>
    <row r="350" spans="1:25">
      <c r="A350" s="5"/>
      <c r="B350" s="5"/>
      <c r="C350" s="12"/>
      <c r="D350" s="12"/>
      <c r="E350" s="12"/>
      <c r="F350" s="5"/>
      <c r="G350" s="5"/>
      <c r="H350" s="5"/>
      <c r="I350" s="5"/>
      <c r="J350" s="5"/>
      <c r="K350" s="5"/>
      <c r="L350" s="5"/>
      <c r="M350" s="5"/>
      <c r="N350" s="5"/>
      <c r="O350" s="5"/>
      <c r="P350" s="5"/>
      <c r="Q350" s="5"/>
      <c r="R350" s="5"/>
      <c r="S350" s="5"/>
      <c r="T350" s="5"/>
      <c r="U350" s="5"/>
      <c r="V350" s="5"/>
      <c r="W350" s="5"/>
      <c r="X350" s="5"/>
      <c r="Y350" s="5"/>
    </row>
    <row r="351" spans="1:25">
      <c r="A351" s="5"/>
      <c r="B351" s="5"/>
      <c r="C351" s="12"/>
      <c r="D351" s="12"/>
      <c r="E351" s="12"/>
      <c r="F351" s="5"/>
      <c r="G351" s="5"/>
      <c r="H351" s="5"/>
      <c r="I351" s="5"/>
      <c r="J351" s="5"/>
      <c r="K351" s="5"/>
      <c r="L351" s="5"/>
      <c r="M351" s="5"/>
      <c r="N351" s="5"/>
      <c r="O351" s="5"/>
      <c r="P351" s="5"/>
      <c r="Q351" s="5"/>
      <c r="R351" s="5"/>
      <c r="S351" s="5"/>
      <c r="T351" s="5"/>
      <c r="U351" s="5"/>
      <c r="V351" s="5"/>
      <c r="W351" s="5"/>
      <c r="X351" s="5"/>
      <c r="Y351" s="5"/>
    </row>
    <row r="352" spans="1:25">
      <c r="A352" s="5"/>
      <c r="B352" s="5"/>
      <c r="C352" s="12"/>
      <c r="D352" s="12"/>
      <c r="E352" s="12"/>
      <c r="F352" s="5"/>
      <c r="G352" s="5"/>
      <c r="H352" s="5"/>
      <c r="I352" s="5"/>
      <c r="J352" s="5"/>
      <c r="K352" s="5"/>
      <c r="L352" s="5"/>
      <c r="M352" s="5"/>
      <c r="N352" s="5"/>
      <c r="O352" s="5"/>
      <c r="P352" s="5"/>
      <c r="Q352" s="5"/>
      <c r="R352" s="5"/>
      <c r="S352" s="5"/>
      <c r="T352" s="5"/>
      <c r="U352" s="5"/>
      <c r="V352" s="5"/>
      <c r="W352" s="5"/>
      <c r="X352" s="5"/>
      <c r="Y352" s="5"/>
    </row>
    <row r="353" spans="1:25">
      <c r="A353" s="5"/>
      <c r="B353" s="5"/>
      <c r="C353" s="12"/>
      <c r="D353" s="12"/>
      <c r="E353" s="12"/>
      <c r="F353" s="5"/>
      <c r="G353" s="5"/>
      <c r="H353" s="5"/>
      <c r="I353" s="5"/>
      <c r="J353" s="5"/>
      <c r="K353" s="5"/>
      <c r="L353" s="5"/>
      <c r="M353" s="5"/>
      <c r="N353" s="5"/>
      <c r="O353" s="5"/>
      <c r="P353" s="5"/>
      <c r="Q353" s="5"/>
      <c r="R353" s="5"/>
      <c r="S353" s="5"/>
      <c r="T353" s="5"/>
      <c r="U353" s="5"/>
      <c r="V353" s="5"/>
      <c r="W353" s="5"/>
      <c r="X353" s="5"/>
      <c r="Y353" s="5"/>
    </row>
    <row r="354" spans="1:25">
      <c r="A354" s="5"/>
      <c r="B354" s="5"/>
      <c r="C354" s="12"/>
      <c r="D354" s="12"/>
      <c r="E354" s="12"/>
      <c r="F354" s="5"/>
      <c r="G354" s="5"/>
      <c r="H354" s="5"/>
      <c r="I354" s="5"/>
      <c r="J354" s="5"/>
      <c r="K354" s="5"/>
      <c r="L354" s="5"/>
      <c r="M354" s="5"/>
      <c r="N354" s="5"/>
      <c r="O354" s="5"/>
      <c r="P354" s="5"/>
      <c r="Q354" s="5"/>
      <c r="R354" s="5"/>
      <c r="S354" s="5"/>
      <c r="T354" s="5"/>
      <c r="U354" s="5"/>
      <c r="V354" s="5"/>
      <c r="W354" s="5"/>
      <c r="X354" s="5"/>
      <c r="Y354" s="5"/>
    </row>
    <row r="355" spans="1:25">
      <c r="A355" s="5"/>
      <c r="B355" s="5"/>
      <c r="C355" s="12"/>
      <c r="D355" s="12"/>
      <c r="E355" s="12"/>
      <c r="F355" s="5"/>
      <c r="G355" s="5"/>
      <c r="H355" s="5"/>
      <c r="I355" s="5"/>
      <c r="J355" s="5"/>
      <c r="K355" s="5"/>
      <c r="L355" s="5"/>
      <c r="M355" s="5"/>
      <c r="N355" s="5"/>
      <c r="O355" s="5"/>
      <c r="P355" s="5"/>
      <c r="Q355" s="5"/>
      <c r="R355" s="5"/>
      <c r="S355" s="5"/>
      <c r="T355" s="5"/>
      <c r="U355" s="5"/>
      <c r="V355" s="5"/>
      <c r="W355" s="5"/>
      <c r="X355" s="5"/>
      <c r="Y355" s="5"/>
    </row>
    <row r="356" spans="1:25">
      <c r="A356" s="5"/>
      <c r="B356" s="5"/>
      <c r="C356" s="12"/>
      <c r="D356" s="12"/>
      <c r="E356" s="12"/>
      <c r="F356" s="5"/>
      <c r="G356" s="5"/>
      <c r="H356" s="5"/>
      <c r="I356" s="5"/>
      <c r="J356" s="5"/>
      <c r="K356" s="5"/>
      <c r="L356" s="5"/>
      <c r="M356" s="5"/>
      <c r="N356" s="5"/>
      <c r="O356" s="5"/>
      <c r="P356" s="5"/>
      <c r="Q356" s="5"/>
      <c r="R356" s="5"/>
      <c r="S356" s="5"/>
      <c r="T356" s="5"/>
      <c r="U356" s="5"/>
      <c r="V356" s="5"/>
      <c r="W356" s="5"/>
      <c r="X356" s="5"/>
      <c r="Y356" s="5"/>
    </row>
    <row r="357" spans="1:25">
      <c r="A357" s="5"/>
      <c r="B357" s="5"/>
      <c r="C357" s="12"/>
      <c r="D357" s="12"/>
      <c r="E357" s="12"/>
      <c r="F357" s="5"/>
      <c r="G357" s="5"/>
      <c r="H357" s="5"/>
      <c r="I357" s="5"/>
      <c r="J357" s="5"/>
      <c r="K357" s="5"/>
      <c r="L357" s="5"/>
      <c r="M357" s="5"/>
      <c r="N357" s="5"/>
      <c r="O357" s="5"/>
      <c r="P357" s="5"/>
      <c r="Q357" s="5"/>
      <c r="R357" s="5"/>
      <c r="S357" s="5"/>
      <c r="T357" s="5"/>
      <c r="U357" s="5"/>
      <c r="V357" s="5"/>
      <c r="W357" s="5"/>
      <c r="X357" s="5"/>
      <c r="Y357" s="5"/>
    </row>
    <row r="358" spans="1:25">
      <c r="A358" s="5"/>
      <c r="B358" s="5"/>
      <c r="C358" s="12"/>
      <c r="D358" s="12"/>
      <c r="E358" s="12"/>
      <c r="F358" s="5"/>
      <c r="G358" s="5"/>
      <c r="H358" s="5"/>
      <c r="I358" s="5"/>
      <c r="J358" s="5"/>
      <c r="K358" s="5"/>
      <c r="L358" s="5"/>
      <c r="M358" s="5"/>
      <c r="N358" s="5"/>
      <c r="O358" s="5"/>
      <c r="P358" s="5"/>
      <c r="Q358" s="5"/>
      <c r="R358" s="5"/>
      <c r="S358" s="5"/>
      <c r="T358" s="5"/>
      <c r="U358" s="5"/>
      <c r="V358" s="5"/>
      <c r="W358" s="5"/>
      <c r="X358" s="5"/>
      <c r="Y358" s="5"/>
    </row>
    <row r="359" spans="1:25">
      <c r="A359" s="5"/>
      <c r="B359" s="5"/>
      <c r="C359" s="12"/>
      <c r="D359" s="12"/>
      <c r="E359" s="12"/>
      <c r="F359" s="5"/>
      <c r="G359" s="5"/>
      <c r="H359" s="5"/>
      <c r="I359" s="5"/>
      <c r="J359" s="5"/>
      <c r="K359" s="5"/>
      <c r="L359" s="5"/>
      <c r="M359" s="5"/>
      <c r="N359" s="5"/>
      <c r="O359" s="5"/>
      <c r="P359" s="5"/>
      <c r="Q359" s="5"/>
      <c r="R359" s="5"/>
      <c r="S359" s="5"/>
      <c r="T359" s="5"/>
      <c r="U359" s="5"/>
      <c r="V359" s="5"/>
      <c r="W359" s="5"/>
      <c r="X359" s="5"/>
      <c r="Y359" s="5"/>
    </row>
    <row r="360" spans="1:25">
      <c r="A360" s="5"/>
      <c r="B360" s="5"/>
      <c r="C360" s="12"/>
      <c r="D360" s="12"/>
      <c r="E360" s="12"/>
      <c r="F360" s="5"/>
      <c r="G360" s="5"/>
      <c r="H360" s="5"/>
      <c r="I360" s="5"/>
      <c r="J360" s="5"/>
      <c r="K360" s="5"/>
      <c r="L360" s="5"/>
      <c r="M360" s="5"/>
      <c r="N360" s="5"/>
      <c r="O360" s="5"/>
      <c r="P360" s="5"/>
      <c r="Q360" s="5"/>
      <c r="R360" s="5"/>
      <c r="S360" s="5"/>
      <c r="T360" s="5"/>
      <c r="U360" s="5"/>
      <c r="V360" s="5"/>
      <c r="W360" s="5"/>
      <c r="X360" s="5"/>
      <c r="Y360" s="5"/>
    </row>
    <row r="361" spans="1:25">
      <c r="A361" s="5"/>
      <c r="B361" s="5"/>
      <c r="C361" s="12"/>
      <c r="D361" s="12"/>
      <c r="E361" s="12"/>
      <c r="F361" s="5"/>
      <c r="G361" s="5"/>
      <c r="H361" s="5"/>
      <c r="I361" s="5"/>
      <c r="J361" s="5"/>
      <c r="K361" s="5"/>
      <c r="L361" s="5"/>
      <c r="M361" s="5"/>
      <c r="N361" s="5"/>
      <c r="O361" s="5"/>
      <c r="P361" s="5"/>
      <c r="Q361" s="5"/>
      <c r="R361" s="5"/>
      <c r="S361" s="5"/>
      <c r="T361" s="5"/>
      <c r="U361" s="5"/>
      <c r="V361" s="5"/>
      <c r="W361" s="5"/>
      <c r="X361" s="5"/>
      <c r="Y361" s="5"/>
    </row>
    <row r="362" spans="1:25">
      <c r="A362" s="5"/>
      <c r="B362" s="5"/>
      <c r="C362" s="12"/>
      <c r="D362" s="12"/>
      <c r="E362" s="12"/>
      <c r="F362" s="5"/>
      <c r="G362" s="5"/>
      <c r="H362" s="5"/>
      <c r="I362" s="5"/>
      <c r="J362" s="5"/>
      <c r="K362" s="5"/>
      <c r="L362" s="5"/>
      <c r="M362" s="5"/>
      <c r="N362" s="5"/>
      <c r="O362" s="5"/>
      <c r="P362" s="5"/>
      <c r="Q362" s="5"/>
      <c r="R362" s="5"/>
      <c r="S362" s="5"/>
      <c r="T362" s="5"/>
      <c r="U362" s="5"/>
      <c r="V362" s="5"/>
      <c r="W362" s="5"/>
      <c r="X362" s="5"/>
      <c r="Y362" s="5"/>
    </row>
    <row r="363" spans="1:25">
      <c r="A363" s="5"/>
      <c r="B363" s="5"/>
      <c r="C363" s="12"/>
      <c r="D363" s="12"/>
      <c r="E363" s="12"/>
      <c r="F363" s="5"/>
      <c r="G363" s="5"/>
      <c r="H363" s="5"/>
      <c r="I363" s="5"/>
      <c r="J363" s="5"/>
      <c r="K363" s="5"/>
      <c r="L363" s="5"/>
      <c r="M363" s="5"/>
      <c r="N363" s="5"/>
      <c r="O363" s="5"/>
      <c r="P363" s="5"/>
      <c r="Q363" s="5"/>
      <c r="R363" s="5"/>
      <c r="S363" s="5"/>
      <c r="T363" s="5"/>
      <c r="U363" s="5"/>
      <c r="V363" s="5"/>
      <c r="W363" s="5"/>
      <c r="X363" s="5"/>
      <c r="Y363" s="5"/>
    </row>
    <row r="364" spans="1:25">
      <c r="A364" s="5"/>
      <c r="B364" s="5"/>
      <c r="C364" s="12"/>
      <c r="D364" s="12"/>
      <c r="E364" s="12"/>
      <c r="F364" s="5"/>
      <c r="G364" s="5"/>
      <c r="H364" s="5"/>
      <c r="I364" s="5"/>
      <c r="J364" s="5"/>
      <c r="K364" s="5"/>
      <c r="L364" s="5"/>
      <c r="M364" s="5"/>
      <c r="N364" s="5"/>
      <c r="O364" s="5"/>
      <c r="P364" s="5"/>
      <c r="Q364" s="5"/>
      <c r="R364" s="5"/>
      <c r="S364" s="5"/>
      <c r="T364" s="5"/>
      <c r="U364" s="5"/>
      <c r="V364" s="5"/>
      <c r="W364" s="5"/>
      <c r="X364" s="5"/>
      <c r="Y364" s="5"/>
    </row>
    <row r="365" spans="1:25">
      <c r="A365" s="5"/>
      <c r="B365" s="5"/>
      <c r="C365" s="12"/>
      <c r="D365" s="12"/>
      <c r="E365" s="12"/>
      <c r="F365" s="5"/>
      <c r="G365" s="5"/>
      <c r="H365" s="5"/>
      <c r="I365" s="5"/>
      <c r="J365" s="5"/>
      <c r="K365" s="5"/>
      <c r="L365" s="5"/>
      <c r="M365" s="5"/>
      <c r="N365" s="5"/>
      <c r="O365" s="5"/>
      <c r="P365" s="5"/>
      <c r="Q365" s="5"/>
      <c r="R365" s="5"/>
      <c r="S365" s="5"/>
      <c r="T365" s="5"/>
      <c r="U365" s="5"/>
      <c r="V365" s="5"/>
      <c r="W365" s="5"/>
      <c r="X365" s="5"/>
      <c r="Y365" s="5"/>
    </row>
    <row r="366" spans="1:25">
      <c r="A366" s="5"/>
      <c r="B366" s="5"/>
      <c r="C366" s="12"/>
      <c r="D366" s="12"/>
      <c r="E366" s="12"/>
      <c r="F366" s="5"/>
      <c r="G366" s="5"/>
      <c r="H366" s="5"/>
      <c r="I366" s="5"/>
      <c r="J366" s="5"/>
      <c r="K366" s="5"/>
      <c r="L366" s="5"/>
      <c r="M366" s="5"/>
      <c r="N366" s="5"/>
      <c r="O366" s="5"/>
      <c r="P366" s="5"/>
      <c r="Q366" s="5"/>
      <c r="R366" s="5"/>
      <c r="S366" s="5"/>
      <c r="T366" s="5"/>
      <c r="U366" s="5"/>
      <c r="V366" s="5"/>
      <c r="W366" s="5"/>
      <c r="X366" s="5"/>
      <c r="Y366" s="5"/>
    </row>
    <row r="367" spans="1:25">
      <c r="A367" s="5"/>
      <c r="B367" s="5"/>
      <c r="C367" s="12"/>
      <c r="D367" s="12"/>
      <c r="E367" s="12"/>
      <c r="F367" s="5"/>
      <c r="G367" s="5"/>
      <c r="H367" s="5"/>
      <c r="I367" s="5"/>
      <c r="J367" s="5"/>
      <c r="K367" s="5"/>
      <c r="L367" s="5"/>
      <c r="M367" s="5"/>
      <c r="N367" s="5"/>
      <c r="O367" s="5"/>
      <c r="P367" s="5"/>
      <c r="Q367" s="5"/>
      <c r="R367" s="5"/>
      <c r="S367" s="5"/>
      <c r="T367" s="5"/>
      <c r="U367" s="5"/>
      <c r="V367" s="5"/>
      <c r="W367" s="5"/>
      <c r="X367" s="5"/>
      <c r="Y367" s="5"/>
    </row>
    <row r="368" spans="1:25">
      <c r="A368" s="5"/>
      <c r="B368" s="5"/>
      <c r="C368" s="12"/>
      <c r="D368" s="12"/>
      <c r="E368" s="12"/>
      <c r="F368" s="5"/>
      <c r="G368" s="5"/>
      <c r="H368" s="5"/>
      <c r="I368" s="5"/>
      <c r="J368" s="5"/>
      <c r="K368" s="5"/>
      <c r="L368" s="5"/>
      <c r="M368" s="5"/>
      <c r="N368" s="5"/>
      <c r="O368" s="5"/>
      <c r="P368" s="5"/>
      <c r="Q368" s="5"/>
      <c r="R368" s="5"/>
      <c r="S368" s="5"/>
      <c r="T368" s="5"/>
      <c r="U368" s="5"/>
      <c r="V368" s="5"/>
      <c r="W368" s="5"/>
      <c r="X368" s="5"/>
      <c r="Y368" s="5"/>
    </row>
    <row r="369" spans="1:25">
      <c r="A369" s="5"/>
      <c r="B369" s="5"/>
      <c r="C369" s="12"/>
      <c r="D369" s="12"/>
      <c r="E369" s="12"/>
      <c r="F369" s="5"/>
      <c r="G369" s="5"/>
      <c r="H369" s="5"/>
      <c r="I369" s="5"/>
      <c r="J369" s="5"/>
      <c r="K369" s="5"/>
      <c r="L369" s="5"/>
      <c r="M369" s="5"/>
      <c r="N369" s="5"/>
      <c r="O369" s="5"/>
      <c r="P369" s="5"/>
      <c r="Q369" s="5"/>
      <c r="R369" s="5"/>
      <c r="S369" s="5"/>
      <c r="T369" s="5"/>
      <c r="U369" s="5"/>
      <c r="V369" s="5"/>
      <c r="W369" s="5"/>
      <c r="X369" s="5"/>
      <c r="Y369" s="5"/>
    </row>
    <row r="370" spans="1:25">
      <c r="A370" s="5"/>
      <c r="B370" s="5"/>
      <c r="C370" s="12"/>
      <c r="D370" s="12"/>
      <c r="E370" s="12"/>
      <c r="F370" s="5"/>
      <c r="G370" s="5"/>
      <c r="H370" s="5"/>
      <c r="I370" s="5"/>
      <c r="J370" s="5"/>
      <c r="K370" s="5"/>
      <c r="L370" s="5"/>
      <c r="M370" s="5"/>
      <c r="N370" s="5"/>
      <c r="O370" s="5"/>
      <c r="P370" s="5"/>
      <c r="Q370" s="5"/>
      <c r="R370" s="5"/>
      <c r="S370" s="5"/>
      <c r="T370" s="5"/>
      <c r="U370" s="5"/>
      <c r="V370" s="5"/>
      <c r="W370" s="5"/>
      <c r="X370" s="5"/>
      <c r="Y370" s="5"/>
    </row>
    <row r="371" spans="1:25">
      <c r="A371" s="5"/>
      <c r="B371" s="5"/>
      <c r="C371" s="12"/>
      <c r="D371" s="12"/>
      <c r="E371" s="12"/>
      <c r="F371" s="5"/>
      <c r="G371" s="5"/>
      <c r="H371" s="5"/>
      <c r="I371" s="5"/>
      <c r="J371" s="5"/>
      <c r="K371" s="5"/>
      <c r="L371" s="5"/>
      <c r="M371" s="5"/>
      <c r="N371" s="5"/>
      <c r="O371" s="5"/>
      <c r="P371" s="5"/>
      <c r="Q371" s="5"/>
      <c r="R371" s="5"/>
      <c r="S371" s="5"/>
      <c r="T371" s="5"/>
      <c r="U371" s="5"/>
      <c r="V371" s="5"/>
      <c r="W371" s="5"/>
      <c r="X371" s="5"/>
      <c r="Y371" s="5"/>
    </row>
    <row r="372" spans="1:25">
      <c r="A372" s="5"/>
      <c r="B372" s="5"/>
      <c r="C372" s="12"/>
      <c r="D372" s="12"/>
      <c r="E372" s="12"/>
      <c r="F372" s="5"/>
      <c r="G372" s="5"/>
      <c r="H372" s="5"/>
      <c r="I372" s="5"/>
      <c r="J372" s="5"/>
      <c r="K372" s="5"/>
      <c r="L372" s="5"/>
      <c r="M372" s="5"/>
      <c r="N372" s="5"/>
      <c r="O372" s="5"/>
      <c r="P372" s="5"/>
      <c r="Q372" s="5"/>
      <c r="R372" s="5"/>
      <c r="S372" s="5"/>
      <c r="T372" s="5"/>
      <c r="U372" s="5"/>
      <c r="V372" s="5"/>
      <c r="W372" s="5"/>
      <c r="X372" s="5"/>
      <c r="Y372" s="5"/>
    </row>
    <row r="373" spans="1:25">
      <c r="A373" s="5"/>
      <c r="B373" s="5"/>
      <c r="C373" s="12"/>
      <c r="D373" s="12"/>
      <c r="E373" s="12"/>
      <c r="F373" s="5"/>
      <c r="G373" s="5"/>
      <c r="H373" s="5"/>
      <c r="I373" s="5"/>
      <c r="J373" s="5"/>
      <c r="K373" s="5"/>
      <c r="L373" s="5"/>
      <c r="M373" s="5"/>
      <c r="N373" s="5"/>
      <c r="O373" s="5"/>
      <c r="P373" s="5"/>
      <c r="Q373" s="5"/>
      <c r="R373" s="5"/>
      <c r="S373" s="5"/>
      <c r="T373" s="5"/>
      <c r="U373" s="5"/>
      <c r="V373" s="5"/>
      <c r="W373" s="5"/>
      <c r="X373" s="5"/>
      <c r="Y373" s="5"/>
    </row>
    <row r="374" spans="1:25">
      <c r="A374" s="5"/>
      <c r="B374" s="5"/>
      <c r="C374" s="12"/>
      <c r="D374" s="12"/>
      <c r="E374" s="12"/>
      <c r="F374" s="5"/>
      <c r="G374" s="5"/>
      <c r="H374" s="5"/>
      <c r="I374" s="5"/>
      <c r="J374" s="5"/>
      <c r="K374" s="5"/>
      <c r="L374" s="5"/>
      <c r="M374" s="5"/>
      <c r="N374" s="5"/>
      <c r="O374" s="5"/>
      <c r="P374" s="5"/>
      <c r="Q374" s="5"/>
      <c r="R374" s="5"/>
      <c r="S374" s="5"/>
      <c r="T374" s="5"/>
      <c r="U374" s="5"/>
      <c r="V374" s="5"/>
      <c r="W374" s="5"/>
      <c r="X374" s="5"/>
      <c r="Y374" s="5"/>
    </row>
    <row r="375" spans="1:25">
      <c r="A375" s="5"/>
      <c r="B375" s="5"/>
      <c r="C375" s="12"/>
      <c r="D375" s="12"/>
      <c r="E375" s="12"/>
      <c r="F375" s="5"/>
      <c r="G375" s="5"/>
      <c r="H375" s="5"/>
      <c r="I375" s="5"/>
      <c r="J375" s="5"/>
      <c r="K375" s="5"/>
      <c r="L375" s="5"/>
      <c r="M375" s="5"/>
      <c r="N375" s="5"/>
      <c r="O375" s="5"/>
      <c r="P375" s="5"/>
      <c r="Q375" s="5"/>
      <c r="R375" s="5"/>
      <c r="S375" s="5"/>
      <c r="T375" s="5"/>
      <c r="U375" s="5"/>
      <c r="V375" s="5"/>
      <c r="W375" s="5"/>
      <c r="X375" s="5"/>
      <c r="Y375" s="5"/>
    </row>
    <row r="376" spans="1:25">
      <c r="A376" s="5"/>
      <c r="B376" s="5"/>
      <c r="C376" s="12"/>
      <c r="D376" s="12"/>
      <c r="E376" s="12"/>
      <c r="F376" s="5"/>
      <c r="G376" s="5"/>
      <c r="H376" s="5"/>
      <c r="I376" s="5"/>
      <c r="J376" s="5"/>
      <c r="K376" s="5"/>
      <c r="L376" s="5"/>
      <c r="M376" s="5"/>
      <c r="N376" s="5"/>
      <c r="O376" s="5"/>
      <c r="P376" s="5"/>
      <c r="Q376" s="5"/>
      <c r="R376" s="5"/>
      <c r="S376" s="5"/>
      <c r="T376" s="5"/>
      <c r="U376" s="5"/>
      <c r="V376" s="5"/>
      <c r="W376" s="5"/>
      <c r="X376" s="5"/>
      <c r="Y376" s="5"/>
    </row>
    <row r="377" spans="1:25">
      <c r="A377" s="5"/>
      <c r="B377" s="5"/>
      <c r="C377" s="12"/>
      <c r="D377" s="12"/>
      <c r="E377" s="12"/>
      <c r="F377" s="5"/>
      <c r="G377" s="5"/>
      <c r="H377" s="5"/>
      <c r="I377" s="5"/>
      <c r="J377" s="5"/>
      <c r="K377" s="5"/>
      <c r="L377" s="5"/>
      <c r="M377" s="5"/>
      <c r="N377" s="5"/>
      <c r="O377" s="5"/>
      <c r="P377" s="5"/>
      <c r="Q377" s="5"/>
      <c r="R377" s="5"/>
      <c r="S377" s="5"/>
      <c r="T377" s="5"/>
      <c r="U377" s="5"/>
      <c r="V377" s="5"/>
      <c r="W377" s="5"/>
      <c r="X377" s="5"/>
      <c r="Y377" s="5"/>
    </row>
    <row r="378" spans="1:25">
      <c r="A378" s="5"/>
      <c r="B378" s="5"/>
      <c r="C378" s="12"/>
      <c r="D378" s="12"/>
      <c r="E378" s="12"/>
      <c r="F378" s="5"/>
      <c r="G378" s="5"/>
      <c r="H378" s="5"/>
      <c r="I378" s="5"/>
      <c r="J378" s="5"/>
      <c r="K378" s="5"/>
      <c r="L378" s="5"/>
      <c r="M378" s="5"/>
      <c r="N378" s="5"/>
      <c r="O378" s="5"/>
      <c r="P378" s="5"/>
      <c r="Q378" s="5"/>
      <c r="R378" s="5"/>
      <c r="S378" s="5"/>
      <c r="T378" s="5"/>
      <c r="U378" s="5"/>
      <c r="V378" s="5"/>
      <c r="W378" s="5"/>
      <c r="X378" s="5"/>
      <c r="Y378" s="5"/>
    </row>
    <row r="379" spans="1:25">
      <c r="A379" s="5"/>
      <c r="B379" s="5"/>
      <c r="C379" s="12"/>
      <c r="D379" s="12"/>
      <c r="E379" s="12"/>
      <c r="F379" s="5"/>
      <c r="G379" s="5"/>
      <c r="H379" s="5"/>
      <c r="I379" s="5"/>
      <c r="J379" s="5"/>
      <c r="K379" s="5"/>
      <c r="L379" s="5"/>
      <c r="M379" s="5"/>
      <c r="N379" s="5"/>
      <c r="O379" s="5"/>
      <c r="P379" s="5"/>
      <c r="Q379" s="5"/>
      <c r="R379" s="5"/>
      <c r="S379" s="5"/>
      <c r="T379" s="5"/>
      <c r="U379" s="5"/>
      <c r="V379" s="5"/>
      <c r="W379" s="5"/>
      <c r="X379" s="5"/>
      <c r="Y379" s="5"/>
    </row>
    <row r="380" spans="1:25">
      <c r="A380" s="5"/>
      <c r="B380" s="5"/>
      <c r="C380" s="12"/>
      <c r="D380" s="12"/>
      <c r="E380" s="12"/>
      <c r="F380" s="5"/>
      <c r="G380" s="5"/>
      <c r="H380" s="5"/>
      <c r="I380" s="5"/>
      <c r="J380" s="5"/>
      <c r="K380" s="5"/>
      <c r="L380" s="5"/>
      <c r="M380" s="5"/>
      <c r="N380" s="5"/>
      <c r="O380" s="5"/>
      <c r="P380" s="5"/>
      <c r="Q380" s="5"/>
      <c r="R380" s="5"/>
      <c r="S380" s="5"/>
      <c r="T380" s="5"/>
      <c r="U380" s="5"/>
      <c r="V380" s="5"/>
      <c r="W380" s="5"/>
      <c r="X380" s="5"/>
      <c r="Y380" s="5"/>
    </row>
    <row r="381" spans="1:25">
      <c r="A381" s="5"/>
      <c r="B381" s="5"/>
      <c r="C381" s="12"/>
      <c r="D381" s="12"/>
      <c r="E381" s="12"/>
      <c r="F381" s="5"/>
      <c r="G381" s="5"/>
      <c r="H381" s="5"/>
      <c r="I381" s="5"/>
      <c r="J381" s="5"/>
      <c r="K381" s="5"/>
      <c r="L381" s="5"/>
      <c r="M381" s="5"/>
      <c r="N381" s="5"/>
      <c r="O381" s="5"/>
      <c r="P381" s="5"/>
      <c r="Q381" s="5"/>
      <c r="R381" s="5"/>
      <c r="S381" s="5"/>
      <c r="T381" s="5"/>
      <c r="U381" s="5"/>
      <c r="V381" s="5"/>
      <c r="W381" s="5"/>
      <c r="X381" s="5"/>
      <c r="Y381" s="5"/>
    </row>
    <row r="382" spans="1:25">
      <c r="A382" s="5"/>
      <c r="B382" s="5"/>
      <c r="C382" s="12"/>
      <c r="D382" s="12"/>
      <c r="E382" s="12"/>
      <c r="F382" s="5"/>
      <c r="G382" s="5"/>
      <c r="H382" s="5"/>
      <c r="I382" s="5"/>
      <c r="J382" s="5"/>
      <c r="K382" s="5"/>
      <c r="L382" s="5"/>
      <c r="M382" s="5"/>
      <c r="N382" s="5"/>
      <c r="O382" s="5"/>
      <c r="P382" s="5"/>
      <c r="Q382" s="5"/>
      <c r="R382" s="5"/>
      <c r="S382" s="5"/>
      <c r="T382" s="5"/>
      <c r="U382" s="5"/>
      <c r="V382" s="5"/>
      <c r="W382" s="5"/>
      <c r="X382" s="5"/>
      <c r="Y382" s="5"/>
    </row>
    <row r="383" spans="1:25">
      <c r="A383" s="5"/>
      <c r="B383" s="5"/>
      <c r="C383" s="12"/>
      <c r="D383" s="12"/>
      <c r="E383" s="12"/>
      <c r="F383" s="5"/>
      <c r="G383" s="5"/>
      <c r="H383" s="5"/>
      <c r="I383" s="5"/>
      <c r="J383" s="5"/>
      <c r="K383" s="5"/>
      <c r="L383" s="5"/>
      <c r="M383" s="5"/>
      <c r="N383" s="5"/>
      <c r="O383" s="5"/>
      <c r="P383" s="5"/>
      <c r="Q383" s="5"/>
      <c r="R383" s="5"/>
      <c r="S383" s="5"/>
      <c r="T383" s="5"/>
      <c r="U383" s="5"/>
      <c r="V383" s="5"/>
      <c r="W383" s="5"/>
      <c r="X383" s="5"/>
      <c r="Y383" s="5"/>
    </row>
    <row r="384" spans="1:25">
      <c r="A384" s="5"/>
      <c r="B384" s="5"/>
      <c r="C384" s="12"/>
      <c r="D384" s="12"/>
      <c r="E384" s="12"/>
      <c r="F384" s="5"/>
      <c r="G384" s="5"/>
      <c r="H384" s="5"/>
      <c r="I384" s="5"/>
      <c r="J384" s="5"/>
      <c r="K384" s="5"/>
      <c r="L384" s="5"/>
      <c r="M384" s="5"/>
      <c r="N384" s="5"/>
      <c r="O384" s="5"/>
      <c r="P384" s="5"/>
      <c r="Q384" s="5"/>
      <c r="R384" s="5"/>
      <c r="S384" s="5"/>
      <c r="T384" s="5"/>
      <c r="U384" s="5"/>
      <c r="V384" s="5"/>
      <c r="W384" s="5"/>
      <c r="X384" s="5"/>
      <c r="Y384" s="5"/>
    </row>
    <row r="385" spans="1:25">
      <c r="A385" s="5"/>
      <c r="B385" s="5"/>
      <c r="C385" s="12"/>
      <c r="D385" s="12"/>
      <c r="E385" s="12"/>
      <c r="F385" s="5"/>
      <c r="G385" s="5"/>
      <c r="H385" s="5"/>
      <c r="I385" s="5"/>
      <c r="J385" s="5"/>
      <c r="K385" s="5"/>
      <c r="L385" s="5"/>
      <c r="M385" s="5"/>
      <c r="N385" s="5"/>
      <c r="O385" s="5"/>
      <c r="P385" s="5"/>
      <c r="Q385" s="5"/>
      <c r="R385" s="5"/>
      <c r="S385" s="5"/>
      <c r="T385" s="5"/>
      <c r="U385" s="5"/>
      <c r="V385" s="5"/>
      <c r="W385" s="5"/>
      <c r="X385" s="5"/>
      <c r="Y385" s="5"/>
    </row>
    <row r="386" spans="1:25">
      <c r="A386" s="5"/>
      <c r="B386" s="5"/>
      <c r="C386" s="12"/>
      <c r="D386" s="12"/>
      <c r="E386" s="12"/>
      <c r="F386" s="5"/>
      <c r="G386" s="5"/>
      <c r="H386" s="5"/>
      <c r="I386" s="5"/>
      <c r="J386" s="5"/>
      <c r="K386" s="5"/>
      <c r="L386" s="5"/>
      <c r="M386" s="5"/>
      <c r="N386" s="5"/>
      <c r="O386" s="5"/>
      <c r="P386" s="5"/>
      <c r="Q386" s="5"/>
      <c r="R386" s="5"/>
      <c r="S386" s="5"/>
      <c r="T386" s="5"/>
      <c r="U386" s="5"/>
      <c r="V386" s="5"/>
      <c r="W386" s="5"/>
      <c r="X386" s="5"/>
      <c r="Y386" s="5"/>
    </row>
    <row r="387" spans="1:25">
      <c r="A387" s="5"/>
      <c r="B387" s="5"/>
      <c r="C387" s="12"/>
      <c r="D387" s="12"/>
      <c r="E387" s="12"/>
      <c r="F387" s="5"/>
      <c r="G387" s="5"/>
      <c r="H387" s="5"/>
      <c r="I387" s="5"/>
      <c r="J387" s="5"/>
      <c r="K387" s="5"/>
      <c r="L387" s="5"/>
      <c r="M387" s="5"/>
      <c r="N387" s="5"/>
      <c r="O387" s="5"/>
      <c r="P387" s="5"/>
      <c r="Q387" s="5"/>
      <c r="R387" s="5"/>
      <c r="S387" s="5"/>
      <c r="T387" s="5"/>
      <c r="U387" s="5"/>
      <c r="V387" s="5"/>
      <c r="W387" s="5"/>
      <c r="X387" s="5"/>
      <c r="Y387" s="5"/>
    </row>
    <row r="388" spans="1:25">
      <c r="A388" s="5"/>
      <c r="B388" s="5"/>
      <c r="C388" s="12"/>
      <c r="D388" s="12"/>
      <c r="E388" s="12"/>
      <c r="F388" s="5"/>
      <c r="G388" s="5"/>
      <c r="H388" s="5"/>
      <c r="I388" s="5"/>
      <c r="J388" s="5"/>
      <c r="K388" s="5"/>
      <c r="L388" s="5"/>
      <c r="M388" s="5"/>
      <c r="N388" s="5"/>
      <c r="O388" s="5"/>
      <c r="P388" s="5"/>
      <c r="Q388" s="5"/>
      <c r="R388" s="5"/>
      <c r="S388" s="5"/>
      <c r="T388" s="5"/>
      <c r="U388" s="5"/>
      <c r="V388" s="5"/>
      <c r="W388" s="5"/>
      <c r="X388" s="5"/>
      <c r="Y388" s="5"/>
    </row>
    <row r="389" spans="1:25">
      <c r="A389" s="5"/>
      <c r="B389" s="5"/>
      <c r="C389" s="12"/>
      <c r="D389" s="12"/>
      <c r="E389" s="12"/>
      <c r="F389" s="5"/>
      <c r="G389" s="5"/>
      <c r="H389" s="5"/>
      <c r="I389" s="5"/>
      <c r="J389" s="5"/>
      <c r="K389" s="5"/>
      <c r="L389" s="5"/>
      <c r="M389" s="5"/>
      <c r="N389" s="5"/>
      <c r="O389" s="5"/>
      <c r="P389" s="5"/>
      <c r="Q389" s="5"/>
      <c r="R389" s="5"/>
      <c r="S389" s="5"/>
      <c r="T389" s="5"/>
      <c r="U389" s="5"/>
      <c r="V389" s="5"/>
      <c r="W389" s="5"/>
      <c r="X389" s="5"/>
      <c r="Y389" s="5"/>
    </row>
    <row r="390" spans="1:25">
      <c r="A390" s="5"/>
      <c r="B390" s="5"/>
      <c r="C390" s="12"/>
      <c r="D390" s="12"/>
      <c r="E390" s="12"/>
      <c r="F390" s="5"/>
      <c r="G390" s="5"/>
      <c r="H390" s="5"/>
      <c r="I390" s="5"/>
      <c r="J390" s="5"/>
      <c r="K390" s="5"/>
      <c r="L390" s="5"/>
      <c r="M390" s="5"/>
      <c r="N390" s="5"/>
      <c r="O390" s="5"/>
      <c r="P390" s="5"/>
      <c r="Q390" s="5"/>
      <c r="R390" s="5"/>
      <c r="S390" s="5"/>
      <c r="T390" s="5"/>
      <c r="U390" s="5"/>
      <c r="V390" s="5"/>
      <c r="W390" s="5"/>
      <c r="X390" s="5"/>
      <c r="Y390" s="5"/>
    </row>
    <row r="391" spans="1:25">
      <c r="A391" s="5"/>
      <c r="B391" s="5"/>
      <c r="C391" s="12"/>
      <c r="D391" s="12"/>
      <c r="E391" s="12"/>
      <c r="F391" s="5"/>
      <c r="G391" s="5"/>
      <c r="H391" s="5"/>
      <c r="I391" s="5"/>
      <c r="J391" s="5"/>
      <c r="K391" s="5"/>
      <c r="L391" s="5"/>
      <c r="M391" s="5"/>
      <c r="N391" s="5"/>
      <c r="O391" s="5"/>
      <c r="P391" s="5"/>
      <c r="Q391" s="5"/>
      <c r="R391" s="5"/>
      <c r="S391" s="5"/>
      <c r="T391" s="5"/>
      <c r="U391" s="5"/>
      <c r="V391" s="5"/>
      <c r="W391" s="5"/>
      <c r="X391" s="5"/>
      <c r="Y391" s="5"/>
    </row>
    <row r="392" spans="1:25">
      <c r="A392" s="5"/>
      <c r="B392" s="5"/>
      <c r="C392" s="12"/>
      <c r="D392" s="12"/>
      <c r="E392" s="12"/>
      <c r="F392" s="5"/>
      <c r="G392" s="5"/>
      <c r="H392" s="5"/>
      <c r="I392" s="5"/>
      <c r="J392" s="5"/>
      <c r="K392" s="5"/>
      <c r="L392" s="5"/>
      <c r="M392" s="5"/>
      <c r="N392" s="5"/>
      <c r="O392" s="5"/>
      <c r="P392" s="5"/>
      <c r="Q392" s="5"/>
      <c r="R392" s="5"/>
      <c r="S392" s="5"/>
      <c r="T392" s="5"/>
      <c r="U392" s="5"/>
      <c r="V392" s="5"/>
      <c r="W392" s="5"/>
      <c r="X392" s="5"/>
      <c r="Y392" s="5"/>
    </row>
    <row r="393" spans="1:25">
      <c r="A393" s="5"/>
      <c r="B393" s="5"/>
      <c r="C393" s="12"/>
      <c r="D393" s="12"/>
      <c r="E393" s="12"/>
      <c r="F393" s="5"/>
      <c r="G393" s="5"/>
      <c r="H393" s="5"/>
      <c r="I393" s="5"/>
      <c r="J393" s="5"/>
      <c r="K393" s="5"/>
      <c r="L393" s="5"/>
      <c r="M393" s="5"/>
      <c r="N393" s="5"/>
      <c r="O393" s="5"/>
      <c r="P393" s="5"/>
      <c r="Q393" s="5"/>
      <c r="R393" s="5"/>
      <c r="S393" s="5"/>
      <c r="T393" s="5"/>
      <c r="U393" s="5"/>
      <c r="V393" s="5"/>
      <c r="W393" s="5"/>
      <c r="X393" s="5"/>
      <c r="Y393" s="5"/>
    </row>
    <row r="394" spans="1:25">
      <c r="A394" s="5"/>
      <c r="B394" s="5"/>
      <c r="C394" s="12"/>
      <c r="D394" s="12"/>
      <c r="E394" s="12"/>
      <c r="F394" s="5"/>
      <c r="G394" s="5"/>
      <c r="H394" s="5"/>
      <c r="I394" s="5"/>
      <c r="J394" s="5"/>
      <c r="K394" s="5"/>
      <c r="L394" s="5"/>
      <c r="M394" s="5"/>
      <c r="N394" s="5"/>
      <c r="O394" s="5"/>
      <c r="P394" s="5"/>
      <c r="Q394" s="5"/>
      <c r="R394" s="5"/>
      <c r="S394" s="5"/>
      <c r="T394" s="5"/>
      <c r="U394" s="5"/>
      <c r="V394" s="5"/>
      <c r="W394" s="5"/>
      <c r="X394" s="5"/>
      <c r="Y394" s="5"/>
    </row>
    <row r="395" spans="1:25">
      <c r="A395" s="5"/>
      <c r="B395" s="5"/>
      <c r="C395" s="12"/>
      <c r="D395" s="12"/>
      <c r="E395" s="12"/>
      <c r="F395" s="5"/>
      <c r="G395" s="5"/>
      <c r="H395" s="5"/>
      <c r="I395" s="5"/>
      <c r="J395" s="5"/>
      <c r="K395" s="5"/>
      <c r="L395" s="5"/>
      <c r="M395" s="5"/>
      <c r="N395" s="5"/>
      <c r="O395" s="5"/>
      <c r="P395" s="5"/>
      <c r="Q395" s="5"/>
      <c r="R395" s="5"/>
      <c r="S395" s="5"/>
      <c r="T395" s="5"/>
      <c r="U395" s="5"/>
      <c r="V395" s="5"/>
      <c r="W395" s="5"/>
      <c r="X395" s="5"/>
      <c r="Y395" s="5"/>
    </row>
    <row r="396" spans="1:25">
      <c r="A396" s="5"/>
      <c r="B396" s="5"/>
      <c r="C396" s="12"/>
      <c r="D396" s="12"/>
      <c r="E396" s="12"/>
      <c r="F396" s="5"/>
      <c r="G396" s="5"/>
      <c r="H396" s="5"/>
      <c r="I396" s="5"/>
      <c r="J396" s="5"/>
      <c r="K396" s="5"/>
      <c r="L396" s="5"/>
      <c r="M396" s="5"/>
      <c r="N396" s="5"/>
      <c r="O396" s="5"/>
      <c r="P396" s="5"/>
      <c r="Q396" s="5"/>
      <c r="R396" s="5"/>
      <c r="S396" s="5"/>
      <c r="T396" s="5"/>
      <c r="U396" s="5"/>
      <c r="V396" s="5"/>
      <c r="W396" s="5"/>
      <c r="X396" s="5"/>
      <c r="Y396" s="5"/>
    </row>
    <row r="397" spans="1:25">
      <c r="A397" s="5"/>
      <c r="B397" s="5"/>
      <c r="C397" s="12"/>
      <c r="D397" s="12"/>
      <c r="E397" s="12"/>
      <c r="F397" s="5"/>
      <c r="G397" s="5"/>
      <c r="H397" s="5"/>
      <c r="I397" s="5"/>
      <c r="J397" s="5"/>
      <c r="K397" s="5"/>
      <c r="L397" s="5"/>
      <c r="M397" s="5"/>
      <c r="N397" s="5"/>
      <c r="O397" s="5"/>
      <c r="P397" s="5"/>
      <c r="Q397" s="5"/>
      <c r="R397" s="5"/>
      <c r="S397" s="5"/>
      <c r="T397" s="5"/>
      <c r="U397" s="5"/>
      <c r="V397" s="5"/>
      <c r="W397" s="5"/>
      <c r="X397" s="5"/>
      <c r="Y397" s="5"/>
    </row>
    <row r="398" spans="1:25">
      <c r="A398" s="5"/>
      <c r="B398" s="5"/>
      <c r="C398" s="12"/>
      <c r="D398" s="12"/>
      <c r="E398" s="12"/>
      <c r="F398" s="5"/>
      <c r="G398" s="5"/>
      <c r="H398" s="5"/>
      <c r="I398" s="5"/>
      <c r="J398" s="5"/>
      <c r="K398" s="5"/>
      <c r="L398" s="5"/>
      <c r="M398" s="5"/>
      <c r="N398" s="5"/>
      <c r="O398" s="5"/>
      <c r="P398" s="5"/>
      <c r="Q398" s="5"/>
      <c r="R398" s="5"/>
      <c r="S398" s="5"/>
      <c r="T398" s="5"/>
      <c r="U398" s="5"/>
      <c r="V398" s="5"/>
      <c r="W398" s="5"/>
      <c r="X398" s="5"/>
      <c r="Y398" s="5"/>
    </row>
    <row r="399" spans="1:25">
      <c r="A399" s="5"/>
      <c r="B399" s="5"/>
      <c r="C399" s="12"/>
      <c r="D399" s="12"/>
      <c r="E399" s="12"/>
      <c r="F399" s="5"/>
      <c r="G399" s="5"/>
      <c r="H399" s="5"/>
      <c r="I399" s="5"/>
      <c r="J399" s="5"/>
      <c r="K399" s="5"/>
      <c r="L399" s="5"/>
      <c r="M399" s="5"/>
      <c r="N399" s="5"/>
      <c r="O399" s="5"/>
      <c r="P399" s="5"/>
      <c r="Q399" s="5"/>
      <c r="R399" s="5"/>
      <c r="S399" s="5"/>
      <c r="T399" s="5"/>
      <c r="U399" s="5"/>
      <c r="V399" s="5"/>
      <c r="W399" s="5"/>
      <c r="X399" s="5"/>
      <c r="Y399" s="5"/>
    </row>
    <row r="400" spans="1:25">
      <c r="A400" s="5"/>
      <c r="B400" s="5"/>
      <c r="C400" s="12"/>
      <c r="D400" s="12"/>
      <c r="E400" s="12"/>
      <c r="F400" s="5"/>
      <c r="G400" s="5"/>
      <c r="H400" s="5"/>
      <c r="I400" s="5"/>
      <c r="J400" s="5"/>
      <c r="K400" s="5"/>
      <c r="L400" s="5"/>
      <c r="M400" s="5"/>
      <c r="N400" s="5"/>
      <c r="O400" s="5"/>
      <c r="P400" s="5"/>
      <c r="Q400" s="5"/>
      <c r="R400" s="5"/>
      <c r="S400" s="5"/>
      <c r="T400" s="5"/>
      <c r="U400" s="5"/>
      <c r="V400" s="5"/>
      <c r="W400" s="5"/>
      <c r="X400" s="5"/>
      <c r="Y400" s="5"/>
    </row>
    <row r="401" spans="1:25">
      <c r="A401" s="5"/>
      <c r="B401" s="5"/>
      <c r="C401" s="12"/>
      <c r="D401" s="12"/>
      <c r="E401" s="12"/>
      <c r="F401" s="5"/>
      <c r="G401" s="5"/>
      <c r="H401" s="5"/>
      <c r="I401" s="5"/>
      <c r="J401" s="5"/>
      <c r="K401" s="5"/>
      <c r="L401" s="5"/>
      <c r="M401" s="5"/>
      <c r="N401" s="5"/>
      <c r="O401" s="5"/>
      <c r="P401" s="5"/>
      <c r="Q401" s="5"/>
      <c r="R401" s="5"/>
      <c r="S401" s="5"/>
      <c r="T401" s="5"/>
      <c r="U401" s="5"/>
      <c r="V401" s="5"/>
      <c r="W401" s="5"/>
      <c r="X401" s="5"/>
      <c r="Y401" s="5"/>
    </row>
    <row r="402" spans="1:25">
      <c r="A402" s="5"/>
      <c r="B402" s="5"/>
      <c r="C402" s="12"/>
      <c r="D402" s="12"/>
      <c r="E402" s="12"/>
      <c r="F402" s="5"/>
      <c r="G402" s="5"/>
      <c r="H402" s="5"/>
      <c r="I402" s="5"/>
      <c r="J402" s="5"/>
      <c r="K402" s="5"/>
      <c r="L402" s="5"/>
      <c r="M402" s="5"/>
      <c r="N402" s="5"/>
      <c r="O402" s="5"/>
      <c r="P402" s="5"/>
      <c r="Q402" s="5"/>
      <c r="R402" s="5"/>
      <c r="S402" s="5"/>
      <c r="T402" s="5"/>
      <c r="U402" s="5"/>
      <c r="V402" s="5"/>
      <c r="W402" s="5"/>
      <c r="X402" s="5"/>
      <c r="Y402" s="5"/>
    </row>
    <row r="403" spans="1:25">
      <c r="A403" s="5"/>
      <c r="B403" s="5"/>
      <c r="C403" s="12"/>
      <c r="D403" s="12"/>
      <c r="E403" s="12"/>
      <c r="F403" s="5"/>
      <c r="G403" s="5"/>
      <c r="H403" s="5"/>
      <c r="I403" s="5"/>
      <c r="J403" s="5"/>
      <c r="K403" s="5"/>
      <c r="L403" s="5"/>
      <c r="M403" s="5"/>
      <c r="N403" s="5"/>
      <c r="O403" s="5"/>
      <c r="P403" s="5"/>
      <c r="Q403" s="5"/>
      <c r="R403" s="5"/>
      <c r="S403" s="5"/>
      <c r="T403" s="5"/>
      <c r="U403" s="5"/>
      <c r="V403" s="5"/>
      <c r="W403" s="5"/>
      <c r="X403" s="5"/>
      <c r="Y403" s="5"/>
    </row>
    <row r="404" spans="1:25">
      <c r="A404" s="5"/>
      <c r="B404" s="5"/>
      <c r="C404" s="12"/>
      <c r="D404" s="12"/>
      <c r="E404" s="12"/>
      <c r="F404" s="5"/>
      <c r="G404" s="5"/>
      <c r="H404" s="5"/>
      <c r="I404" s="5"/>
      <c r="J404" s="5"/>
      <c r="K404" s="5"/>
      <c r="L404" s="5"/>
      <c r="M404" s="5"/>
      <c r="N404" s="5"/>
      <c r="O404" s="5"/>
      <c r="P404" s="5"/>
      <c r="Q404" s="5"/>
      <c r="R404" s="5"/>
      <c r="S404" s="5"/>
      <c r="T404" s="5"/>
      <c r="U404" s="5"/>
      <c r="V404" s="5"/>
      <c r="W404" s="5"/>
      <c r="X404" s="5"/>
      <c r="Y404" s="5"/>
    </row>
    <row r="405" spans="1:25">
      <c r="A405" s="5"/>
      <c r="B405" s="5"/>
      <c r="C405" s="12"/>
      <c r="D405" s="12"/>
      <c r="E405" s="12"/>
      <c r="F405" s="5"/>
      <c r="G405" s="5"/>
      <c r="H405" s="5"/>
      <c r="I405" s="5"/>
      <c r="J405" s="5"/>
      <c r="K405" s="5"/>
      <c r="L405" s="5"/>
      <c r="M405" s="5"/>
      <c r="N405" s="5"/>
      <c r="O405" s="5"/>
      <c r="P405" s="5"/>
      <c r="Q405" s="5"/>
      <c r="R405" s="5"/>
      <c r="S405" s="5"/>
      <c r="T405" s="5"/>
      <c r="U405" s="5"/>
      <c r="V405" s="5"/>
      <c r="W405" s="5"/>
      <c r="X405" s="5"/>
      <c r="Y405" s="5"/>
    </row>
    <row r="406" spans="1:25">
      <c r="A406" s="5"/>
      <c r="B406" s="5"/>
      <c r="C406" s="12"/>
      <c r="D406" s="12"/>
      <c r="E406" s="12"/>
      <c r="F406" s="5"/>
      <c r="G406" s="5"/>
      <c r="H406" s="5"/>
      <c r="I406" s="5"/>
      <c r="J406" s="5"/>
      <c r="K406" s="5"/>
      <c r="L406" s="5"/>
      <c r="M406" s="5"/>
      <c r="N406" s="5"/>
      <c r="O406" s="5"/>
      <c r="P406" s="5"/>
      <c r="Q406" s="5"/>
      <c r="R406" s="5"/>
      <c r="S406" s="5"/>
      <c r="T406" s="5"/>
      <c r="U406" s="5"/>
      <c r="V406" s="5"/>
      <c r="W406" s="5"/>
      <c r="X406" s="5"/>
      <c r="Y406" s="5"/>
    </row>
    <row r="407" spans="1:25">
      <c r="A407" s="5"/>
      <c r="B407" s="5"/>
      <c r="C407" s="12"/>
      <c r="D407" s="12"/>
      <c r="E407" s="12"/>
      <c r="F407" s="5"/>
      <c r="G407" s="5"/>
      <c r="H407" s="5"/>
      <c r="I407" s="5"/>
      <c r="J407" s="5"/>
      <c r="K407" s="5"/>
      <c r="L407" s="5"/>
      <c r="M407" s="5"/>
      <c r="N407" s="5"/>
      <c r="O407" s="5"/>
      <c r="P407" s="5"/>
      <c r="Q407" s="5"/>
      <c r="R407" s="5"/>
      <c r="S407" s="5"/>
      <c r="T407" s="5"/>
      <c r="U407" s="5"/>
      <c r="V407" s="5"/>
      <c r="W407" s="5"/>
      <c r="X407" s="5"/>
      <c r="Y407" s="5"/>
    </row>
    <row r="408" spans="1:25">
      <c r="A408" s="5"/>
      <c r="B408" s="5"/>
      <c r="C408" s="12"/>
      <c r="D408" s="12"/>
      <c r="E408" s="12"/>
      <c r="F408" s="5"/>
      <c r="G408" s="5"/>
      <c r="H408" s="5"/>
      <c r="I408" s="5"/>
      <c r="J408" s="5"/>
      <c r="K408" s="5"/>
      <c r="L408" s="5"/>
      <c r="M408" s="5"/>
      <c r="N408" s="5"/>
      <c r="O408" s="5"/>
      <c r="P408" s="5"/>
      <c r="Q408" s="5"/>
      <c r="R408" s="5"/>
      <c r="S408" s="5"/>
      <c r="T408" s="5"/>
      <c r="U408" s="5"/>
      <c r="V408" s="5"/>
      <c r="W408" s="5"/>
      <c r="X408" s="5"/>
      <c r="Y408" s="5"/>
    </row>
    <row r="409" spans="1:25">
      <c r="A409" s="5"/>
      <c r="B409" s="5"/>
      <c r="C409" s="12"/>
      <c r="D409" s="12"/>
      <c r="E409" s="12"/>
      <c r="F409" s="5"/>
      <c r="G409" s="5"/>
      <c r="H409" s="5"/>
      <c r="I409" s="5"/>
      <c r="J409" s="5"/>
      <c r="K409" s="5"/>
      <c r="L409" s="5"/>
      <c r="M409" s="5"/>
      <c r="N409" s="5"/>
      <c r="O409" s="5"/>
      <c r="P409" s="5"/>
      <c r="Q409" s="5"/>
      <c r="R409" s="5"/>
      <c r="S409" s="5"/>
      <c r="T409" s="5"/>
      <c r="U409" s="5"/>
      <c r="V409" s="5"/>
      <c r="W409" s="5"/>
      <c r="X409" s="5"/>
      <c r="Y409" s="5"/>
    </row>
    <row r="410" spans="1:25">
      <c r="A410" s="5"/>
      <c r="B410" s="5"/>
      <c r="C410" s="12"/>
      <c r="D410" s="12"/>
      <c r="E410" s="12"/>
      <c r="F410" s="5"/>
      <c r="G410" s="5"/>
      <c r="H410" s="5"/>
      <c r="I410" s="5"/>
      <c r="J410" s="5"/>
      <c r="K410" s="5"/>
      <c r="L410" s="5"/>
      <c r="M410" s="5"/>
      <c r="N410" s="5"/>
      <c r="O410" s="5"/>
      <c r="P410" s="5"/>
      <c r="Q410" s="5"/>
      <c r="R410" s="5"/>
      <c r="S410" s="5"/>
      <c r="T410" s="5"/>
      <c r="U410" s="5"/>
      <c r="V410" s="5"/>
      <c r="W410" s="5"/>
      <c r="X410" s="5"/>
      <c r="Y410" s="5"/>
    </row>
    <row r="411" spans="1:25">
      <c r="A411" s="5"/>
      <c r="B411" s="5"/>
      <c r="C411" s="12"/>
      <c r="D411" s="12"/>
      <c r="E411" s="12"/>
      <c r="F411" s="5"/>
      <c r="G411" s="5"/>
      <c r="H411" s="5"/>
      <c r="I411" s="5"/>
      <c r="J411" s="5"/>
      <c r="K411" s="5"/>
      <c r="L411" s="5"/>
      <c r="M411" s="5"/>
      <c r="N411" s="5"/>
      <c r="O411" s="5"/>
      <c r="P411" s="5"/>
      <c r="Q411" s="5"/>
      <c r="R411" s="5"/>
      <c r="S411" s="5"/>
      <c r="T411" s="5"/>
      <c r="U411" s="5"/>
      <c r="V411" s="5"/>
      <c r="W411" s="5"/>
      <c r="X411" s="5"/>
      <c r="Y411" s="5"/>
    </row>
    <row r="412" spans="1:25">
      <c r="A412" s="5"/>
      <c r="B412" s="5"/>
      <c r="C412" s="12"/>
      <c r="D412" s="12"/>
      <c r="E412" s="12"/>
      <c r="F412" s="5"/>
      <c r="G412" s="5"/>
      <c r="H412" s="5"/>
      <c r="I412" s="5"/>
      <c r="J412" s="5"/>
      <c r="K412" s="5"/>
      <c r="L412" s="5"/>
      <c r="M412" s="5"/>
      <c r="N412" s="5"/>
      <c r="O412" s="5"/>
      <c r="P412" s="5"/>
      <c r="Q412" s="5"/>
      <c r="R412" s="5"/>
      <c r="S412" s="5"/>
      <c r="T412" s="5"/>
      <c r="U412" s="5"/>
      <c r="V412" s="5"/>
      <c r="W412" s="5"/>
      <c r="X412" s="5"/>
      <c r="Y412" s="5"/>
    </row>
    <row r="413" spans="1:25">
      <c r="A413" s="5"/>
      <c r="B413" s="5"/>
      <c r="C413" s="12"/>
      <c r="D413" s="12"/>
      <c r="E413" s="12"/>
      <c r="F413" s="5"/>
      <c r="G413" s="5"/>
      <c r="H413" s="5"/>
      <c r="I413" s="5"/>
      <c r="J413" s="5"/>
      <c r="K413" s="5"/>
      <c r="L413" s="5"/>
      <c r="M413" s="5"/>
      <c r="N413" s="5"/>
      <c r="O413" s="5"/>
      <c r="P413" s="5"/>
      <c r="Q413" s="5"/>
      <c r="R413" s="5"/>
      <c r="S413" s="5"/>
      <c r="T413" s="5"/>
      <c r="U413" s="5"/>
      <c r="V413" s="5"/>
      <c r="W413" s="5"/>
      <c r="X413" s="5"/>
      <c r="Y413" s="5"/>
    </row>
    <row r="414" spans="1:25">
      <c r="A414" s="5"/>
      <c r="B414" s="5"/>
      <c r="C414" s="12"/>
      <c r="D414" s="12"/>
      <c r="E414" s="12"/>
      <c r="F414" s="5"/>
      <c r="G414" s="5"/>
      <c r="H414" s="5"/>
      <c r="I414" s="5"/>
      <c r="J414" s="5"/>
      <c r="K414" s="5"/>
      <c r="L414" s="5"/>
      <c r="M414" s="5"/>
      <c r="N414" s="5"/>
      <c r="O414" s="5"/>
      <c r="P414" s="5"/>
      <c r="Q414" s="5"/>
      <c r="R414" s="5"/>
      <c r="S414" s="5"/>
      <c r="T414" s="5"/>
      <c r="U414" s="5"/>
      <c r="V414" s="5"/>
      <c r="W414" s="5"/>
      <c r="X414" s="5"/>
      <c r="Y414" s="5"/>
    </row>
    <row r="415" spans="1:25">
      <c r="A415" s="5"/>
      <c r="B415" s="5"/>
      <c r="C415" s="12"/>
      <c r="D415" s="12"/>
      <c r="E415" s="12"/>
      <c r="F415" s="5"/>
      <c r="G415" s="5"/>
      <c r="H415" s="5"/>
      <c r="I415" s="5"/>
      <c r="J415" s="5"/>
      <c r="K415" s="5"/>
      <c r="L415" s="5"/>
      <c r="M415" s="5"/>
      <c r="N415" s="5"/>
      <c r="O415" s="5"/>
      <c r="P415" s="5"/>
      <c r="Q415" s="5"/>
      <c r="R415" s="5"/>
      <c r="S415" s="5"/>
      <c r="T415" s="5"/>
      <c r="U415" s="5"/>
      <c r="V415" s="5"/>
      <c r="W415" s="5"/>
      <c r="X415" s="5"/>
      <c r="Y415" s="5"/>
    </row>
    <row r="416" spans="1:25">
      <c r="A416" s="5"/>
      <c r="B416" s="5"/>
      <c r="C416" s="12"/>
      <c r="D416" s="12"/>
      <c r="E416" s="12"/>
      <c r="F416" s="5"/>
      <c r="G416" s="5"/>
      <c r="H416" s="5"/>
      <c r="I416" s="5"/>
      <c r="J416" s="5"/>
      <c r="K416" s="5"/>
      <c r="L416" s="5"/>
      <c r="M416" s="5"/>
      <c r="N416" s="5"/>
      <c r="O416" s="5"/>
      <c r="P416" s="5"/>
      <c r="Q416" s="5"/>
      <c r="R416" s="5"/>
      <c r="S416" s="5"/>
      <c r="T416" s="5"/>
      <c r="U416" s="5"/>
      <c r="V416" s="5"/>
      <c r="W416" s="5"/>
      <c r="X416" s="5"/>
      <c r="Y416" s="5"/>
    </row>
    <row r="417" spans="1:25">
      <c r="A417" s="5"/>
      <c r="B417" s="5"/>
      <c r="C417" s="12"/>
      <c r="D417" s="12"/>
      <c r="E417" s="12"/>
      <c r="F417" s="5"/>
      <c r="G417" s="5"/>
      <c r="H417" s="5"/>
      <c r="I417" s="5"/>
      <c r="J417" s="5"/>
      <c r="K417" s="5"/>
      <c r="L417" s="5"/>
      <c r="M417" s="5"/>
      <c r="N417" s="5"/>
      <c r="O417" s="5"/>
      <c r="P417" s="5"/>
      <c r="Q417" s="5"/>
      <c r="R417" s="5"/>
      <c r="S417" s="5"/>
      <c r="T417" s="5"/>
      <c r="U417" s="5"/>
      <c r="V417" s="5"/>
      <c r="W417" s="5"/>
      <c r="X417" s="5"/>
      <c r="Y417" s="5"/>
    </row>
    <row r="418" spans="1:25">
      <c r="A418" s="5"/>
      <c r="B418" s="5"/>
      <c r="C418" s="12"/>
      <c r="D418" s="12"/>
      <c r="E418" s="12"/>
      <c r="F418" s="5"/>
      <c r="G418" s="5"/>
      <c r="H418" s="5"/>
      <c r="I418" s="5"/>
      <c r="J418" s="5"/>
      <c r="K418" s="5"/>
      <c r="L418" s="5"/>
      <c r="M418" s="5"/>
      <c r="N418" s="5"/>
      <c r="O418" s="5"/>
      <c r="P418" s="5"/>
      <c r="Q418" s="5"/>
      <c r="R418" s="5"/>
      <c r="S418" s="5"/>
      <c r="T418" s="5"/>
      <c r="U418" s="5"/>
      <c r="V418" s="5"/>
      <c r="W418" s="5"/>
      <c r="X418" s="5"/>
      <c r="Y418" s="5"/>
    </row>
    <row r="419" spans="1:25">
      <c r="A419" s="5"/>
      <c r="B419" s="5"/>
      <c r="C419" s="12"/>
      <c r="D419" s="12"/>
      <c r="E419" s="12"/>
      <c r="F419" s="5"/>
      <c r="G419" s="5"/>
      <c r="H419" s="5"/>
      <c r="I419" s="5"/>
      <c r="J419" s="5"/>
      <c r="K419" s="5"/>
      <c r="L419" s="5"/>
      <c r="M419" s="5"/>
      <c r="N419" s="5"/>
      <c r="O419" s="5"/>
      <c r="P419" s="5"/>
      <c r="Q419" s="5"/>
      <c r="R419" s="5"/>
      <c r="S419" s="5"/>
      <c r="T419" s="5"/>
      <c r="U419" s="5"/>
      <c r="V419" s="5"/>
      <c r="W419" s="5"/>
      <c r="X419" s="5"/>
      <c r="Y419" s="5"/>
    </row>
    <row r="420" spans="1:25">
      <c r="A420" s="5"/>
      <c r="B420" s="5"/>
      <c r="C420" s="12"/>
      <c r="D420" s="12"/>
      <c r="E420" s="12"/>
      <c r="F420" s="5"/>
      <c r="G420" s="5"/>
      <c r="H420" s="5"/>
      <c r="I420" s="5"/>
      <c r="J420" s="5"/>
      <c r="K420" s="5"/>
      <c r="L420" s="5"/>
      <c r="M420" s="5"/>
      <c r="N420" s="5"/>
      <c r="O420" s="5"/>
      <c r="P420" s="5"/>
      <c r="Q420" s="5"/>
      <c r="R420" s="5"/>
      <c r="S420" s="5"/>
      <c r="T420" s="5"/>
      <c r="U420" s="5"/>
      <c r="V420" s="5"/>
      <c r="W420" s="5"/>
      <c r="X420" s="5"/>
      <c r="Y420" s="5"/>
    </row>
    <row r="421" spans="1:25">
      <c r="A421" s="5"/>
      <c r="B421" s="5"/>
      <c r="C421" s="12"/>
      <c r="D421" s="12"/>
      <c r="E421" s="12"/>
      <c r="F421" s="5"/>
      <c r="G421" s="5"/>
      <c r="H421" s="5"/>
      <c r="I421" s="5"/>
      <c r="J421" s="5"/>
      <c r="K421" s="5"/>
      <c r="L421" s="5"/>
      <c r="M421" s="5"/>
      <c r="N421" s="5"/>
      <c r="O421" s="5"/>
      <c r="P421" s="5"/>
      <c r="Q421" s="5"/>
      <c r="R421" s="5"/>
      <c r="S421" s="5"/>
      <c r="T421" s="5"/>
      <c r="U421" s="5"/>
      <c r="V421" s="5"/>
      <c r="W421" s="5"/>
      <c r="X421" s="5"/>
      <c r="Y421" s="5"/>
    </row>
    <row r="422" spans="1:25">
      <c r="A422" s="5"/>
      <c r="B422" s="5"/>
      <c r="C422" s="12"/>
      <c r="D422" s="12"/>
      <c r="E422" s="12"/>
      <c r="F422" s="5"/>
      <c r="G422" s="5"/>
      <c r="H422" s="5"/>
      <c r="I422" s="5"/>
      <c r="J422" s="5"/>
      <c r="K422" s="5"/>
      <c r="L422" s="5"/>
      <c r="M422" s="5"/>
      <c r="N422" s="5"/>
      <c r="O422" s="5"/>
      <c r="P422" s="5"/>
      <c r="Q422" s="5"/>
      <c r="R422" s="5"/>
      <c r="S422" s="5"/>
      <c r="T422" s="5"/>
      <c r="U422" s="5"/>
      <c r="V422" s="5"/>
      <c r="W422" s="5"/>
      <c r="X422" s="5"/>
      <c r="Y422" s="5"/>
    </row>
    <row r="423" spans="1:25">
      <c r="A423" s="5"/>
      <c r="B423" s="5"/>
      <c r="C423" s="12"/>
      <c r="D423" s="12"/>
      <c r="E423" s="12"/>
      <c r="F423" s="5"/>
      <c r="G423" s="5"/>
      <c r="H423" s="5"/>
      <c r="I423" s="5"/>
      <c r="J423" s="5"/>
      <c r="K423" s="5"/>
      <c r="L423" s="5"/>
      <c r="M423" s="5"/>
      <c r="N423" s="5"/>
      <c r="O423" s="5"/>
      <c r="P423" s="5"/>
      <c r="Q423" s="5"/>
      <c r="R423" s="5"/>
      <c r="S423" s="5"/>
      <c r="T423" s="5"/>
      <c r="U423" s="5"/>
      <c r="V423" s="5"/>
      <c r="W423" s="5"/>
      <c r="X423" s="5"/>
      <c r="Y423" s="5"/>
    </row>
    <row r="424" spans="1:25">
      <c r="A424" s="5"/>
      <c r="B424" s="5"/>
      <c r="C424" s="12"/>
      <c r="D424" s="12"/>
      <c r="E424" s="12"/>
      <c r="F424" s="5"/>
      <c r="G424" s="5"/>
      <c r="H424" s="5"/>
      <c r="I424" s="5"/>
      <c r="J424" s="5"/>
      <c r="K424" s="5"/>
      <c r="L424" s="5"/>
      <c r="M424" s="5"/>
      <c r="N424" s="5"/>
      <c r="O424" s="5"/>
      <c r="P424" s="5"/>
      <c r="Q424" s="5"/>
      <c r="R424" s="5"/>
      <c r="S424" s="5"/>
      <c r="T424" s="5"/>
      <c r="U424" s="5"/>
      <c r="V424" s="5"/>
      <c r="W424" s="5"/>
      <c r="X424" s="5"/>
      <c r="Y424" s="5"/>
    </row>
    <row r="425" spans="1:25">
      <c r="A425" s="5"/>
      <c r="B425" s="5"/>
      <c r="C425" s="12"/>
      <c r="D425" s="12"/>
      <c r="E425" s="12"/>
      <c r="F425" s="5"/>
      <c r="G425" s="5"/>
      <c r="H425" s="5"/>
      <c r="I425" s="5"/>
      <c r="J425" s="5"/>
      <c r="K425" s="5"/>
      <c r="L425" s="5"/>
      <c r="M425" s="5"/>
      <c r="N425" s="5"/>
      <c r="O425" s="5"/>
      <c r="P425" s="5"/>
      <c r="Q425" s="5"/>
      <c r="R425" s="5"/>
      <c r="S425" s="5"/>
      <c r="T425" s="5"/>
      <c r="U425" s="5"/>
      <c r="V425" s="5"/>
      <c r="W425" s="5"/>
      <c r="X425" s="5"/>
      <c r="Y425" s="5"/>
    </row>
    <row r="426" spans="1:25">
      <c r="A426" s="5"/>
      <c r="B426" s="5"/>
      <c r="C426" s="12"/>
      <c r="D426" s="12"/>
      <c r="E426" s="12"/>
      <c r="F426" s="5"/>
      <c r="G426" s="5"/>
      <c r="H426" s="5"/>
      <c r="I426" s="5"/>
      <c r="J426" s="5"/>
      <c r="K426" s="5"/>
      <c r="L426" s="5"/>
      <c r="M426" s="5"/>
      <c r="N426" s="5"/>
      <c r="O426" s="5"/>
      <c r="P426" s="5"/>
      <c r="Q426" s="5"/>
      <c r="R426" s="5"/>
      <c r="S426" s="5"/>
      <c r="T426" s="5"/>
      <c r="U426" s="5"/>
      <c r="V426" s="5"/>
      <c r="W426" s="5"/>
      <c r="X426" s="5"/>
      <c r="Y426" s="5"/>
    </row>
    <row r="427" spans="1:25">
      <c r="A427" s="5"/>
      <c r="B427" s="5"/>
      <c r="C427" s="12"/>
      <c r="D427" s="12"/>
      <c r="E427" s="12"/>
      <c r="F427" s="5"/>
      <c r="G427" s="5"/>
      <c r="H427" s="5"/>
      <c r="I427" s="5"/>
      <c r="J427" s="5"/>
      <c r="K427" s="5"/>
      <c r="L427" s="5"/>
      <c r="M427" s="5"/>
      <c r="N427" s="5"/>
      <c r="O427" s="5"/>
      <c r="P427" s="5"/>
      <c r="Q427" s="5"/>
      <c r="R427" s="5"/>
      <c r="S427" s="5"/>
      <c r="T427" s="5"/>
      <c r="U427" s="5"/>
      <c r="V427" s="5"/>
      <c r="W427" s="5"/>
      <c r="X427" s="5"/>
      <c r="Y427" s="5"/>
    </row>
    <row r="428" spans="1:25">
      <c r="A428" s="5"/>
      <c r="B428" s="5"/>
      <c r="C428" s="12"/>
      <c r="D428" s="12"/>
      <c r="E428" s="12"/>
      <c r="F428" s="5"/>
      <c r="G428" s="5"/>
      <c r="H428" s="5"/>
      <c r="I428" s="5"/>
      <c r="J428" s="5"/>
      <c r="K428" s="5"/>
      <c r="L428" s="5"/>
      <c r="M428" s="5"/>
      <c r="N428" s="5"/>
      <c r="O428" s="5"/>
      <c r="P428" s="5"/>
      <c r="Q428" s="5"/>
      <c r="R428" s="5"/>
      <c r="S428" s="5"/>
      <c r="T428" s="5"/>
      <c r="U428" s="5"/>
      <c r="V428" s="5"/>
      <c r="W428" s="5"/>
      <c r="X428" s="5"/>
      <c r="Y428" s="5"/>
    </row>
    <row r="429" spans="1:25">
      <c r="A429" s="5"/>
      <c r="B429" s="5"/>
      <c r="C429" s="12"/>
      <c r="D429" s="12"/>
      <c r="E429" s="12"/>
      <c r="F429" s="5"/>
      <c r="G429" s="5"/>
      <c r="H429" s="5"/>
      <c r="I429" s="5"/>
      <c r="J429" s="5"/>
      <c r="K429" s="5"/>
      <c r="L429" s="5"/>
      <c r="M429" s="5"/>
      <c r="N429" s="5"/>
      <c r="O429" s="5"/>
      <c r="P429" s="5"/>
      <c r="Q429" s="5"/>
      <c r="R429" s="5"/>
      <c r="S429" s="5"/>
      <c r="T429" s="5"/>
      <c r="U429" s="5"/>
      <c r="V429" s="5"/>
      <c r="W429" s="5"/>
      <c r="X429" s="5"/>
      <c r="Y429" s="5"/>
    </row>
    <row r="430" spans="1:25">
      <c r="A430" s="5"/>
      <c r="B430" s="5"/>
      <c r="C430" s="12"/>
      <c r="D430" s="12"/>
      <c r="E430" s="12"/>
      <c r="F430" s="5"/>
      <c r="G430" s="5"/>
      <c r="H430" s="5"/>
      <c r="I430" s="5"/>
      <c r="J430" s="5"/>
      <c r="K430" s="5"/>
      <c r="L430" s="5"/>
      <c r="M430" s="5"/>
      <c r="N430" s="5"/>
      <c r="O430" s="5"/>
      <c r="P430" s="5"/>
      <c r="Q430" s="5"/>
      <c r="R430" s="5"/>
      <c r="S430" s="5"/>
      <c r="T430" s="5"/>
      <c r="U430" s="5"/>
      <c r="V430" s="5"/>
      <c r="W430" s="5"/>
      <c r="X430" s="5"/>
      <c r="Y430" s="5"/>
    </row>
    <row r="431" spans="1:25">
      <c r="A431" s="5"/>
      <c r="B431" s="5"/>
      <c r="C431" s="12"/>
      <c r="D431" s="12"/>
      <c r="E431" s="12"/>
      <c r="F431" s="5"/>
      <c r="G431" s="5"/>
      <c r="H431" s="5"/>
      <c r="I431" s="5"/>
      <c r="J431" s="5"/>
      <c r="K431" s="5"/>
      <c r="L431" s="5"/>
      <c r="M431" s="5"/>
      <c r="N431" s="5"/>
      <c r="O431" s="5"/>
      <c r="P431" s="5"/>
      <c r="Q431" s="5"/>
      <c r="R431" s="5"/>
      <c r="S431" s="5"/>
      <c r="T431" s="5"/>
      <c r="U431" s="5"/>
      <c r="V431" s="5"/>
      <c r="W431" s="5"/>
      <c r="X431" s="5"/>
      <c r="Y431" s="5"/>
    </row>
    <row r="432" spans="1:25">
      <c r="A432" s="5"/>
      <c r="B432" s="5"/>
      <c r="C432" s="12"/>
      <c r="D432" s="12"/>
      <c r="E432" s="12"/>
      <c r="F432" s="5"/>
      <c r="G432" s="5"/>
      <c r="H432" s="5"/>
      <c r="I432" s="5"/>
      <c r="J432" s="5"/>
      <c r="K432" s="5"/>
      <c r="L432" s="5"/>
      <c r="M432" s="5"/>
      <c r="N432" s="5"/>
      <c r="O432" s="5"/>
      <c r="P432" s="5"/>
      <c r="Q432" s="5"/>
      <c r="R432" s="5"/>
      <c r="S432" s="5"/>
      <c r="T432" s="5"/>
      <c r="U432" s="5"/>
      <c r="V432" s="5"/>
      <c r="W432" s="5"/>
      <c r="X432" s="5"/>
      <c r="Y432" s="5"/>
    </row>
    <row r="433" spans="1:25">
      <c r="A433" s="5"/>
      <c r="B433" s="5"/>
      <c r="C433" s="12"/>
      <c r="D433" s="12"/>
      <c r="E433" s="12"/>
      <c r="F433" s="5"/>
      <c r="G433" s="5"/>
      <c r="H433" s="5"/>
      <c r="I433" s="5"/>
      <c r="J433" s="5"/>
      <c r="K433" s="5"/>
      <c r="L433" s="5"/>
      <c r="M433" s="5"/>
      <c r="N433" s="5"/>
      <c r="O433" s="5"/>
      <c r="P433" s="5"/>
      <c r="Q433" s="5"/>
      <c r="R433" s="5"/>
      <c r="S433" s="5"/>
      <c r="T433" s="5"/>
      <c r="U433" s="5"/>
      <c r="V433" s="5"/>
      <c r="W433" s="5"/>
      <c r="X433" s="5"/>
      <c r="Y433" s="5"/>
    </row>
    <row r="434" spans="1:25">
      <c r="A434" s="5"/>
      <c r="B434" s="5"/>
      <c r="C434" s="12"/>
      <c r="D434" s="12"/>
      <c r="E434" s="12"/>
      <c r="F434" s="5"/>
      <c r="G434" s="5"/>
      <c r="H434" s="5"/>
      <c r="I434" s="5"/>
      <c r="J434" s="5"/>
      <c r="K434" s="5"/>
      <c r="L434" s="5"/>
      <c r="M434" s="5"/>
      <c r="N434" s="5"/>
      <c r="O434" s="5"/>
      <c r="P434" s="5"/>
      <c r="Q434" s="5"/>
      <c r="R434" s="5"/>
      <c r="S434" s="5"/>
      <c r="T434" s="5"/>
      <c r="U434" s="5"/>
      <c r="V434" s="5"/>
      <c r="W434" s="5"/>
      <c r="X434" s="5"/>
      <c r="Y434" s="5"/>
    </row>
    <row r="435" spans="1:25">
      <c r="A435" s="5"/>
      <c r="B435" s="5"/>
      <c r="C435" s="12"/>
      <c r="D435" s="12"/>
      <c r="E435" s="12"/>
      <c r="F435" s="5"/>
      <c r="G435" s="5"/>
      <c r="H435" s="5"/>
      <c r="I435" s="5"/>
      <c r="J435" s="5"/>
      <c r="K435" s="5"/>
      <c r="L435" s="5"/>
      <c r="M435" s="5"/>
      <c r="N435" s="5"/>
      <c r="O435" s="5"/>
      <c r="P435" s="5"/>
      <c r="Q435" s="5"/>
      <c r="R435" s="5"/>
      <c r="S435" s="5"/>
      <c r="T435" s="5"/>
      <c r="U435" s="5"/>
      <c r="V435" s="5"/>
      <c r="W435" s="5"/>
      <c r="X435" s="5"/>
      <c r="Y435" s="5"/>
    </row>
    <row r="436" spans="1:25">
      <c r="A436" s="5"/>
      <c r="B436" s="5"/>
      <c r="C436" s="12"/>
      <c r="D436" s="12"/>
      <c r="E436" s="12"/>
      <c r="F436" s="5"/>
      <c r="G436" s="5"/>
      <c r="H436" s="5"/>
      <c r="I436" s="5"/>
      <c r="J436" s="5"/>
      <c r="K436" s="5"/>
      <c r="L436" s="5"/>
      <c r="M436" s="5"/>
      <c r="N436" s="5"/>
      <c r="O436" s="5"/>
      <c r="P436" s="5"/>
      <c r="Q436" s="5"/>
      <c r="R436" s="5"/>
      <c r="S436" s="5"/>
      <c r="T436" s="5"/>
      <c r="U436" s="5"/>
      <c r="V436" s="5"/>
      <c r="W436" s="5"/>
      <c r="X436" s="5"/>
      <c r="Y436" s="5"/>
    </row>
    <row r="437" spans="1:25">
      <c r="A437" s="5"/>
      <c r="B437" s="5"/>
      <c r="C437" s="12"/>
      <c r="D437" s="12"/>
      <c r="E437" s="12"/>
      <c r="F437" s="5"/>
      <c r="G437" s="5"/>
      <c r="H437" s="5"/>
      <c r="I437" s="5"/>
      <c r="J437" s="5"/>
      <c r="K437" s="5"/>
      <c r="L437" s="5"/>
      <c r="M437" s="5"/>
      <c r="N437" s="5"/>
      <c r="O437" s="5"/>
      <c r="P437" s="5"/>
      <c r="Q437" s="5"/>
      <c r="R437" s="5"/>
      <c r="S437" s="5"/>
      <c r="T437" s="5"/>
      <c r="U437" s="5"/>
      <c r="V437" s="5"/>
      <c r="W437" s="5"/>
      <c r="X437" s="5"/>
      <c r="Y437" s="5"/>
    </row>
    <row r="438" spans="1:25">
      <c r="A438" s="5"/>
      <c r="B438" s="5"/>
      <c r="C438" s="12"/>
      <c r="D438" s="12"/>
      <c r="E438" s="12"/>
      <c r="F438" s="5"/>
      <c r="G438" s="5"/>
      <c r="H438" s="5"/>
      <c r="I438" s="5"/>
      <c r="J438" s="5"/>
      <c r="K438" s="5"/>
      <c r="L438" s="5"/>
      <c r="M438" s="5"/>
      <c r="N438" s="5"/>
      <c r="O438" s="5"/>
      <c r="P438" s="5"/>
      <c r="Q438" s="5"/>
      <c r="R438" s="5"/>
      <c r="S438" s="5"/>
      <c r="T438" s="5"/>
      <c r="U438" s="5"/>
      <c r="V438" s="5"/>
      <c r="W438" s="5"/>
      <c r="X438" s="5"/>
      <c r="Y438" s="5"/>
    </row>
    <row r="439" spans="1:25">
      <c r="A439" s="5"/>
      <c r="B439" s="5"/>
      <c r="C439" s="12"/>
      <c r="D439" s="12"/>
      <c r="E439" s="12"/>
      <c r="F439" s="5"/>
      <c r="G439" s="5"/>
      <c r="H439" s="5"/>
      <c r="I439" s="5"/>
      <c r="J439" s="5"/>
      <c r="K439" s="5"/>
      <c r="L439" s="5"/>
      <c r="M439" s="5"/>
      <c r="N439" s="5"/>
      <c r="O439" s="5"/>
      <c r="P439" s="5"/>
      <c r="Q439" s="5"/>
      <c r="R439" s="5"/>
      <c r="S439" s="5"/>
      <c r="T439" s="5"/>
      <c r="U439" s="5"/>
      <c r="V439" s="5"/>
      <c r="W439" s="5"/>
      <c r="X439" s="5"/>
      <c r="Y439" s="5"/>
    </row>
    <row r="440" spans="1:25">
      <c r="A440" s="5"/>
      <c r="B440" s="5"/>
      <c r="C440" s="12"/>
      <c r="D440" s="12"/>
      <c r="E440" s="12"/>
      <c r="F440" s="5"/>
      <c r="G440" s="5"/>
      <c r="H440" s="5"/>
      <c r="I440" s="5"/>
      <c r="J440" s="5"/>
      <c r="K440" s="5"/>
      <c r="L440" s="5"/>
      <c r="M440" s="5"/>
      <c r="N440" s="5"/>
      <c r="O440" s="5"/>
      <c r="P440" s="5"/>
      <c r="Q440" s="5"/>
      <c r="R440" s="5"/>
      <c r="S440" s="5"/>
      <c r="T440" s="5"/>
      <c r="U440" s="5"/>
      <c r="V440" s="5"/>
      <c r="W440" s="5"/>
      <c r="X440" s="5"/>
      <c r="Y440" s="5"/>
    </row>
    <row r="441" spans="1:25">
      <c r="A441" s="5"/>
      <c r="B441" s="5"/>
      <c r="C441" s="12"/>
      <c r="D441" s="12"/>
      <c r="E441" s="12"/>
      <c r="F441" s="5"/>
      <c r="G441" s="5"/>
      <c r="H441" s="5"/>
      <c r="I441" s="5"/>
      <c r="J441" s="5"/>
      <c r="K441" s="5"/>
      <c r="L441" s="5"/>
      <c r="M441" s="5"/>
      <c r="N441" s="5"/>
      <c r="O441" s="5"/>
      <c r="P441" s="5"/>
      <c r="Q441" s="5"/>
      <c r="R441" s="5"/>
      <c r="S441" s="5"/>
      <c r="T441" s="5"/>
      <c r="U441" s="5"/>
      <c r="V441" s="5"/>
      <c r="W441" s="5"/>
      <c r="X441" s="5"/>
      <c r="Y441" s="5"/>
    </row>
    <row r="442" spans="1:25">
      <c r="A442" s="5"/>
      <c r="B442" s="5"/>
      <c r="C442" s="12"/>
      <c r="D442" s="12"/>
      <c r="E442" s="12"/>
      <c r="F442" s="5"/>
      <c r="G442" s="5"/>
      <c r="H442" s="5"/>
      <c r="I442" s="5"/>
      <c r="J442" s="5"/>
      <c r="K442" s="5"/>
      <c r="L442" s="5"/>
      <c r="M442" s="5"/>
      <c r="N442" s="5"/>
      <c r="O442" s="5"/>
      <c r="P442" s="5"/>
      <c r="Q442" s="5"/>
      <c r="R442" s="5"/>
      <c r="S442" s="5"/>
      <c r="T442" s="5"/>
      <c r="U442" s="5"/>
      <c r="V442" s="5"/>
      <c r="W442" s="5"/>
      <c r="X442" s="5"/>
      <c r="Y442" s="5"/>
    </row>
    <row r="443" spans="1:25">
      <c r="A443" s="5"/>
      <c r="B443" s="5"/>
      <c r="C443" s="12"/>
      <c r="D443" s="12"/>
      <c r="E443" s="12"/>
      <c r="F443" s="5"/>
      <c r="G443" s="5"/>
      <c r="H443" s="5"/>
      <c r="I443" s="5"/>
      <c r="J443" s="5"/>
      <c r="K443" s="5"/>
      <c r="L443" s="5"/>
      <c r="M443" s="5"/>
      <c r="N443" s="5"/>
      <c r="O443" s="5"/>
      <c r="P443" s="5"/>
      <c r="Q443" s="5"/>
      <c r="R443" s="5"/>
      <c r="S443" s="5"/>
      <c r="T443" s="5"/>
      <c r="U443" s="5"/>
      <c r="V443" s="5"/>
      <c r="W443" s="5"/>
      <c r="X443" s="5"/>
      <c r="Y443" s="5"/>
    </row>
    <row r="444" spans="1:25">
      <c r="A444" s="5"/>
      <c r="B444" s="5"/>
      <c r="C444" s="12"/>
      <c r="D444" s="12"/>
      <c r="E444" s="12"/>
      <c r="F444" s="5"/>
      <c r="G444" s="5"/>
      <c r="H444" s="5"/>
      <c r="I444" s="5"/>
      <c r="J444" s="5"/>
      <c r="K444" s="5"/>
      <c r="L444" s="5"/>
      <c r="M444" s="5"/>
      <c r="N444" s="5"/>
      <c r="O444" s="5"/>
      <c r="P444" s="5"/>
      <c r="Q444" s="5"/>
      <c r="R444" s="5"/>
      <c r="S444" s="5"/>
      <c r="T444" s="5"/>
      <c r="U444" s="5"/>
      <c r="V444" s="5"/>
      <c r="W444" s="5"/>
      <c r="X444" s="5"/>
      <c r="Y444" s="5"/>
    </row>
    <row r="445" spans="1:25">
      <c r="A445" s="5"/>
      <c r="B445" s="5"/>
      <c r="C445" s="12"/>
      <c r="D445" s="12"/>
      <c r="E445" s="12"/>
      <c r="F445" s="5"/>
      <c r="G445" s="5"/>
      <c r="H445" s="5"/>
      <c r="I445" s="5"/>
      <c r="J445" s="5"/>
      <c r="K445" s="5"/>
      <c r="L445" s="5"/>
      <c r="M445" s="5"/>
      <c r="N445" s="5"/>
      <c r="O445" s="5"/>
      <c r="P445" s="5"/>
      <c r="Q445" s="5"/>
      <c r="R445" s="5"/>
      <c r="S445" s="5"/>
      <c r="T445" s="5"/>
      <c r="U445" s="5"/>
      <c r="V445" s="5"/>
      <c r="W445" s="5"/>
      <c r="X445" s="5"/>
      <c r="Y445" s="5"/>
    </row>
    <row r="446" spans="1:25">
      <c r="A446" s="5"/>
      <c r="B446" s="5"/>
      <c r="C446" s="12"/>
      <c r="D446" s="12"/>
      <c r="E446" s="12"/>
      <c r="F446" s="5"/>
      <c r="G446" s="5"/>
      <c r="H446" s="5"/>
      <c r="I446" s="5"/>
      <c r="J446" s="5"/>
      <c r="K446" s="5"/>
      <c r="L446" s="5"/>
      <c r="M446" s="5"/>
      <c r="N446" s="5"/>
      <c r="O446" s="5"/>
      <c r="P446" s="5"/>
      <c r="Q446" s="5"/>
      <c r="R446" s="5"/>
      <c r="S446" s="5"/>
      <c r="T446" s="5"/>
      <c r="U446" s="5"/>
      <c r="V446" s="5"/>
      <c r="W446" s="5"/>
      <c r="X446" s="5"/>
      <c r="Y446" s="5"/>
    </row>
    <row r="447" spans="1:25">
      <c r="A447" s="5"/>
      <c r="B447" s="5"/>
      <c r="C447" s="12"/>
      <c r="D447" s="12"/>
      <c r="E447" s="12"/>
      <c r="F447" s="5"/>
      <c r="G447" s="5"/>
      <c r="H447" s="5"/>
      <c r="I447" s="5"/>
      <c r="J447" s="5"/>
      <c r="K447" s="5"/>
      <c r="L447" s="5"/>
      <c r="M447" s="5"/>
      <c r="N447" s="5"/>
      <c r="O447" s="5"/>
      <c r="P447" s="5"/>
      <c r="Q447" s="5"/>
      <c r="R447" s="5"/>
      <c r="S447" s="5"/>
      <c r="T447" s="5"/>
      <c r="U447" s="5"/>
      <c r="V447" s="5"/>
      <c r="W447" s="5"/>
      <c r="X447" s="5"/>
      <c r="Y447" s="5"/>
    </row>
    <row r="448" spans="1:25">
      <c r="A448" s="5"/>
      <c r="B448" s="5"/>
      <c r="C448" s="12"/>
      <c r="D448" s="12"/>
      <c r="E448" s="12"/>
      <c r="F448" s="5"/>
      <c r="G448" s="5"/>
      <c r="H448" s="5"/>
      <c r="I448" s="5"/>
      <c r="J448" s="5"/>
      <c r="K448" s="5"/>
      <c r="L448" s="5"/>
      <c r="M448" s="5"/>
      <c r="N448" s="5"/>
      <c r="O448" s="5"/>
      <c r="P448" s="5"/>
      <c r="Q448" s="5"/>
      <c r="R448" s="5"/>
      <c r="S448" s="5"/>
      <c r="T448" s="5"/>
      <c r="U448" s="5"/>
      <c r="V448" s="5"/>
      <c r="W448" s="5"/>
      <c r="X448" s="5"/>
      <c r="Y448" s="5"/>
    </row>
    <row r="449" spans="1:25">
      <c r="A449" s="5"/>
      <c r="B449" s="5"/>
      <c r="C449" s="12"/>
      <c r="D449" s="12"/>
      <c r="E449" s="12"/>
      <c r="F449" s="5"/>
      <c r="G449" s="5"/>
      <c r="H449" s="5"/>
      <c r="I449" s="5"/>
      <c r="J449" s="5"/>
      <c r="K449" s="5"/>
      <c r="L449" s="5"/>
      <c r="M449" s="5"/>
      <c r="N449" s="5"/>
      <c r="O449" s="5"/>
      <c r="P449" s="5"/>
      <c r="Q449" s="5"/>
      <c r="R449" s="5"/>
      <c r="S449" s="5"/>
      <c r="T449" s="5"/>
      <c r="U449" s="5"/>
      <c r="V449" s="5"/>
      <c r="W449" s="5"/>
      <c r="X449" s="5"/>
      <c r="Y449" s="5"/>
    </row>
    <row r="450" spans="1:25">
      <c r="A450" s="5"/>
      <c r="B450" s="5"/>
      <c r="C450" s="12"/>
      <c r="D450" s="12"/>
      <c r="E450" s="12"/>
      <c r="F450" s="5"/>
      <c r="G450" s="5"/>
      <c r="H450" s="5"/>
      <c r="I450" s="5"/>
      <c r="J450" s="5"/>
      <c r="K450" s="5"/>
      <c r="L450" s="5"/>
      <c r="M450" s="5"/>
      <c r="N450" s="5"/>
      <c r="O450" s="5"/>
      <c r="P450" s="5"/>
      <c r="Q450" s="5"/>
      <c r="R450" s="5"/>
      <c r="S450" s="5"/>
      <c r="T450" s="5"/>
      <c r="U450" s="5"/>
      <c r="V450" s="5"/>
      <c r="W450" s="5"/>
      <c r="X450" s="5"/>
      <c r="Y450" s="5"/>
    </row>
    <row r="451" spans="1:25">
      <c r="A451" s="5"/>
      <c r="B451" s="5"/>
      <c r="C451" s="12"/>
      <c r="D451" s="12"/>
      <c r="E451" s="12"/>
      <c r="F451" s="5"/>
      <c r="G451" s="5"/>
      <c r="H451" s="5"/>
      <c r="I451" s="5"/>
      <c r="J451" s="5"/>
      <c r="K451" s="5"/>
      <c r="L451" s="5"/>
      <c r="M451" s="5"/>
      <c r="N451" s="5"/>
      <c r="O451" s="5"/>
      <c r="P451" s="5"/>
      <c r="Q451" s="5"/>
      <c r="R451" s="5"/>
      <c r="S451" s="5"/>
      <c r="T451" s="5"/>
      <c r="U451" s="5"/>
      <c r="V451" s="5"/>
      <c r="W451" s="5"/>
      <c r="X451" s="5"/>
      <c r="Y451" s="5"/>
    </row>
    <row r="452" spans="1:25">
      <c r="A452" s="5"/>
      <c r="B452" s="5"/>
      <c r="C452" s="12"/>
      <c r="D452" s="12"/>
      <c r="E452" s="12"/>
      <c r="F452" s="5"/>
      <c r="G452" s="5"/>
      <c r="H452" s="5"/>
      <c r="I452" s="5"/>
      <c r="J452" s="5"/>
      <c r="K452" s="5"/>
      <c r="L452" s="5"/>
      <c r="M452" s="5"/>
      <c r="N452" s="5"/>
      <c r="O452" s="5"/>
      <c r="P452" s="5"/>
      <c r="Q452" s="5"/>
      <c r="R452" s="5"/>
      <c r="S452" s="5"/>
      <c r="T452" s="5"/>
      <c r="U452" s="5"/>
      <c r="V452" s="5"/>
      <c r="W452" s="5"/>
      <c r="X452" s="5"/>
      <c r="Y452" s="5"/>
    </row>
    <row r="453" spans="1:25">
      <c r="A453" s="5"/>
      <c r="B453" s="5"/>
      <c r="C453" s="12"/>
      <c r="D453" s="12"/>
      <c r="E453" s="12"/>
      <c r="F453" s="5"/>
      <c r="G453" s="5"/>
      <c r="H453" s="5"/>
      <c r="I453" s="5"/>
      <c r="J453" s="5"/>
      <c r="K453" s="5"/>
      <c r="L453" s="5"/>
      <c r="M453" s="5"/>
      <c r="N453" s="5"/>
      <c r="O453" s="5"/>
      <c r="P453" s="5"/>
      <c r="Q453" s="5"/>
      <c r="R453" s="5"/>
      <c r="S453" s="5"/>
      <c r="T453" s="5"/>
      <c r="U453" s="5"/>
      <c r="V453" s="5"/>
      <c r="W453" s="5"/>
      <c r="X453" s="5"/>
      <c r="Y453" s="5"/>
    </row>
    <row r="454" spans="1:25">
      <c r="A454" s="5"/>
      <c r="B454" s="5"/>
      <c r="C454" s="12"/>
      <c r="D454" s="12"/>
      <c r="E454" s="12"/>
      <c r="F454" s="5"/>
      <c r="G454" s="5"/>
      <c r="H454" s="5"/>
      <c r="I454" s="5"/>
      <c r="J454" s="5"/>
      <c r="K454" s="5"/>
      <c r="L454" s="5"/>
      <c r="M454" s="5"/>
      <c r="N454" s="5"/>
      <c r="O454" s="5"/>
      <c r="P454" s="5"/>
      <c r="Q454" s="5"/>
      <c r="R454" s="5"/>
      <c r="S454" s="5"/>
      <c r="T454" s="5"/>
      <c r="U454" s="5"/>
      <c r="V454" s="5"/>
      <c r="W454" s="5"/>
      <c r="X454" s="5"/>
      <c r="Y454" s="5"/>
    </row>
    <row r="455" spans="1:25">
      <c r="A455" s="5"/>
      <c r="B455" s="5"/>
      <c r="C455" s="12"/>
      <c r="D455" s="12"/>
      <c r="E455" s="12"/>
      <c r="F455" s="5"/>
      <c r="G455" s="5"/>
      <c r="H455" s="5"/>
      <c r="I455" s="5"/>
      <c r="J455" s="5"/>
      <c r="K455" s="5"/>
      <c r="L455" s="5"/>
      <c r="M455" s="5"/>
      <c r="N455" s="5"/>
      <c r="O455" s="5"/>
      <c r="P455" s="5"/>
      <c r="Q455" s="5"/>
      <c r="R455" s="5"/>
      <c r="S455" s="5"/>
      <c r="T455" s="5"/>
      <c r="U455" s="5"/>
      <c r="V455" s="5"/>
      <c r="W455" s="5"/>
      <c r="X455" s="5"/>
      <c r="Y455" s="5"/>
    </row>
    <row r="456" spans="1:25">
      <c r="A456" s="5"/>
      <c r="B456" s="5"/>
      <c r="C456" s="12"/>
      <c r="D456" s="12"/>
      <c r="E456" s="12"/>
      <c r="F456" s="5"/>
      <c r="G456" s="5"/>
      <c r="H456" s="5"/>
      <c r="I456" s="5"/>
      <c r="J456" s="5"/>
      <c r="K456" s="5"/>
      <c r="L456" s="5"/>
      <c r="M456" s="5"/>
      <c r="N456" s="5"/>
      <c r="O456" s="5"/>
      <c r="P456" s="5"/>
      <c r="Q456" s="5"/>
      <c r="R456" s="5"/>
      <c r="S456" s="5"/>
      <c r="T456" s="5"/>
      <c r="U456" s="5"/>
      <c r="V456" s="5"/>
      <c r="W456" s="5"/>
      <c r="X456" s="5"/>
      <c r="Y456" s="5"/>
    </row>
    <row r="457" spans="1:25">
      <c r="A457" s="5"/>
      <c r="B457" s="5"/>
      <c r="C457" s="12"/>
      <c r="D457" s="12"/>
      <c r="E457" s="12"/>
      <c r="F457" s="5"/>
      <c r="G457" s="5"/>
      <c r="H457" s="5"/>
      <c r="I457" s="5"/>
      <c r="J457" s="5"/>
      <c r="K457" s="5"/>
      <c r="L457" s="5"/>
      <c r="M457" s="5"/>
      <c r="N457" s="5"/>
      <c r="O457" s="5"/>
      <c r="P457" s="5"/>
      <c r="Q457" s="5"/>
      <c r="R457" s="5"/>
      <c r="S457" s="5"/>
      <c r="T457" s="5"/>
      <c r="U457" s="5"/>
      <c r="V457" s="5"/>
      <c r="W457" s="5"/>
      <c r="X457" s="5"/>
      <c r="Y457" s="5"/>
    </row>
    <row r="458" spans="1:25">
      <c r="A458" s="5"/>
      <c r="B458" s="5"/>
      <c r="C458" s="12"/>
      <c r="D458" s="12"/>
      <c r="E458" s="12"/>
      <c r="F458" s="5"/>
      <c r="G458" s="5"/>
      <c r="H458" s="5"/>
      <c r="I458" s="5"/>
      <c r="J458" s="5"/>
      <c r="K458" s="5"/>
      <c r="L458" s="5"/>
      <c r="M458" s="5"/>
      <c r="N458" s="5"/>
      <c r="O458" s="5"/>
      <c r="P458" s="5"/>
      <c r="Q458" s="5"/>
      <c r="R458" s="5"/>
      <c r="S458" s="5"/>
      <c r="T458" s="5"/>
      <c r="U458" s="5"/>
      <c r="V458" s="5"/>
      <c r="W458" s="5"/>
      <c r="X458" s="5"/>
      <c r="Y458" s="5"/>
    </row>
    <row r="459" spans="1:25">
      <c r="A459" s="5"/>
      <c r="B459" s="5"/>
      <c r="C459" s="12"/>
      <c r="D459" s="12"/>
      <c r="E459" s="12"/>
      <c r="F459" s="5"/>
      <c r="G459" s="5"/>
      <c r="H459" s="5"/>
      <c r="I459" s="5"/>
      <c r="J459" s="5"/>
      <c r="K459" s="5"/>
      <c r="L459" s="5"/>
      <c r="M459" s="5"/>
      <c r="N459" s="5"/>
      <c r="O459" s="5"/>
      <c r="P459" s="5"/>
      <c r="Q459" s="5"/>
      <c r="R459" s="5"/>
      <c r="S459" s="5"/>
      <c r="T459" s="5"/>
      <c r="U459" s="5"/>
      <c r="V459" s="5"/>
      <c r="W459" s="5"/>
      <c r="X459" s="5"/>
      <c r="Y459" s="5"/>
    </row>
    <row r="460" spans="1:25">
      <c r="A460" s="5"/>
      <c r="B460" s="5"/>
      <c r="C460" s="12"/>
      <c r="D460" s="12"/>
      <c r="E460" s="12"/>
      <c r="F460" s="5"/>
      <c r="G460" s="5"/>
      <c r="H460" s="5"/>
      <c r="I460" s="5"/>
      <c r="J460" s="5"/>
      <c r="K460" s="5"/>
      <c r="L460" s="5"/>
      <c r="M460" s="5"/>
      <c r="N460" s="5"/>
      <c r="O460" s="5"/>
      <c r="P460" s="5"/>
      <c r="Q460" s="5"/>
      <c r="R460" s="5"/>
      <c r="S460" s="5"/>
      <c r="T460" s="5"/>
      <c r="U460" s="5"/>
      <c r="V460" s="5"/>
      <c r="W460" s="5"/>
      <c r="X460" s="5"/>
      <c r="Y460" s="5"/>
    </row>
    <row r="461" spans="1:25">
      <c r="A461" s="5"/>
      <c r="B461" s="5"/>
      <c r="C461" s="12"/>
      <c r="D461" s="12"/>
      <c r="E461" s="12"/>
      <c r="F461" s="5"/>
      <c r="G461" s="5"/>
      <c r="H461" s="5"/>
      <c r="I461" s="5"/>
      <c r="J461" s="5"/>
      <c r="K461" s="5"/>
      <c r="L461" s="5"/>
      <c r="M461" s="5"/>
      <c r="N461" s="5"/>
      <c r="O461" s="5"/>
      <c r="P461" s="5"/>
      <c r="Q461" s="5"/>
      <c r="R461" s="5"/>
      <c r="S461" s="5"/>
      <c r="T461" s="5"/>
      <c r="U461" s="5"/>
      <c r="V461" s="5"/>
      <c r="W461" s="5"/>
      <c r="X461" s="5"/>
      <c r="Y461" s="5"/>
    </row>
    <row r="462" spans="1:25">
      <c r="A462" s="5"/>
      <c r="B462" s="5"/>
      <c r="C462" s="12"/>
      <c r="D462" s="12"/>
      <c r="E462" s="12"/>
      <c r="F462" s="5"/>
      <c r="G462" s="5"/>
      <c r="H462" s="5"/>
      <c r="I462" s="5"/>
      <c r="J462" s="5"/>
      <c r="K462" s="5"/>
      <c r="L462" s="5"/>
      <c r="M462" s="5"/>
      <c r="N462" s="5"/>
      <c r="O462" s="5"/>
      <c r="P462" s="5"/>
      <c r="Q462" s="5"/>
      <c r="R462" s="5"/>
      <c r="S462" s="5"/>
      <c r="T462" s="5"/>
      <c r="U462" s="5"/>
      <c r="V462" s="5"/>
      <c r="W462" s="5"/>
      <c r="X462" s="5"/>
      <c r="Y462" s="5"/>
    </row>
    <row r="463" spans="1:25">
      <c r="A463" s="5"/>
      <c r="B463" s="5"/>
      <c r="C463" s="12"/>
      <c r="D463" s="12"/>
      <c r="E463" s="12"/>
      <c r="F463" s="5"/>
      <c r="G463" s="5"/>
      <c r="H463" s="5"/>
      <c r="I463" s="5"/>
      <c r="J463" s="5"/>
      <c r="K463" s="5"/>
      <c r="L463" s="5"/>
      <c r="M463" s="5"/>
      <c r="N463" s="5"/>
      <c r="O463" s="5"/>
      <c r="P463" s="5"/>
      <c r="Q463" s="5"/>
      <c r="R463" s="5"/>
      <c r="S463" s="5"/>
      <c r="T463" s="5"/>
      <c r="U463" s="5"/>
      <c r="V463" s="5"/>
      <c r="W463" s="5"/>
      <c r="X463" s="5"/>
      <c r="Y463" s="5"/>
    </row>
    <row r="464" spans="1:25">
      <c r="A464" s="5"/>
      <c r="B464" s="5"/>
      <c r="C464" s="12"/>
      <c r="D464" s="12"/>
      <c r="E464" s="12"/>
      <c r="F464" s="5"/>
      <c r="G464" s="5"/>
      <c r="H464" s="5"/>
      <c r="I464" s="5"/>
      <c r="J464" s="5"/>
      <c r="K464" s="5"/>
      <c r="L464" s="5"/>
      <c r="M464" s="5"/>
      <c r="N464" s="5"/>
      <c r="O464" s="5"/>
      <c r="P464" s="5"/>
      <c r="Q464" s="5"/>
      <c r="R464" s="5"/>
      <c r="S464" s="5"/>
      <c r="T464" s="5"/>
      <c r="U464" s="5"/>
      <c r="V464" s="5"/>
      <c r="W464" s="5"/>
      <c r="X464" s="5"/>
      <c r="Y464" s="5"/>
    </row>
    <row r="465" spans="1:25">
      <c r="A465" s="5"/>
      <c r="B465" s="5"/>
      <c r="C465" s="12"/>
      <c r="D465" s="12"/>
      <c r="E465" s="12"/>
      <c r="F465" s="5"/>
      <c r="G465" s="5"/>
      <c r="H465" s="5"/>
      <c r="I465" s="5"/>
      <c r="J465" s="5"/>
      <c r="K465" s="5"/>
      <c r="L465" s="5"/>
      <c r="M465" s="5"/>
      <c r="N465" s="5"/>
      <c r="O465" s="5"/>
      <c r="P465" s="5"/>
      <c r="Q465" s="5"/>
      <c r="R465" s="5"/>
      <c r="S465" s="5"/>
      <c r="T465" s="5"/>
      <c r="U465" s="5"/>
      <c r="V465" s="5"/>
      <c r="W465" s="5"/>
      <c r="X465" s="5"/>
      <c r="Y465" s="5"/>
    </row>
    <row r="466" spans="1:25">
      <c r="A466" s="5"/>
      <c r="B466" s="5"/>
      <c r="C466" s="12"/>
      <c r="D466" s="12"/>
      <c r="E466" s="12"/>
      <c r="F466" s="5"/>
      <c r="G466" s="5"/>
      <c r="H466" s="5"/>
      <c r="I466" s="5"/>
      <c r="J466" s="5"/>
      <c r="K466" s="5"/>
      <c r="L466" s="5"/>
      <c r="M466" s="5"/>
      <c r="N466" s="5"/>
      <c r="O466" s="5"/>
      <c r="P466" s="5"/>
      <c r="Q466" s="5"/>
      <c r="R466" s="5"/>
      <c r="S466" s="5"/>
      <c r="T466" s="5"/>
      <c r="U466" s="5"/>
      <c r="V466" s="5"/>
      <c r="W466" s="5"/>
      <c r="X466" s="5"/>
      <c r="Y466" s="5"/>
    </row>
    <row r="467" spans="1:25">
      <c r="A467" s="5"/>
      <c r="B467" s="5"/>
      <c r="C467" s="12"/>
      <c r="D467" s="12"/>
      <c r="E467" s="12"/>
      <c r="F467" s="5"/>
      <c r="G467" s="5"/>
      <c r="H467" s="5"/>
      <c r="I467" s="5"/>
      <c r="J467" s="5"/>
      <c r="K467" s="5"/>
      <c r="L467" s="5"/>
      <c r="M467" s="5"/>
      <c r="N467" s="5"/>
      <c r="O467" s="5"/>
      <c r="P467" s="5"/>
      <c r="Q467" s="5"/>
      <c r="R467" s="5"/>
      <c r="S467" s="5"/>
      <c r="T467" s="5"/>
      <c r="U467" s="5"/>
      <c r="V467" s="5"/>
      <c r="W467" s="5"/>
      <c r="X467" s="5"/>
      <c r="Y467" s="5"/>
    </row>
    <row r="468" spans="1:25">
      <c r="A468" s="5"/>
      <c r="B468" s="5"/>
      <c r="C468" s="12"/>
      <c r="D468" s="12"/>
      <c r="E468" s="12"/>
      <c r="F468" s="5"/>
      <c r="G468" s="5"/>
      <c r="H468" s="5"/>
      <c r="I468" s="5"/>
      <c r="J468" s="5"/>
      <c r="K468" s="5"/>
      <c r="L468" s="5"/>
      <c r="M468" s="5"/>
      <c r="N468" s="5"/>
      <c r="O468" s="5"/>
      <c r="P468" s="5"/>
      <c r="Q468" s="5"/>
      <c r="R468" s="5"/>
      <c r="S468" s="5"/>
      <c r="T468" s="5"/>
      <c r="U468" s="5"/>
      <c r="V468" s="5"/>
      <c r="W468" s="5"/>
      <c r="X468" s="5"/>
      <c r="Y468" s="5"/>
    </row>
    <row r="469" spans="1:25">
      <c r="A469" s="5"/>
      <c r="B469" s="5"/>
      <c r="C469" s="12"/>
      <c r="D469" s="12"/>
      <c r="E469" s="12"/>
      <c r="F469" s="5"/>
      <c r="G469" s="5"/>
      <c r="H469" s="5"/>
      <c r="I469" s="5"/>
      <c r="J469" s="5"/>
      <c r="K469" s="5"/>
      <c r="L469" s="5"/>
      <c r="M469" s="5"/>
      <c r="N469" s="5"/>
      <c r="O469" s="5"/>
      <c r="P469" s="5"/>
      <c r="Q469" s="5"/>
      <c r="R469" s="5"/>
      <c r="S469" s="5"/>
      <c r="T469" s="5"/>
      <c r="U469" s="5"/>
      <c r="V469" s="5"/>
      <c r="W469" s="5"/>
      <c r="X469" s="5"/>
      <c r="Y469" s="5"/>
    </row>
    <row r="470" spans="1:25">
      <c r="A470" s="5"/>
      <c r="B470" s="5"/>
      <c r="C470" s="12"/>
      <c r="D470" s="12"/>
      <c r="E470" s="12"/>
      <c r="F470" s="5"/>
      <c r="G470" s="5"/>
      <c r="H470" s="5"/>
      <c r="I470" s="5"/>
      <c r="J470" s="5"/>
      <c r="K470" s="5"/>
      <c r="L470" s="5"/>
      <c r="M470" s="5"/>
      <c r="N470" s="5"/>
      <c r="O470" s="5"/>
      <c r="P470" s="5"/>
      <c r="Q470" s="5"/>
      <c r="R470" s="5"/>
      <c r="S470" s="5"/>
      <c r="T470" s="5"/>
      <c r="U470" s="5"/>
      <c r="V470" s="5"/>
      <c r="W470" s="5"/>
      <c r="X470" s="5"/>
      <c r="Y470" s="5"/>
    </row>
    <row r="471" spans="1:25">
      <c r="A471" s="5"/>
      <c r="B471" s="5"/>
      <c r="C471" s="12"/>
      <c r="D471" s="12"/>
      <c r="E471" s="12"/>
      <c r="F471" s="5"/>
      <c r="G471" s="5"/>
      <c r="H471" s="5"/>
      <c r="I471" s="5"/>
      <c r="J471" s="5"/>
      <c r="K471" s="5"/>
      <c r="L471" s="5"/>
      <c r="M471" s="5"/>
      <c r="N471" s="5"/>
      <c r="O471" s="5"/>
      <c r="P471" s="5"/>
      <c r="Q471" s="5"/>
      <c r="R471" s="5"/>
      <c r="S471" s="5"/>
      <c r="T471" s="5"/>
      <c r="U471" s="5"/>
      <c r="V471" s="5"/>
      <c r="W471" s="5"/>
      <c r="X471" s="5"/>
      <c r="Y471" s="5"/>
    </row>
    <row r="472" spans="1:25">
      <c r="A472" s="5"/>
      <c r="B472" s="5"/>
      <c r="C472" s="12"/>
      <c r="D472" s="12"/>
      <c r="E472" s="12"/>
      <c r="F472" s="5"/>
      <c r="G472" s="5"/>
      <c r="H472" s="5"/>
      <c r="I472" s="5"/>
      <c r="J472" s="5"/>
      <c r="K472" s="5"/>
      <c r="L472" s="5"/>
      <c r="M472" s="5"/>
      <c r="N472" s="5"/>
      <c r="O472" s="5"/>
      <c r="P472" s="5"/>
      <c r="Q472" s="5"/>
      <c r="R472" s="5"/>
      <c r="S472" s="5"/>
      <c r="T472" s="5"/>
      <c r="U472" s="5"/>
      <c r="V472" s="5"/>
      <c r="W472" s="5"/>
      <c r="X472" s="5"/>
      <c r="Y472" s="5"/>
    </row>
    <row r="473" spans="1:25">
      <c r="A473" s="5"/>
      <c r="B473" s="5"/>
      <c r="C473" s="12"/>
      <c r="D473" s="12"/>
      <c r="E473" s="12"/>
      <c r="F473" s="5"/>
      <c r="G473" s="5"/>
      <c r="H473" s="5"/>
      <c r="I473" s="5"/>
      <c r="J473" s="5"/>
      <c r="K473" s="5"/>
      <c r="L473" s="5"/>
      <c r="M473" s="5"/>
      <c r="N473" s="5"/>
      <c r="O473" s="5"/>
      <c r="P473" s="5"/>
      <c r="Q473" s="5"/>
      <c r="R473" s="5"/>
      <c r="S473" s="5"/>
      <c r="T473" s="5"/>
      <c r="U473" s="5"/>
      <c r="V473" s="5"/>
      <c r="W473" s="5"/>
      <c r="X473" s="5"/>
      <c r="Y473" s="5"/>
    </row>
    <row r="474" spans="1:25">
      <c r="A474" s="5"/>
      <c r="B474" s="5"/>
      <c r="C474" s="12"/>
      <c r="D474" s="12"/>
      <c r="E474" s="12"/>
      <c r="F474" s="5"/>
      <c r="G474" s="5"/>
      <c r="H474" s="5"/>
      <c r="I474" s="5"/>
      <c r="J474" s="5"/>
      <c r="K474" s="5"/>
      <c r="L474" s="5"/>
      <c r="M474" s="5"/>
      <c r="N474" s="5"/>
      <c r="O474" s="5"/>
      <c r="P474" s="5"/>
      <c r="Q474" s="5"/>
      <c r="R474" s="5"/>
      <c r="S474" s="5"/>
      <c r="T474" s="5"/>
      <c r="U474" s="5"/>
      <c r="V474" s="5"/>
      <c r="W474" s="5"/>
      <c r="X474" s="5"/>
      <c r="Y474" s="5"/>
    </row>
    <row r="475" spans="1:25">
      <c r="A475" s="5"/>
      <c r="B475" s="5"/>
      <c r="C475" s="12"/>
      <c r="D475" s="12"/>
      <c r="E475" s="12"/>
      <c r="F475" s="5"/>
      <c r="G475" s="5"/>
      <c r="H475" s="5"/>
      <c r="I475" s="5"/>
      <c r="J475" s="5"/>
      <c r="K475" s="5"/>
      <c r="L475" s="5"/>
      <c r="M475" s="5"/>
      <c r="N475" s="5"/>
      <c r="O475" s="5"/>
      <c r="P475" s="5"/>
      <c r="Q475" s="5"/>
      <c r="R475" s="5"/>
      <c r="S475" s="5"/>
      <c r="T475" s="5"/>
      <c r="U475" s="5"/>
      <c r="V475" s="5"/>
      <c r="W475" s="5"/>
      <c r="X475" s="5"/>
      <c r="Y475" s="5"/>
    </row>
    <row r="476" spans="1:25">
      <c r="A476" s="5"/>
      <c r="B476" s="5"/>
      <c r="C476" s="12"/>
      <c r="D476" s="12"/>
      <c r="E476" s="12"/>
      <c r="F476" s="5"/>
      <c r="G476" s="5"/>
      <c r="H476" s="5"/>
      <c r="I476" s="5"/>
      <c r="J476" s="5"/>
      <c r="K476" s="5"/>
      <c r="L476" s="5"/>
      <c r="M476" s="5"/>
      <c r="N476" s="5"/>
      <c r="O476" s="5"/>
      <c r="P476" s="5"/>
      <c r="Q476" s="5"/>
      <c r="R476" s="5"/>
      <c r="S476" s="5"/>
      <c r="T476" s="5"/>
      <c r="U476" s="5"/>
      <c r="V476" s="5"/>
      <c r="W476" s="5"/>
      <c r="X476" s="5"/>
      <c r="Y476" s="5"/>
    </row>
    <row r="477" spans="1:25">
      <c r="A477" s="5"/>
      <c r="B477" s="5"/>
      <c r="C477" s="12"/>
      <c r="D477" s="12"/>
      <c r="E477" s="12"/>
      <c r="F477" s="5"/>
      <c r="G477" s="5"/>
      <c r="H477" s="5"/>
      <c r="I477" s="5"/>
      <c r="J477" s="5"/>
      <c r="K477" s="5"/>
      <c r="L477" s="5"/>
      <c r="M477" s="5"/>
      <c r="N477" s="5"/>
      <c r="O477" s="5"/>
      <c r="P477" s="5"/>
      <c r="Q477" s="5"/>
      <c r="R477" s="5"/>
      <c r="S477" s="5"/>
      <c r="T477" s="5"/>
      <c r="U477" s="5"/>
      <c r="V477" s="5"/>
      <c r="W477" s="5"/>
      <c r="X477" s="5"/>
      <c r="Y477" s="5"/>
    </row>
    <row r="478" spans="1:25">
      <c r="A478" s="5"/>
      <c r="B478" s="5"/>
      <c r="C478" s="12"/>
      <c r="D478" s="12"/>
      <c r="E478" s="12"/>
      <c r="F478" s="5"/>
      <c r="G478" s="5"/>
      <c r="H478" s="5"/>
      <c r="I478" s="5"/>
      <c r="J478" s="5"/>
      <c r="K478" s="5"/>
      <c r="L478" s="5"/>
      <c r="M478" s="5"/>
      <c r="N478" s="5"/>
      <c r="O478" s="5"/>
      <c r="P478" s="5"/>
      <c r="Q478" s="5"/>
      <c r="R478" s="5"/>
      <c r="S478" s="5"/>
      <c r="T478" s="5"/>
      <c r="U478" s="5"/>
      <c r="V478" s="5"/>
      <c r="W478" s="5"/>
      <c r="X478" s="5"/>
      <c r="Y478" s="5"/>
    </row>
    <row r="479" spans="1:25">
      <c r="A479" s="5"/>
      <c r="B479" s="5"/>
      <c r="C479" s="12"/>
      <c r="D479" s="12"/>
      <c r="E479" s="12"/>
      <c r="F479" s="5"/>
      <c r="G479" s="5"/>
      <c r="H479" s="5"/>
      <c r="I479" s="5"/>
      <c r="J479" s="5"/>
      <c r="K479" s="5"/>
      <c r="L479" s="5"/>
      <c r="M479" s="5"/>
      <c r="N479" s="5"/>
      <c r="O479" s="5"/>
      <c r="P479" s="5"/>
      <c r="Q479" s="5"/>
      <c r="R479" s="5"/>
      <c r="S479" s="5"/>
      <c r="T479" s="5"/>
      <c r="U479" s="5"/>
      <c r="V479" s="5"/>
      <c r="W479" s="5"/>
      <c r="X479" s="5"/>
      <c r="Y479" s="5"/>
    </row>
    <row r="480" spans="1:25">
      <c r="A480" s="5"/>
      <c r="B480" s="5"/>
      <c r="C480" s="12"/>
      <c r="D480" s="12"/>
      <c r="E480" s="12"/>
      <c r="F480" s="5"/>
      <c r="G480" s="5"/>
      <c r="H480" s="5"/>
      <c r="I480" s="5"/>
      <c r="J480" s="5"/>
      <c r="K480" s="5"/>
      <c r="L480" s="5"/>
      <c r="M480" s="5"/>
      <c r="N480" s="5"/>
      <c r="O480" s="5"/>
      <c r="P480" s="5"/>
      <c r="Q480" s="5"/>
      <c r="R480" s="5"/>
      <c r="S480" s="5"/>
      <c r="T480" s="5"/>
      <c r="U480" s="5"/>
      <c r="V480" s="5"/>
      <c r="W480" s="5"/>
      <c r="X480" s="5"/>
      <c r="Y480" s="5"/>
    </row>
    <row r="481" spans="1:25">
      <c r="A481" s="5"/>
      <c r="B481" s="5"/>
      <c r="C481" s="12"/>
      <c r="D481" s="12"/>
      <c r="E481" s="12"/>
      <c r="F481" s="5"/>
      <c r="G481" s="5"/>
      <c r="H481" s="5"/>
      <c r="I481" s="5"/>
      <c r="J481" s="5"/>
      <c r="K481" s="5"/>
      <c r="L481" s="5"/>
      <c r="M481" s="5"/>
      <c r="N481" s="5"/>
      <c r="O481" s="5"/>
      <c r="P481" s="5"/>
      <c r="Q481" s="5"/>
      <c r="R481" s="5"/>
      <c r="S481" s="5"/>
      <c r="T481" s="5"/>
      <c r="U481" s="5"/>
      <c r="V481" s="5"/>
      <c r="W481" s="5"/>
      <c r="X481" s="5"/>
      <c r="Y481" s="5"/>
    </row>
    <row r="482" spans="1:25">
      <c r="A482" s="5"/>
      <c r="B482" s="5"/>
      <c r="C482" s="12"/>
      <c r="D482" s="12"/>
      <c r="E482" s="12"/>
      <c r="F482" s="5"/>
      <c r="G482" s="5"/>
      <c r="H482" s="5"/>
      <c r="I482" s="5"/>
      <c r="J482" s="5"/>
      <c r="K482" s="5"/>
      <c r="L482" s="5"/>
      <c r="M482" s="5"/>
      <c r="N482" s="5"/>
      <c r="O482" s="5"/>
      <c r="P482" s="5"/>
      <c r="Q482" s="5"/>
      <c r="R482" s="5"/>
      <c r="S482" s="5"/>
      <c r="T482" s="5"/>
      <c r="U482" s="5"/>
      <c r="V482" s="5"/>
      <c r="W482" s="5"/>
      <c r="X482" s="5"/>
      <c r="Y482" s="5"/>
    </row>
    <row r="483" spans="1:25">
      <c r="A483" s="5"/>
      <c r="B483" s="5"/>
      <c r="C483" s="12"/>
      <c r="D483" s="12"/>
      <c r="E483" s="12"/>
      <c r="F483" s="5"/>
      <c r="G483" s="5"/>
      <c r="H483" s="5"/>
      <c r="I483" s="5"/>
      <c r="J483" s="5"/>
      <c r="K483" s="5"/>
      <c r="L483" s="5"/>
      <c r="M483" s="5"/>
      <c r="N483" s="5"/>
      <c r="O483" s="5"/>
      <c r="P483" s="5"/>
      <c r="Q483" s="5"/>
      <c r="R483" s="5"/>
      <c r="S483" s="5"/>
      <c r="T483" s="5"/>
      <c r="U483" s="5"/>
      <c r="V483" s="5"/>
      <c r="W483" s="5"/>
      <c r="X483" s="5"/>
      <c r="Y483" s="5"/>
    </row>
    <row r="484" spans="1:25">
      <c r="A484" s="5"/>
      <c r="B484" s="5"/>
      <c r="C484" s="12"/>
      <c r="D484" s="12"/>
      <c r="E484" s="12"/>
      <c r="F484" s="5"/>
      <c r="G484" s="5"/>
      <c r="H484" s="5"/>
      <c r="I484" s="5"/>
      <c r="J484" s="5"/>
      <c r="K484" s="5"/>
      <c r="L484" s="5"/>
      <c r="M484" s="5"/>
      <c r="N484" s="5"/>
      <c r="O484" s="5"/>
      <c r="P484" s="5"/>
      <c r="Q484" s="5"/>
      <c r="R484" s="5"/>
      <c r="S484" s="5"/>
      <c r="T484" s="5"/>
      <c r="U484" s="5"/>
      <c r="V484" s="5"/>
      <c r="W484" s="5"/>
      <c r="X484" s="5"/>
      <c r="Y484" s="5"/>
    </row>
    <row r="485" spans="1:25">
      <c r="A485" s="5"/>
      <c r="B485" s="5"/>
      <c r="C485" s="12"/>
      <c r="D485" s="12"/>
      <c r="E485" s="12"/>
      <c r="F485" s="5"/>
      <c r="G485" s="5"/>
      <c r="H485" s="5"/>
      <c r="I485" s="5"/>
      <c r="J485" s="5"/>
      <c r="K485" s="5"/>
      <c r="L485" s="5"/>
      <c r="M485" s="5"/>
      <c r="N485" s="5"/>
      <c r="O485" s="5"/>
      <c r="P485" s="5"/>
      <c r="Q485" s="5"/>
      <c r="R485" s="5"/>
      <c r="S485" s="5"/>
      <c r="T485" s="5"/>
      <c r="U485" s="5"/>
      <c r="V485" s="5"/>
      <c r="W485" s="5"/>
      <c r="X485" s="5"/>
      <c r="Y485" s="5"/>
    </row>
    <row r="486" spans="1:25">
      <c r="A486" s="5"/>
      <c r="B486" s="5"/>
      <c r="C486" s="12"/>
      <c r="D486" s="12"/>
      <c r="E486" s="12"/>
      <c r="F486" s="5"/>
      <c r="G486" s="5"/>
      <c r="H486" s="5"/>
      <c r="I486" s="5"/>
      <c r="J486" s="5"/>
      <c r="K486" s="5"/>
      <c r="L486" s="5"/>
      <c r="M486" s="5"/>
      <c r="N486" s="5"/>
      <c r="O486" s="5"/>
      <c r="P486" s="5"/>
      <c r="Q486" s="5"/>
      <c r="R486" s="5"/>
      <c r="S486" s="5"/>
      <c r="T486" s="5"/>
      <c r="U486" s="5"/>
      <c r="V486" s="5"/>
      <c r="W486" s="5"/>
      <c r="X486" s="5"/>
      <c r="Y486" s="5"/>
    </row>
    <row r="487" spans="1:25">
      <c r="A487" s="5"/>
      <c r="B487" s="5"/>
      <c r="C487" s="12"/>
      <c r="D487" s="12"/>
      <c r="E487" s="12"/>
      <c r="F487" s="5"/>
      <c r="G487" s="5"/>
      <c r="H487" s="5"/>
      <c r="I487" s="5"/>
      <c r="J487" s="5"/>
      <c r="K487" s="5"/>
      <c r="L487" s="5"/>
      <c r="M487" s="5"/>
      <c r="N487" s="5"/>
      <c r="O487" s="5"/>
      <c r="P487" s="5"/>
      <c r="Q487" s="5"/>
      <c r="R487" s="5"/>
      <c r="S487" s="5"/>
      <c r="T487" s="5"/>
      <c r="U487" s="5"/>
      <c r="V487" s="5"/>
      <c r="W487" s="5"/>
      <c r="X487" s="5"/>
      <c r="Y487" s="5"/>
    </row>
    <row r="488" spans="1:25">
      <c r="A488" s="5"/>
      <c r="B488" s="5"/>
      <c r="C488" s="12"/>
      <c r="D488" s="12"/>
      <c r="E488" s="12"/>
      <c r="F488" s="5"/>
      <c r="G488" s="5"/>
      <c r="H488" s="5"/>
      <c r="I488" s="5"/>
      <c r="J488" s="5"/>
      <c r="K488" s="5"/>
      <c r="L488" s="5"/>
      <c r="M488" s="5"/>
      <c r="N488" s="5"/>
      <c r="O488" s="5"/>
      <c r="P488" s="5"/>
      <c r="Q488" s="5"/>
      <c r="R488" s="5"/>
      <c r="S488" s="5"/>
      <c r="T488" s="5"/>
      <c r="U488" s="5"/>
      <c r="V488" s="5"/>
      <c r="W488" s="5"/>
      <c r="X488" s="5"/>
      <c r="Y488" s="5"/>
    </row>
    <row r="489" spans="1:25">
      <c r="A489" s="5"/>
      <c r="B489" s="5"/>
      <c r="C489" s="12"/>
      <c r="D489" s="12"/>
      <c r="E489" s="12"/>
      <c r="F489" s="5"/>
      <c r="G489" s="5"/>
      <c r="H489" s="5"/>
      <c r="I489" s="5"/>
      <c r="J489" s="5"/>
      <c r="K489" s="5"/>
      <c r="L489" s="5"/>
      <c r="M489" s="5"/>
      <c r="N489" s="5"/>
      <c r="O489" s="5"/>
      <c r="P489" s="5"/>
      <c r="Q489" s="5"/>
      <c r="R489" s="5"/>
      <c r="S489" s="5"/>
      <c r="T489" s="5"/>
      <c r="U489" s="5"/>
      <c r="V489" s="5"/>
      <c r="W489" s="5"/>
      <c r="X489" s="5"/>
      <c r="Y489" s="5"/>
    </row>
    <row r="490" spans="1:25">
      <c r="A490" s="5"/>
      <c r="B490" s="5"/>
      <c r="C490" s="12"/>
      <c r="D490" s="12"/>
      <c r="E490" s="12"/>
      <c r="F490" s="5"/>
      <c r="G490" s="5"/>
      <c r="H490" s="5"/>
      <c r="I490" s="5"/>
      <c r="J490" s="5"/>
      <c r="K490" s="5"/>
      <c r="L490" s="5"/>
      <c r="M490" s="5"/>
      <c r="N490" s="5"/>
      <c r="O490" s="5"/>
      <c r="P490" s="5"/>
      <c r="Q490" s="5"/>
      <c r="R490" s="5"/>
      <c r="S490" s="5"/>
      <c r="T490" s="5"/>
      <c r="U490" s="5"/>
      <c r="V490" s="5"/>
      <c r="W490" s="5"/>
      <c r="X490" s="5"/>
      <c r="Y490" s="5"/>
    </row>
    <row r="491" spans="1:25">
      <c r="A491" s="5"/>
      <c r="B491" s="5"/>
      <c r="C491" s="12"/>
      <c r="D491" s="12"/>
      <c r="E491" s="12"/>
      <c r="F491" s="5"/>
      <c r="G491" s="5"/>
      <c r="H491" s="5"/>
      <c r="I491" s="5"/>
      <c r="J491" s="5"/>
      <c r="K491" s="5"/>
      <c r="L491" s="5"/>
      <c r="M491" s="5"/>
      <c r="N491" s="5"/>
      <c r="O491" s="5"/>
      <c r="P491" s="5"/>
      <c r="Q491" s="5"/>
      <c r="R491" s="5"/>
      <c r="S491" s="5"/>
      <c r="T491" s="5"/>
      <c r="U491" s="5"/>
      <c r="V491" s="5"/>
      <c r="W491" s="5"/>
      <c r="X491" s="5"/>
      <c r="Y491" s="5"/>
    </row>
    <row r="492" spans="1:25">
      <c r="A492" s="5"/>
      <c r="B492" s="5"/>
      <c r="C492" s="12"/>
      <c r="D492" s="12"/>
      <c r="E492" s="12"/>
      <c r="F492" s="5"/>
      <c r="G492" s="5"/>
      <c r="H492" s="5"/>
      <c r="I492" s="5"/>
      <c r="J492" s="5"/>
      <c r="K492" s="5"/>
      <c r="L492" s="5"/>
      <c r="M492" s="5"/>
      <c r="N492" s="5"/>
      <c r="O492" s="5"/>
      <c r="P492" s="5"/>
      <c r="Q492" s="5"/>
      <c r="R492" s="5"/>
      <c r="S492" s="5"/>
      <c r="T492" s="5"/>
      <c r="U492" s="5"/>
      <c r="V492" s="5"/>
      <c r="W492" s="5"/>
      <c r="X492" s="5"/>
      <c r="Y492" s="5"/>
    </row>
    <row r="493" spans="1:25">
      <c r="A493" s="5"/>
      <c r="B493" s="5"/>
      <c r="C493" s="12"/>
      <c r="D493" s="12"/>
      <c r="E493" s="12"/>
      <c r="F493" s="5"/>
      <c r="G493" s="5"/>
      <c r="H493" s="5"/>
      <c r="I493" s="5"/>
      <c r="J493" s="5"/>
      <c r="K493" s="5"/>
      <c r="L493" s="5"/>
      <c r="M493" s="5"/>
      <c r="N493" s="5"/>
      <c r="O493" s="5"/>
      <c r="P493" s="5"/>
      <c r="Q493" s="5"/>
      <c r="R493" s="5"/>
      <c r="S493" s="5"/>
      <c r="T493" s="5"/>
      <c r="U493" s="5"/>
      <c r="V493" s="5"/>
      <c r="W493" s="5"/>
      <c r="X493" s="5"/>
      <c r="Y493" s="5"/>
    </row>
    <row r="494" spans="1:25">
      <c r="A494" s="5"/>
      <c r="B494" s="5"/>
      <c r="C494" s="12"/>
      <c r="D494" s="12"/>
      <c r="E494" s="12"/>
      <c r="F494" s="5"/>
      <c r="G494" s="5"/>
      <c r="H494" s="5"/>
      <c r="I494" s="5"/>
      <c r="J494" s="5"/>
      <c r="K494" s="5"/>
      <c r="L494" s="5"/>
      <c r="M494" s="5"/>
      <c r="N494" s="5"/>
      <c r="O494" s="5"/>
      <c r="P494" s="5"/>
      <c r="Q494" s="5"/>
      <c r="R494" s="5"/>
      <c r="S494" s="5"/>
      <c r="T494" s="5"/>
      <c r="U494" s="5"/>
      <c r="V494" s="5"/>
      <c r="W494" s="5"/>
      <c r="X494" s="5"/>
      <c r="Y494" s="5"/>
    </row>
    <row r="495" spans="1:25">
      <c r="A495" s="5"/>
      <c r="B495" s="5"/>
      <c r="C495" s="12"/>
      <c r="D495" s="12"/>
      <c r="E495" s="12"/>
      <c r="F495" s="5"/>
      <c r="G495" s="5"/>
      <c r="H495" s="5"/>
      <c r="I495" s="5"/>
      <c r="J495" s="5"/>
      <c r="K495" s="5"/>
      <c r="L495" s="5"/>
      <c r="M495" s="5"/>
      <c r="N495" s="5"/>
      <c r="O495" s="5"/>
      <c r="P495" s="5"/>
      <c r="Q495" s="5"/>
      <c r="R495" s="5"/>
      <c r="S495" s="5"/>
      <c r="T495" s="5"/>
      <c r="U495" s="5"/>
      <c r="V495" s="5"/>
      <c r="W495" s="5"/>
      <c r="X495" s="5"/>
      <c r="Y495" s="5"/>
    </row>
    <row r="496" spans="1:25">
      <c r="A496" s="5"/>
      <c r="B496" s="5"/>
      <c r="C496" s="12"/>
      <c r="D496" s="12"/>
      <c r="E496" s="12"/>
      <c r="F496" s="5"/>
      <c r="G496" s="5"/>
      <c r="H496" s="5"/>
      <c r="I496" s="5"/>
      <c r="J496" s="5"/>
      <c r="K496" s="5"/>
      <c r="L496" s="5"/>
      <c r="M496" s="5"/>
      <c r="N496" s="5"/>
      <c r="O496" s="5"/>
      <c r="P496" s="5"/>
      <c r="Q496" s="5"/>
      <c r="R496" s="5"/>
      <c r="S496" s="5"/>
      <c r="T496" s="5"/>
      <c r="U496" s="5"/>
      <c r="V496" s="5"/>
      <c r="W496" s="5"/>
      <c r="X496" s="5"/>
      <c r="Y496" s="5"/>
    </row>
    <row r="497" spans="1:25">
      <c r="A497" s="5"/>
      <c r="B497" s="5"/>
      <c r="C497" s="12"/>
      <c r="D497" s="12"/>
      <c r="E497" s="12"/>
      <c r="F497" s="5"/>
      <c r="G497" s="5"/>
      <c r="H497" s="5"/>
      <c r="I497" s="5"/>
      <c r="J497" s="5"/>
      <c r="K497" s="5"/>
      <c r="L497" s="5"/>
      <c r="M497" s="5"/>
      <c r="N497" s="5"/>
      <c r="O497" s="5"/>
      <c r="P497" s="5"/>
      <c r="Q497" s="5"/>
      <c r="R497" s="5"/>
      <c r="S497" s="5"/>
      <c r="T497" s="5"/>
      <c r="U497" s="5"/>
      <c r="V497" s="5"/>
      <c r="W497" s="5"/>
      <c r="X497" s="5"/>
      <c r="Y497" s="5"/>
    </row>
    <row r="498" spans="1:25">
      <c r="A498" s="5"/>
      <c r="B498" s="5"/>
      <c r="C498" s="12"/>
      <c r="D498" s="12"/>
      <c r="E498" s="12"/>
      <c r="F498" s="5"/>
      <c r="G498" s="5"/>
      <c r="H498" s="5"/>
      <c r="I498" s="5"/>
      <c r="J498" s="5"/>
      <c r="K498" s="5"/>
      <c r="L498" s="5"/>
      <c r="M498" s="5"/>
      <c r="N498" s="5"/>
      <c r="O498" s="5"/>
      <c r="P498" s="5"/>
      <c r="Q498" s="5"/>
      <c r="R498" s="5"/>
      <c r="S498" s="5"/>
      <c r="T498" s="5"/>
      <c r="U498" s="5"/>
      <c r="V498" s="5"/>
      <c r="W498" s="5"/>
      <c r="X498" s="5"/>
      <c r="Y498" s="5"/>
    </row>
    <row r="499" spans="1:25">
      <c r="A499" s="5"/>
      <c r="B499" s="5"/>
      <c r="C499" s="12"/>
      <c r="D499" s="12"/>
      <c r="E499" s="12"/>
      <c r="F499" s="5"/>
      <c r="G499" s="5"/>
      <c r="H499" s="5"/>
      <c r="I499" s="5"/>
      <c r="J499" s="5"/>
      <c r="K499" s="5"/>
      <c r="L499" s="5"/>
      <c r="M499" s="5"/>
      <c r="N499" s="5"/>
      <c r="O499" s="5"/>
      <c r="P499" s="5"/>
      <c r="Q499" s="5"/>
      <c r="R499" s="5"/>
      <c r="S499" s="5"/>
      <c r="T499" s="5"/>
      <c r="U499" s="5"/>
      <c r="V499" s="5"/>
      <c r="W499" s="5"/>
      <c r="X499" s="5"/>
      <c r="Y499" s="5"/>
    </row>
    <row r="500" spans="1:25">
      <c r="A500" s="5"/>
      <c r="B500" s="5"/>
      <c r="C500" s="12"/>
      <c r="D500" s="12"/>
      <c r="E500" s="12"/>
      <c r="F500" s="5"/>
      <c r="G500" s="5"/>
      <c r="H500" s="5"/>
      <c r="I500" s="5"/>
      <c r="J500" s="5"/>
      <c r="K500" s="5"/>
      <c r="L500" s="5"/>
      <c r="M500" s="5"/>
      <c r="N500" s="5"/>
      <c r="O500" s="5"/>
      <c r="P500" s="5"/>
      <c r="Q500" s="5"/>
      <c r="R500" s="5"/>
      <c r="S500" s="5"/>
      <c r="T500" s="5"/>
      <c r="U500" s="5"/>
      <c r="V500" s="5"/>
      <c r="W500" s="5"/>
      <c r="X500" s="5"/>
      <c r="Y500" s="5"/>
    </row>
    <row r="501" spans="1:25">
      <c r="A501" s="5"/>
      <c r="B501" s="5"/>
      <c r="C501" s="12"/>
      <c r="D501" s="12"/>
      <c r="E501" s="12"/>
      <c r="F501" s="5"/>
      <c r="G501" s="5"/>
      <c r="H501" s="5"/>
      <c r="I501" s="5"/>
      <c r="J501" s="5"/>
      <c r="K501" s="5"/>
      <c r="L501" s="5"/>
      <c r="M501" s="5"/>
      <c r="N501" s="5"/>
      <c r="O501" s="5"/>
      <c r="P501" s="5"/>
      <c r="Q501" s="5"/>
      <c r="R501" s="5"/>
      <c r="S501" s="5"/>
      <c r="T501" s="5"/>
      <c r="U501" s="5"/>
      <c r="V501" s="5"/>
      <c r="W501" s="5"/>
      <c r="X501" s="5"/>
      <c r="Y501" s="5"/>
    </row>
    <row r="502" spans="1:25">
      <c r="A502" s="5"/>
      <c r="B502" s="5"/>
      <c r="C502" s="12"/>
      <c r="D502" s="12"/>
      <c r="E502" s="12"/>
      <c r="F502" s="5"/>
      <c r="G502" s="5"/>
      <c r="H502" s="5"/>
      <c r="I502" s="5"/>
      <c r="J502" s="5"/>
      <c r="K502" s="5"/>
      <c r="L502" s="5"/>
      <c r="M502" s="5"/>
      <c r="N502" s="5"/>
      <c r="O502" s="5"/>
      <c r="P502" s="5"/>
      <c r="Q502" s="5"/>
      <c r="R502" s="5"/>
      <c r="S502" s="5"/>
      <c r="T502" s="5"/>
      <c r="U502" s="5"/>
      <c r="V502" s="5"/>
      <c r="W502" s="5"/>
      <c r="X502" s="5"/>
      <c r="Y502" s="5"/>
    </row>
    <row r="503" spans="1:25">
      <c r="A503" s="5"/>
      <c r="B503" s="5"/>
      <c r="C503" s="12"/>
      <c r="D503" s="12"/>
      <c r="E503" s="12"/>
      <c r="F503" s="5"/>
      <c r="G503" s="5"/>
      <c r="H503" s="5"/>
      <c r="I503" s="5"/>
      <c r="J503" s="5"/>
      <c r="K503" s="5"/>
      <c r="L503" s="5"/>
      <c r="M503" s="5"/>
      <c r="N503" s="5"/>
      <c r="O503" s="5"/>
      <c r="P503" s="5"/>
      <c r="Q503" s="5"/>
      <c r="R503" s="5"/>
      <c r="S503" s="5"/>
      <c r="T503" s="5"/>
      <c r="U503" s="5"/>
      <c r="V503" s="5"/>
      <c r="W503" s="5"/>
      <c r="X503" s="5"/>
      <c r="Y503" s="5"/>
    </row>
    <row r="504" spans="1:25">
      <c r="A504" s="5"/>
      <c r="B504" s="5"/>
      <c r="C504" s="12"/>
      <c r="D504" s="12"/>
      <c r="E504" s="12"/>
      <c r="F504" s="5"/>
      <c r="G504" s="5"/>
      <c r="H504" s="5"/>
      <c r="I504" s="5"/>
      <c r="J504" s="5"/>
      <c r="K504" s="5"/>
      <c r="L504" s="5"/>
      <c r="M504" s="5"/>
      <c r="N504" s="5"/>
      <c r="O504" s="5"/>
      <c r="P504" s="5"/>
      <c r="Q504" s="5"/>
      <c r="R504" s="5"/>
      <c r="S504" s="5"/>
      <c r="T504" s="5"/>
      <c r="U504" s="5"/>
      <c r="V504" s="5"/>
      <c r="W504" s="5"/>
      <c r="X504" s="5"/>
      <c r="Y504" s="5"/>
    </row>
    <row r="505" spans="1:25">
      <c r="A505" s="5"/>
      <c r="B505" s="5"/>
      <c r="C505" s="12"/>
      <c r="D505" s="12"/>
      <c r="E505" s="12"/>
      <c r="F505" s="5"/>
      <c r="G505" s="5"/>
      <c r="H505" s="5"/>
      <c r="I505" s="5"/>
      <c r="J505" s="5"/>
      <c r="K505" s="5"/>
      <c r="L505" s="5"/>
      <c r="M505" s="5"/>
      <c r="N505" s="5"/>
      <c r="O505" s="5"/>
      <c r="P505" s="5"/>
      <c r="Q505" s="5"/>
      <c r="R505" s="5"/>
      <c r="S505" s="5"/>
      <c r="T505" s="5"/>
      <c r="U505" s="5"/>
      <c r="V505" s="5"/>
      <c r="W505" s="5"/>
      <c r="X505" s="5"/>
      <c r="Y505" s="5"/>
    </row>
    <row r="506" spans="1:25">
      <c r="A506" s="5"/>
      <c r="B506" s="5"/>
      <c r="C506" s="12"/>
      <c r="D506" s="12"/>
      <c r="E506" s="12"/>
      <c r="F506" s="5"/>
      <c r="G506" s="5"/>
      <c r="H506" s="5"/>
      <c r="I506" s="5"/>
      <c r="J506" s="5"/>
      <c r="K506" s="5"/>
      <c r="L506" s="5"/>
      <c r="M506" s="5"/>
      <c r="N506" s="5"/>
      <c r="O506" s="5"/>
      <c r="P506" s="5"/>
      <c r="Q506" s="5"/>
      <c r="R506" s="5"/>
      <c r="S506" s="5"/>
      <c r="T506" s="5"/>
      <c r="U506" s="5"/>
      <c r="V506" s="5"/>
      <c r="W506" s="5"/>
      <c r="X506" s="5"/>
      <c r="Y506" s="5"/>
    </row>
    <row r="507" spans="1:25">
      <c r="A507" s="5"/>
      <c r="B507" s="5"/>
      <c r="C507" s="12"/>
      <c r="D507" s="12"/>
      <c r="E507" s="12"/>
      <c r="F507" s="5"/>
      <c r="G507" s="5"/>
      <c r="H507" s="5"/>
      <c r="I507" s="5"/>
      <c r="J507" s="5"/>
      <c r="K507" s="5"/>
      <c r="L507" s="5"/>
      <c r="M507" s="5"/>
      <c r="N507" s="5"/>
      <c r="O507" s="5"/>
      <c r="P507" s="5"/>
      <c r="Q507" s="5"/>
      <c r="R507" s="5"/>
      <c r="S507" s="5"/>
      <c r="T507" s="5"/>
      <c r="U507" s="5"/>
      <c r="V507" s="5"/>
      <c r="W507" s="5"/>
      <c r="X507" s="5"/>
      <c r="Y507" s="5"/>
    </row>
    <row r="508" spans="1:25">
      <c r="A508" s="5"/>
      <c r="B508" s="5"/>
      <c r="C508" s="12"/>
      <c r="D508" s="12"/>
      <c r="E508" s="12"/>
      <c r="F508" s="5"/>
      <c r="G508" s="5"/>
      <c r="H508" s="5"/>
      <c r="I508" s="5"/>
      <c r="J508" s="5"/>
      <c r="K508" s="5"/>
      <c r="L508" s="5"/>
      <c r="M508" s="5"/>
      <c r="N508" s="5"/>
      <c r="O508" s="5"/>
      <c r="P508" s="5"/>
      <c r="Q508" s="5"/>
      <c r="R508" s="5"/>
      <c r="S508" s="5"/>
      <c r="T508" s="5"/>
      <c r="U508" s="5"/>
      <c r="V508" s="5"/>
      <c r="W508" s="5"/>
      <c r="X508" s="5"/>
      <c r="Y508" s="5"/>
    </row>
    <row r="509" spans="1:25">
      <c r="A509" s="5"/>
      <c r="B509" s="5"/>
      <c r="C509" s="12"/>
      <c r="D509" s="12"/>
      <c r="E509" s="12"/>
      <c r="F509" s="5"/>
      <c r="G509" s="5"/>
      <c r="H509" s="5"/>
      <c r="I509" s="5"/>
      <c r="J509" s="5"/>
      <c r="K509" s="5"/>
      <c r="L509" s="5"/>
      <c r="M509" s="5"/>
      <c r="N509" s="5"/>
      <c r="O509" s="5"/>
      <c r="P509" s="5"/>
      <c r="Q509" s="5"/>
      <c r="R509" s="5"/>
      <c r="S509" s="5"/>
      <c r="T509" s="5"/>
      <c r="U509" s="5"/>
      <c r="V509" s="5"/>
      <c r="W509" s="5"/>
      <c r="X509" s="5"/>
      <c r="Y509" s="5"/>
    </row>
    <row r="510" spans="1:25">
      <c r="A510" s="5"/>
      <c r="B510" s="5"/>
      <c r="C510" s="12"/>
      <c r="D510" s="12"/>
      <c r="E510" s="12"/>
      <c r="F510" s="5"/>
      <c r="G510" s="5"/>
      <c r="H510" s="5"/>
      <c r="I510" s="5"/>
      <c r="J510" s="5"/>
      <c r="K510" s="5"/>
      <c r="L510" s="5"/>
      <c r="M510" s="5"/>
      <c r="N510" s="5"/>
      <c r="O510" s="5"/>
      <c r="P510" s="5"/>
      <c r="Q510" s="5"/>
      <c r="R510" s="5"/>
      <c r="S510" s="5"/>
      <c r="T510" s="5"/>
      <c r="U510" s="5"/>
      <c r="V510" s="5"/>
      <c r="W510" s="5"/>
      <c r="X510" s="5"/>
      <c r="Y510" s="5"/>
    </row>
    <row r="511" spans="1:25">
      <c r="A511" s="5"/>
      <c r="B511" s="5"/>
      <c r="C511" s="12"/>
      <c r="D511" s="12"/>
      <c r="E511" s="12"/>
      <c r="F511" s="5"/>
      <c r="G511" s="5"/>
      <c r="H511" s="5"/>
      <c r="I511" s="5"/>
      <c r="J511" s="5"/>
      <c r="K511" s="5"/>
      <c r="L511" s="5"/>
      <c r="M511" s="5"/>
      <c r="N511" s="5"/>
      <c r="O511" s="5"/>
      <c r="P511" s="5"/>
      <c r="Q511" s="5"/>
      <c r="R511" s="5"/>
      <c r="S511" s="5"/>
      <c r="T511" s="5"/>
      <c r="U511" s="5"/>
      <c r="V511" s="5"/>
      <c r="W511" s="5"/>
      <c r="X511" s="5"/>
      <c r="Y511" s="5"/>
    </row>
    <row r="512" spans="1:25">
      <c r="A512" s="5"/>
      <c r="B512" s="5"/>
      <c r="C512" s="12"/>
      <c r="D512" s="12"/>
      <c r="E512" s="12"/>
      <c r="F512" s="5"/>
      <c r="G512" s="5"/>
      <c r="H512" s="5"/>
      <c r="I512" s="5"/>
      <c r="J512" s="5"/>
      <c r="K512" s="5"/>
      <c r="L512" s="5"/>
      <c r="M512" s="5"/>
      <c r="N512" s="5"/>
      <c r="O512" s="5"/>
      <c r="P512" s="5"/>
      <c r="Q512" s="5"/>
      <c r="R512" s="5"/>
      <c r="S512" s="5"/>
      <c r="T512" s="5"/>
      <c r="U512" s="5"/>
      <c r="V512" s="5"/>
      <c r="W512" s="5"/>
      <c r="X512" s="5"/>
      <c r="Y512" s="5"/>
    </row>
    <row r="513" spans="1:25">
      <c r="A513" s="5"/>
      <c r="B513" s="5"/>
      <c r="C513" s="12"/>
      <c r="D513" s="12"/>
      <c r="E513" s="12"/>
      <c r="F513" s="5"/>
      <c r="G513" s="5"/>
      <c r="H513" s="5"/>
      <c r="I513" s="5"/>
      <c r="J513" s="5"/>
      <c r="K513" s="5"/>
      <c r="L513" s="5"/>
      <c r="M513" s="5"/>
      <c r="N513" s="5"/>
      <c r="O513" s="5"/>
      <c r="P513" s="5"/>
      <c r="Q513" s="5"/>
      <c r="R513" s="5"/>
      <c r="S513" s="5"/>
      <c r="T513" s="5"/>
      <c r="U513" s="5"/>
      <c r="V513" s="5"/>
      <c r="W513" s="5"/>
      <c r="X513" s="5"/>
      <c r="Y513" s="5"/>
    </row>
    <row r="514" spans="1:25">
      <c r="A514" s="5"/>
      <c r="B514" s="5"/>
      <c r="C514" s="12"/>
      <c r="D514" s="12"/>
      <c r="E514" s="12"/>
      <c r="F514" s="5"/>
      <c r="G514" s="5"/>
      <c r="H514" s="5"/>
      <c r="I514" s="5"/>
      <c r="J514" s="5"/>
      <c r="K514" s="5"/>
      <c r="L514" s="5"/>
      <c r="M514" s="5"/>
      <c r="N514" s="5"/>
      <c r="O514" s="5"/>
      <c r="P514" s="5"/>
      <c r="Q514" s="5"/>
      <c r="R514" s="5"/>
      <c r="S514" s="5"/>
      <c r="T514" s="5"/>
      <c r="U514" s="5"/>
      <c r="V514" s="5"/>
      <c r="W514" s="5"/>
      <c r="X514" s="5"/>
      <c r="Y514" s="5"/>
    </row>
    <row r="515" spans="1:25">
      <c r="A515" s="5"/>
      <c r="B515" s="5"/>
      <c r="C515" s="12"/>
      <c r="D515" s="12"/>
      <c r="E515" s="12"/>
      <c r="F515" s="5"/>
      <c r="G515" s="5"/>
      <c r="H515" s="5"/>
      <c r="I515" s="5"/>
      <c r="J515" s="5"/>
      <c r="K515" s="5"/>
      <c r="L515" s="5"/>
      <c r="M515" s="5"/>
      <c r="N515" s="5"/>
      <c r="O515" s="5"/>
      <c r="P515" s="5"/>
      <c r="Q515" s="5"/>
      <c r="R515" s="5"/>
      <c r="S515" s="5"/>
      <c r="T515" s="5"/>
      <c r="U515" s="5"/>
      <c r="V515" s="5"/>
      <c r="W515" s="5"/>
      <c r="X515" s="5"/>
      <c r="Y515" s="5"/>
    </row>
    <row r="516" spans="1:25">
      <c r="A516" s="5"/>
      <c r="B516" s="5"/>
      <c r="C516" s="12"/>
      <c r="D516" s="12"/>
      <c r="E516" s="12"/>
      <c r="F516" s="5"/>
      <c r="G516" s="5"/>
      <c r="H516" s="5"/>
      <c r="I516" s="5"/>
      <c r="J516" s="5"/>
      <c r="K516" s="5"/>
      <c r="L516" s="5"/>
      <c r="M516" s="5"/>
      <c r="N516" s="5"/>
      <c r="O516" s="5"/>
      <c r="P516" s="5"/>
      <c r="Q516" s="5"/>
      <c r="R516" s="5"/>
      <c r="S516" s="5"/>
      <c r="T516" s="5"/>
      <c r="U516" s="5"/>
      <c r="V516" s="5"/>
      <c r="W516" s="5"/>
      <c r="X516" s="5"/>
      <c r="Y516" s="5"/>
    </row>
    <row r="517" spans="1:25">
      <c r="A517" s="5"/>
      <c r="B517" s="5"/>
      <c r="C517" s="12"/>
      <c r="D517" s="12"/>
      <c r="E517" s="12"/>
      <c r="F517" s="5"/>
      <c r="G517" s="5"/>
      <c r="H517" s="5"/>
      <c r="I517" s="5"/>
      <c r="J517" s="5"/>
      <c r="K517" s="5"/>
      <c r="L517" s="5"/>
      <c r="M517" s="5"/>
      <c r="N517" s="5"/>
      <c r="O517" s="5"/>
      <c r="P517" s="5"/>
      <c r="Q517" s="5"/>
      <c r="R517" s="5"/>
      <c r="S517" s="5"/>
      <c r="T517" s="5"/>
      <c r="U517" s="5"/>
      <c r="V517" s="5"/>
      <c r="W517" s="5"/>
      <c r="X517" s="5"/>
      <c r="Y517" s="5"/>
    </row>
    <row r="518" spans="1:25">
      <c r="A518" s="5"/>
      <c r="B518" s="5"/>
      <c r="C518" s="12"/>
      <c r="D518" s="12"/>
      <c r="E518" s="12"/>
      <c r="F518" s="5"/>
      <c r="G518" s="5"/>
      <c r="H518" s="5"/>
      <c r="I518" s="5"/>
      <c r="J518" s="5"/>
      <c r="K518" s="5"/>
      <c r="L518" s="5"/>
      <c r="M518" s="5"/>
      <c r="N518" s="5"/>
      <c r="O518" s="5"/>
      <c r="P518" s="5"/>
      <c r="Q518" s="5"/>
      <c r="R518" s="5"/>
      <c r="S518" s="5"/>
      <c r="T518" s="5"/>
      <c r="U518" s="5"/>
      <c r="V518" s="5"/>
      <c r="W518" s="5"/>
      <c r="X518" s="5"/>
      <c r="Y518" s="5"/>
    </row>
    <row r="519" spans="1:25">
      <c r="A519" s="5"/>
      <c r="B519" s="5"/>
      <c r="C519" s="12"/>
      <c r="D519" s="12"/>
      <c r="E519" s="12"/>
      <c r="F519" s="5"/>
      <c r="G519" s="5"/>
      <c r="H519" s="5"/>
      <c r="I519" s="5"/>
      <c r="J519" s="5"/>
      <c r="K519" s="5"/>
      <c r="L519" s="5"/>
      <c r="M519" s="5"/>
      <c r="N519" s="5"/>
      <c r="O519" s="5"/>
      <c r="P519" s="5"/>
      <c r="Q519" s="5"/>
      <c r="R519" s="5"/>
      <c r="S519" s="5"/>
      <c r="T519" s="5"/>
      <c r="U519" s="5"/>
      <c r="V519" s="5"/>
      <c r="W519" s="5"/>
      <c r="X519" s="5"/>
      <c r="Y519" s="5"/>
    </row>
    <row r="520" spans="1:25">
      <c r="A520" s="5"/>
      <c r="B520" s="5"/>
      <c r="C520" s="12"/>
      <c r="D520" s="12"/>
      <c r="E520" s="12"/>
      <c r="F520" s="5"/>
      <c r="G520" s="5"/>
      <c r="H520" s="5"/>
      <c r="I520" s="5"/>
      <c r="J520" s="5"/>
      <c r="K520" s="5"/>
      <c r="L520" s="5"/>
      <c r="M520" s="5"/>
      <c r="N520" s="5"/>
      <c r="O520" s="5"/>
      <c r="P520" s="5"/>
      <c r="Q520" s="5"/>
      <c r="R520" s="5"/>
      <c r="S520" s="5"/>
      <c r="T520" s="5"/>
      <c r="U520" s="5"/>
      <c r="V520" s="5"/>
      <c r="W520" s="5"/>
      <c r="X520" s="5"/>
      <c r="Y520" s="5"/>
    </row>
    <row r="521" spans="1:25">
      <c r="A521" s="5"/>
      <c r="B521" s="5"/>
      <c r="C521" s="12"/>
      <c r="D521" s="12"/>
      <c r="E521" s="12"/>
      <c r="F521" s="5"/>
      <c r="G521" s="5"/>
      <c r="H521" s="5"/>
      <c r="I521" s="5"/>
      <c r="J521" s="5"/>
      <c r="K521" s="5"/>
      <c r="L521" s="5"/>
      <c r="M521" s="5"/>
      <c r="N521" s="5"/>
      <c r="O521" s="5"/>
      <c r="P521" s="5"/>
      <c r="Q521" s="5"/>
      <c r="R521" s="5"/>
      <c r="S521" s="5"/>
      <c r="T521" s="5"/>
      <c r="U521" s="5"/>
      <c r="V521" s="5"/>
      <c r="W521" s="5"/>
      <c r="X521" s="5"/>
      <c r="Y521" s="5"/>
    </row>
    <row r="522" spans="1:25">
      <c r="A522" s="5"/>
      <c r="B522" s="5"/>
      <c r="C522" s="12"/>
      <c r="D522" s="12"/>
      <c r="E522" s="12"/>
      <c r="F522" s="5"/>
      <c r="G522" s="5"/>
      <c r="H522" s="5"/>
      <c r="I522" s="5"/>
      <c r="J522" s="5"/>
      <c r="K522" s="5"/>
      <c r="L522" s="5"/>
      <c r="M522" s="5"/>
      <c r="N522" s="5"/>
      <c r="O522" s="5"/>
      <c r="P522" s="5"/>
      <c r="Q522" s="5"/>
      <c r="R522" s="5"/>
      <c r="S522" s="5"/>
      <c r="T522" s="5"/>
      <c r="U522" s="5"/>
      <c r="V522" s="5"/>
      <c r="W522" s="5"/>
      <c r="X522" s="5"/>
      <c r="Y522" s="5"/>
    </row>
    <row r="523" spans="1:25">
      <c r="A523" s="5"/>
      <c r="B523" s="5"/>
      <c r="C523" s="12"/>
      <c r="D523" s="12"/>
      <c r="E523" s="12"/>
      <c r="F523" s="5"/>
      <c r="G523" s="5"/>
      <c r="H523" s="5"/>
      <c r="I523" s="5"/>
      <c r="J523" s="5"/>
      <c r="K523" s="5"/>
      <c r="L523" s="5"/>
      <c r="M523" s="5"/>
      <c r="N523" s="5"/>
      <c r="O523" s="5"/>
      <c r="P523" s="5"/>
      <c r="Q523" s="5"/>
      <c r="R523" s="5"/>
      <c r="S523" s="5"/>
      <c r="T523" s="5"/>
      <c r="U523" s="5"/>
      <c r="V523" s="5"/>
      <c r="W523" s="5"/>
      <c r="X523" s="5"/>
      <c r="Y523" s="5"/>
    </row>
    <row r="524" spans="1:25">
      <c r="A524" s="5"/>
      <c r="B524" s="5"/>
      <c r="C524" s="12"/>
      <c r="D524" s="12"/>
      <c r="E524" s="12"/>
      <c r="F524" s="5"/>
      <c r="G524" s="5"/>
      <c r="H524" s="5"/>
      <c r="I524" s="5"/>
      <c r="J524" s="5"/>
      <c r="K524" s="5"/>
      <c r="L524" s="5"/>
      <c r="M524" s="5"/>
      <c r="N524" s="5"/>
      <c r="O524" s="5"/>
      <c r="P524" s="5"/>
      <c r="Q524" s="5"/>
      <c r="R524" s="5"/>
      <c r="S524" s="5"/>
      <c r="T524" s="5"/>
      <c r="U524" s="5"/>
      <c r="V524" s="5"/>
      <c r="W524" s="5"/>
      <c r="X524" s="5"/>
      <c r="Y524" s="5"/>
    </row>
    <row r="525" spans="1:25">
      <c r="A525" s="5"/>
      <c r="B525" s="5"/>
      <c r="C525" s="12"/>
      <c r="D525" s="12"/>
      <c r="E525" s="12"/>
      <c r="F525" s="5"/>
      <c r="G525" s="5"/>
      <c r="H525" s="5"/>
      <c r="I525" s="5"/>
      <c r="J525" s="5"/>
      <c r="K525" s="5"/>
      <c r="L525" s="5"/>
      <c r="M525" s="5"/>
      <c r="N525" s="5"/>
      <c r="O525" s="5"/>
      <c r="P525" s="5"/>
      <c r="Q525" s="5"/>
      <c r="R525" s="5"/>
      <c r="S525" s="5"/>
      <c r="T525" s="5"/>
      <c r="U525" s="5"/>
      <c r="V525" s="5"/>
      <c r="W525" s="5"/>
      <c r="X525" s="5"/>
      <c r="Y525" s="5"/>
    </row>
    <row r="526" spans="1:25">
      <c r="A526" s="5"/>
      <c r="B526" s="5"/>
      <c r="C526" s="12"/>
      <c r="D526" s="12"/>
      <c r="E526" s="12"/>
      <c r="F526" s="5"/>
      <c r="G526" s="5"/>
      <c r="H526" s="5"/>
      <c r="I526" s="5"/>
      <c r="J526" s="5"/>
      <c r="K526" s="5"/>
      <c r="L526" s="5"/>
      <c r="M526" s="5"/>
      <c r="N526" s="5"/>
      <c r="O526" s="5"/>
      <c r="P526" s="5"/>
      <c r="Q526" s="5"/>
      <c r="R526" s="5"/>
      <c r="S526" s="5"/>
      <c r="T526" s="5"/>
      <c r="U526" s="5"/>
      <c r="V526" s="5"/>
      <c r="W526" s="5"/>
      <c r="X526" s="5"/>
      <c r="Y526" s="5"/>
    </row>
    <row r="527" spans="1:25">
      <c r="A527" s="5"/>
      <c r="B527" s="5"/>
      <c r="C527" s="12"/>
      <c r="D527" s="12"/>
      <c r="E527" s="12"/>
      <c r="F527" s="5"/>
      <c r="G527" s="5"/>
      <c r="H527" s="5"/>
      <c r="I527" s="5"/>
      <c r="J527" s="5"/>
      <c r="K527" s="5"/>
      <c r="L527" s="5"/>
      <c r="M527" s="5"/>
      <c r="N527" s="5"/>
      <c r="O527" s="5"/>
      <c r="P527" s="5"/>
      <c r="Q527" s="5"/>
      <c r="R527" s="5"/>
      <c r="S527" s="5"/>
      <c r="T527" s="5"/>
      <c r="U527" s="5"/>
      <c r="V527" s="5"/>
      <c r="W527" s="5"/>
      <c r="X527" s="5"/>
      <c r="Y527" s="5"/>
    </row>
    <row r="528" spans="1:25">
      <c r="A528" s="5"/>
      <c r="B528" s="5"/>
      <c r="C528" s="12"/>
      <c r="D528" s="12"/>
      <c r="E528" s="12"/>
      <c r="F528" s="5"/>
      <c r="G528" s="5"/>
      <c r="H528" s="5"/>
      <c r="I528" s="5"/>
      <c r="J528" s="5"/>
      <c r="K528" s="5"/>
      <c r="L528" s="5"/>
      <c r="M528" s="5"/>
      <c r="N528" s="5"/>
      <c r="O528" s="5"/>
      <c r="P528" s="5"/>
      <c r="Q528" s="5"/>
      <c r="R528" s="5"/>
      <c r="S528" s="5"/>
      <c r="T528" s="5"/>
      <c r="U528" s="5"/>
      <c r="V528" s="5"/>
      <c r="W528" s="5"/>
      <c r="X528" s="5"/>
      <c r="Y528" s="5"/>
    </row>
    <row r="529" spans="1:25">
      <c r="A529" s="5"/>
      <c r="B529" s="5"/>
      <c r="C529" s="12"/>
      <c r="D529" s="12"/>
      <c r="E529" s="12"/>
      <c r="F529" s="5"/>
      <c r="G529" s="5"/>
      <c r="H529" s="5"/>
      <c r="I529" s="5"/>
      <c r="J529" s="5"/>
      <c r="K529" s="5"/>
      <c r="L529" s="5"/>
      <c r="M529" s="5"/>
      <c r="N529" s="5"/>
      <c r="O529" s="5"/>
      <c r="P529" s="5"/>
      <c r="Q529" s="5"/>
      <c r="R529" s="5"/>
      <c r="S529" s="5"/>
      <c r="T529" s="5"/>
      <c r="U529" s="5"/>
      <c r="V529" s="5"/>
      <c r="W529" s="5"/>
      <c r="X529" s="5"/>
      <c r="Y529" s="5"/>
    </row>
    <row r="530" spans="1:25">
      <c r="A530" s="5"/>
      <c r="B530" s="5"/>
      <c r="C530" s="12"/>
      <c r="D530" s="12"/>
      <c r="E530" s="12"/>
      <c r="F530" s="5"/>
      <c r="G530" s="5"/>
      <c r="H530" s="5"/>
      <c r="I530" s="5"/>
      <c r="J530" s="5"/>
      <c r="K530" s="5"/>
      <c r="L530" s="5"/>
      <c r="M530" s="5"/>
      <c r="N530" s="5"/>
      <c r="O530" s="5"/>
      <c r="P530" s="5"/>
      <c r="Q530" s="5"/>
      <c r="R530" s="5"/>
      <c r="S530" s="5"/>
      <c r="T530" s="5"/>
      <c r="U530" s="5"/>
      <c r="V530" s="5"/>
      <c r="W530" s="5"/>
      <c r="X530" s="5"/>
      <c r="Y530" s="5"/>
    </row>
    <row r="531" spans="1:25">
      <c r="A531" s="5"/>
      <c r="B531" s="5"/>
      <c r="C531" s="12"/>
      <c r="D531" s="12"/>
      <c r="E531" s="12"/>
      <c r="F531" s="5"/>
      <c r="G531" s="5"/>
      <c r="H531" s="5"/>
      <c r="I531" s="5"/>
      <c r="J531" s="5"/>
      <c r="K531" s="5"/>
      <c r="L531" s="5"/>
      <c r="M531" s="5"/>
      <c r="N531" s="5"/>
      <c r="O531" s="5"/>
      <c r="P531" s="5"/>
      <c r="Q531" s="5"/>
      <c r="R531" s="5"/>
      <c r="S531" s="5"/>
      <c r="T531" s="5"/>
      <c r="U531" s="5"/>
      <c r="V531" s="5"/>
      <c r="W531" s="5"/>
      <c r="X531" s="5"/>
      <c r="Y531" s="5"/>
    </row>
    <row r="532" spans="1:25">
      <c r="A532" s="5"/>
      <c r="B532" s="5"/>
      <c r="C532" s="12"/>
      <c r="D532" s="12"/>
      <c r="E532" s="12"/>
      <c r="F532" s="5"/>
      <c r="G532" s="5"/>
      <c r="H532" s="5"/>
      <c r="I532" s="5"/>
      <c r="J532" s="5"/>
      <c r="K532" s="5"/>
      <c r="L532" s="5"/>
      <c r="M532" s="5"/>
      <c r="N532" s="5"/>
      <c r="O532" s="5"/>
      <c r="P532" s="5"/>
      <c r="Q532" s="5"/>
      <c r="R532" s="5"/>
      <c r="S532" s="5"/>
      <c r="T532" s="5"/>
      <c r="U532" s="5"/>
      <c r="V532" s="5"/>
      <c r="W532" s="5"/>
      <c r="X532" s="5"/>
      <c r="Y532" s="5"/>
    </row>
    <row r="533" spans="1:25">
      <c r="A533" s="5"/>
      <c r="B533" s="5"/>
      <c r="C533" s="12"/>
      <c r="D533" s="12"/>
      <c r="E533" s="12"/>
      <c r="F533" s="5"/>
      <c r="G533" s="5"/>
      <c r="H533" s="5"/>
      <c r="I533" s="5"/>
      <c r="J533" s="5"/>
      <c r="K533" s="5"/>
      <c r="L533" s="5"/>
      <c r="M533" s="5"/>
      <c r="N533" s="5"/>
      <c r="O533" s="5"/>
      <c r="P533" s="5"/>
      <c r="Q533" s="5"/>
      <c r="R533" s="5"/>
      <c r="S533" s="5"/>
      <c r="T533" s="5"/>
      <c r="U533" s="5"/>
      <c r="V533" s="5"/>
      <c r="W533" s="5"/>
      <c r="X533" s="5"/>
      <c r="Y533" s="5"/>
    </row>
    <row r="534" spans="1:25">
      <c r="A534" s="5"/>
      <c r="B534" s="5"/>
      <c r="C534" s="12"/>
      <c r="D534" s="12"/>
      <c r="E534" s="12"/>
      <c r="F534" s="5"/>
      <c r="G534" s="5"/>
      <c r="H534" s="5"/>
      <c r="I534" s="5"/>
      <c r="J534" s="5"/>
      <c r="K534" s="5"/>
      <c r="L534" s="5"/>
      <c r="M534" s="5"/>
      <c r="N534" s="5"/>
      <c r="O534" s="5"/>
      <c r="P534" s="5"/>
      <c r="Q534" s="5"/>
      <c r="R534" s="5"/>
      <c r="S534" s="5"/>
      <c r="T534" s="5"/>
      <c r="U534" s="5"/>
      <c r="V534" s="5"/>
      <c r="W534" s="5"/>
      <c r="X534" s="5"/>
      <c r="Y534" s="5"/>
    </row>
    <row r="535" spans="1:25">
      <c r="A535" s="5"/>
      <c r="B535" s="5"/>
      <c r="C535" s="12"/>
      <c r="D535" s="12"/>
      <c r="E535" s="12"/>
      <c r="F535" s="5"/>
      <c r="G535" s="5"/>
      <c r="H535" s="5"/>
      <c r="I535" s="5"/>
      <c r="J535" s="5"/>
      <c r="K535" s="5"/>
      <c r="L535" s="5"/>
      <c r="M535" s="5"/>
      <c r="N535" s="5"/>
      <c r="O535" s="5"/>
      <c r="P535" s="5"/>
      <c r="Q535" s="5"/>
      <c r="R535" s="5"/>
      <c r="S535" s="5"/>
      <c r="T535" s="5"/>
      <c r="U535" s="5"/>
      <c r="V535" s="5"/>
      <c r="W535" s="5"/>
      <c r="X535" s="5"/>
      <c r="Y535" s="5"/>
    </row>
    <row r="536" spans="1:25">
      <c r="A536" s="5"/>
      <c r="B536" s="5"/>
      <c r="C536" s="12"/>
      <c r="D536" s="12"/>
      <c r="E536" s="12"/>
      <c r="F536" s="5"/>
      <c r="G536" s="5"/>
      <c r="H536" s="5"/>
      <c r="I536" s="5"/>
      <c r="J536" s="5"/>
      <c r="K536" s="5"/>
      <c r="L536" s="5"/>
      <c r="M536" s="5"/>
      <c r="N536" s="5"/>
      <c r="O536" s="5"/>
      <c r="P536" s="5"/>
      <c r="Q536" s="5"/>
      <c r="R536" s="5"/>
      <c r="S536" s="5"/>
      <c r="T536" s="5"/>
      <c r="U536" s="5"/>
      <c r="V536" s="5"/>
      <c r="W536" s="5"/>
      <c r="X536" s="5"/>
      <c r="Y536" s="5"/>
    </row>
    <row r="537" spans="1:25">
      <c r="A537" s="5"/>
      <c r="B537" s="5"/>
      <c r="C537" s="12"/>
      <c r="D537" s="12"/>
      <c r="E537" s="12"/>
      <c r="F537" s="5"/>
      <c r="G537" s="5"/>
      <c r="H537" s="5"/>
      <c r="I537" s="5"/>
      <c r="J537" s="5"/>
      <c r="K537" s="5"/>
      <c r="L537" s="5"/>
      <c r="M537" s="5"/>
      <c r="N537" s="5"/>
      <c r="O537" s="5"/>
      <c r="P537" s="5"/>
      <c r="Q537" s="5"/>
      <c r="R537" s="5"/>
      <c r="S537" s="5"/>
      <c r="T537" s="5"/>
      <c r="U537" s="5"/>
      <c r="V537" s="5"/>
      <c r="W537" s="5"/>
      <c r="X537" s="5"/>
      <c r="Y537" s="5"/>
    </row>
    <row r="538" spans="1:25">
      <c r="A538" s="5"/>
      <c r="B538" s="5"/>
      <c r="C538" s="12"/>
      <c r="D538" s="12"/>
      <c r="E538" s="12"/>
      <c r="F538" s="5"/>
      <c r="G538" s="5"/>
      <c r="H538" s="5"/>
      <c r="I538" s="5"/>
      <c r="J538" s="5"/>
      <c r="K538" s="5"/>
      <c r="L538" s="5"/>
      <c r="M538" s="5"/>
      <c r="N538" s="5"/>
      <c r="O538" s="5"/>
      <c r="P538" s="5"/>
      <c r="Q538" s="5"/>
      <c r="R538" s="5"/>
      <c r="S538" s="5"/>
      <c r="T538" s="5"/>
      <c r="U538" s="5"/>
      <c r="V538" s="5"/>
      <c r="W538" s="5"/>
      <c r="X538" s="5"/>
      <c r="Y538" s="5"/>
    </row>
    <row r="539" spans="1:25">
      <c r="A539" s="5"/>
      <c r="B539" s="5"/>
      <c r="C539" s="12"/>
      <c r="D539" s="12"/>
      <c r="E539" s="12"/>
      <c r="F539" s="5"/>
      <c r="G539" s="5"/>
      <c r="H539" s="5"/>
      <c r="I539" s="5"/>
      <c r="J539" s="5"/>
      <c r="K539" s="5"/>
      <c r="L539" s="5"/>
      <c r="M539" s="5"/>
      <c r="N539" s="5"/>
      <c r="O539" s="5"/>
      <c r="P539" s="5"/>
      <c r="Q539" s="5"/>
      <c r="R539" s="5"/>
      <c r="S539" s="5"/>
      <c r="T539" s="5"/>
      <c r="U539" s="5"/>
      <c r="V539" s="5"/>
      <c r="W539" s="5"/>
      <c r="X539" s="5"/>
      <c r="Y539" s="5"/>
    </row>
    <row r="540" spans="1:25">
      <c r="A540" s="5"/>
      <c r="B540" s="5"/>
      <c r="C540" s="12"/>
      <c r="D540" s="12"/>
      <c r="E540" s="12"/>
      <c r="F540" s="5"/>
      <c r="G540" s="5"/>
      <c r="H540" s="5"/>
      <c r="I540" s="5"/>
      <c r="J540" s="5"/>
      <c r="K540" s="5"/>
      <c r="L540" s="5"/>
      <c r="M540" s="5"/>
      <c r="N540" s="5"/>
      <c r="O540" s="5"/>
      <c r="P540" s="5"/>
      <c r="Q540" s="5"/>
      <c r="R540" s="5"/>
      <c r="S540" s="5"/>
      <c r="T540" s="5"/>
      <c r="U540" s="5"/>
      <c r="V540" s="5"/>
      <c r="W540" s="5"/>
      <c r="X540" s="5"/>
      <c r="Y540" s="5"/>
    </row>
    <row r="541" spans="1:25">
      <c r="A541" s="5"/>
      <c r="B541" s="5"/>
      <c r="C541" s="12"/>
      <c r="D541" s="12"/>
      <c r="E541" s="12"/>
      <c r="F541" s="5"/>
      <c r="G541" s="5"/>
      <c r="H541" s="5"/>
      <c r="I541" s="5"/>
      <c r="J541" s="5"/>
      <c r="K541" s="5"/>
      <c r="L541" s="5"/>
      <c r="M541" s="5"/>
      <c r="N541" s="5"/>
      <c r="O541" s="5"/>
      <c r="P541" s="5"/>
      <c r="Q541" s="5"/>
      <c r="R541" s="5"/>
      <c r="S541" s="5"/>
      <c r="T541" s="5"/>
      <c r="U541" s="5"/>
      <c r="V541" s="5"/>
      <c r="W541" s="5"/>
      <c r="X541" s="5"/>
      <c r="Y541" s="5"/>
    </row>
    <row r="542" spans="1:25">
      <c r="A542" s="5"/>
      <c r="B542" s="5"/>
      <c r="C542" s="12"/>
      <c r="D542" s="12"/>
      <c r="E542" s="12"/>
      <c r="F542" s="5"/>
      <c r="G542" s="5"/>
      <c r="H542" s="5"/>
      <c r="I542" s="5"/>
      <c r="J542" s="5"/>
      <c r="K542" s="5"/>
      <c r="L542" s="5"/>
      <c r="M542" s="5"/>
      <c r="N542" s="5"/>
      <c r="O542" s="5"/>
      <c r="P542" s="5"/>
      <c r="Q542" s="5"/>
      <c r="R542" s="5"/>
      <c r="S542" s="5"/>
      <c r="T542" s="5"/>
      <c r="U542" s="5"/>
      <c r="V542" s="5"/>
      <c r="W542" s="5"/>
      <c r="X542" s="5"/>
      <c r="Y542" s="5"/>
    </row>
    <row r="543" spans="1:25">
      <c r="A543" s="5"/>
      <c r="B543" s="5"/>
      <c r="C543" s="12"/>
      <c r="D543" s="12"/>
      <c r="E543" s="12"/>
      <c r="F543" s="5"/>
      <c r="G543" s="5"/>
      <c r="H543" s="5"/>
      <c r="I543" s="5"/>
      <c r="J543" s="5"/>
      <c r="K543" s="5"/>
      <c r="L543" s="5"/>
      <c r="M543" s="5"/>
      <c r="N543" s="5"/>
      <c r="O543" s="5"/>
      <c r="P543" s="5"/>
      <c r="Q543" s="5"/>
      <c r="R543" s="5"/>
      <c r="S543" s="5"/>
      <c r="T543" s="5"/>
      <c r="U543" s="5"/>
      <c r="V543" s="5"/>
      <c r="W543" s="5"/>
      <c r="X543" s="5"/>
      <c r="Y543" s="5"/>
    </row>
    <row r="544" spans="1:25">
      <c r="A544" s="5"/>
      <c r="B544" s="5"/>
      <c r="C544" s="12"/>
      <c r="D544" s="12"/>
      <c r="E544" s="12"/>
      <c r="F544" s="5"/>
      <c r="G544" s="5"/>
      <c r="H544" s="5"/>
      <c r="I544" s="5"/>
      <c r="J544" s="5"/>
      <c r="K544" s="5"/>
      <c r="L544" s="5"/>
      <c r="M544" s="5"/>
      <c r="N544" s="5"/>
      <c r="O544" s="5"/>
      <c r="P544" s="5"/>
      <c r="Q544" s="5"/>
      <c r="R544" s="5"/>
      <c r="S544" s="5"/>
      <c r="T544" s="5"/>
      <c r="U544" s="5"/>
      <c r="V544" s="5"/>
      <c r="W544" s="5"/>
      <c r="X544" s="5"/>
      <c r="Y544" s="5"/>
    </row>
    <row r="545" spans="1:25">
      <c r="A545" s="5"/>
      <c r="B545" s="5"/>
      <c r="C545" s="12"/>
      <c r="D545" s="12"/>
      <c r="E545" s="12"/>
      <c r="F545" s="5"/>
      <c r="G545" s="5"/>
      <c r="H545" s="5"/>
      <c r="I545" s="5"/>
      <c r="J545" s="5"/>
      <c r="K545" s="5"/>
      <c r="L545" s="5"/>
      <c r="M545" s="5"/>
      <c r="N545" s="5"/>
      <c r="O545" s="5"/>
      <c r="P545" s="5"/>
      <c r="Q545" s="5"/>
      <c r="R545" s="5"/>
      <c r="S545" s="5"/>
      <c r="T545" s="5"/>
      <c r="U545" s="5"/>
      <c r="V545" s="5"/>
      <c r="W545" s="5"/>
      <c r="X545" s="5"/>
      <c r="Y545" s="5"/>
    </row>
    <row r="546" spans="1:25">
      <c r="A546" s="5"/>
      <c r="B546" s="5"/>
      <c r="C546" s="12"/>
      <c r="D546" s="12"/>
      <c r="E546" s="12"/>
      <c r="F546" s="5"/>
      <c r="G546" s="5"/>
      <c r="H546" s="5"/>
      <c r="I546" s="5"/>
      <c r="J546" s="5"/>
      <c r="K546" s="5"/>
      <c r="L546" s="5"/>
      <c r="M546" s="5"/>
      <c r="N546" s="5"/>
      <c r="O546" s="5"/>
      <c r="P546" s="5"/>
      <c r="Q546" s="5"/>
      <c r="R546" s="5"/>
      <c r="S546" s="5"/>
      <c r="T546" s="5"/>
      <c r="U546" s="5"/>
      <c r="V546" s="5"/>
      <c r="W546" s="5"/>
      <c r="X546" s="5"/>
      <c r="Y546" s="5"/>
    </row>
    <row r="547" spans="1:25">
      <c r="A547" s="5"/>
      <c r="B547" s="5"/>
      <c r="C547" s="12"/>
      <c r="D547" s="12"/>
      <c r="E547" s="12"/>
      <c r="F547" s="5"/>
      <c r="G547" s="5"/>
      <c r="H547" s="5"/>
      <c r="I547" s="5"/>
      <c r="J547" s="5"/>
      <c r="K547" s="5"/>
      <c r="L547" s="5"/>
      <c r="M547" s="5"/>
      <c r="N547" s="5"/>
      <c r="O547" s="5"/>
      <c r="P547" s="5"/>
      <c r="Q547" s="5"/>
      <c r="R547" s="5"/>
      <c r="S547" s="5"/>
      <c r="T547" s="5"/>
      <c r="U547" s="5"/>
      <c r="V547" s="5"/>
      <c r="W547" s="5"/>
      <c r="X547" s="5"/>
      <c r="Y547" s="5"/>
    </row>
    <row r="548" spans="1:25">
      <c r="A548" s="5"/>
      <c r="B548" s="5"/>
      <c r="C548" s="12"/>
      <c r="D548" s="12"/>
      <c r="E548" s="12"/>
      <c r="F548" s="5"/>
      <c r="G548" s="5"/>
      <c r="H548" s="5"/>
      <c r="I548" s="5"/>
      <c r="J548" s="5"/>
      <c r="K548" s="5"/>
      <c r="L548" s="5"/>
      <c r="M548" s="5"/>
      <c r="N548" s="5"/>
      <c r="O548" s="5"/>
      <c r="P548" s="5"/>
      <c r="Q548" s="5"/>
      <c r="R548" s="5"/>
      <c r="S548" s="5"/>
      <c r="T548" s="5"/>
      <c r="U548" s="5"/>
      <c r="V548" s="5"/>
      <c r="W548" s="5"/>
      <c r="X548" s="5"/>
      <c r="Y548" s="5"/>
    </row>
    <row r="549" spans="1:25">
      <c r="A549" s="5"/>
      <c r="B549" s="5"/>
      <c r="C549" s="12"/>
      <c r="D549" s="12"/>
      <c r="E549" s="12"/>
      <c r="F549" s="5"/>
      <c r="G549" s="5"/>
      <c r="H549" s="5"/>
      <c r="I549" s="5"/>
      <c r="J549" s="5"/>
      <c r="K549" s="5"/>
      <c r="L549" s="5"/>
      <c r="M549" s="5"/>
      <c r="N549" s="5"/>
      <c r="O549" s="5"/>
      <c r="P549" s="5"/>
      <c r="Q549" s="5"/>
      <c r="R549" s="5"/>
      <c r="S549" s="5"/>
      <c r="T549" s="5"/>
      <c r="U549" s="5"/>
      <c r="V549" s="5"/>
      <c r="W549" s="5"/>
      <c r="X549" s="5"/>
      <c r="Y549" s="5"/>
    </row>
    <row r="550" spans="1:25">
      <c r="A550" s="5"/>
      <c r="B550" s="5"/>
      <c r="C550" s="12"/>
      <c r="D550" s="12"/>
      <c r="E550" s="12"/>
      <c r="F550" s="5"/>
      <c r="G550" s="5"/>
      <c r="H550" s="5"/>
      <c r="I550" s="5"/>
      <c r="J550" s="5"/>
      <c r="K550" s="5"/>
      <c r="L550" s="5"/>
      <c r="M550" s="5"/>
      <c r="N550" s="5"/>
      <c r="O550" s="5"/>
      <c r="P550" s="5"/>
      <c r="Q550" s="5"/>
      <c r="R550" s="5"/>
      <c r="S550" s="5"/>
      <c r="T550" s="5"/>
      <c r="U550" s="5"/>
      <c r="V550" s="5"/>
      <c r="W550" s="5"/>
      <c r="X550" s="5"/>
      <c r="Y550" s="5"/>
    </row>
    <row r="551" spans="1:25">
      <c r="A551" s="5"/>
      <c r="B551" s="5"/>
      <c r="C551" s="12"/>
      <c r="D551" s="12"/>
      <c r="E551" s="12"/>
      <c r="F551" s="5"/>
      <c r="G551" s="5"/>
      <c r="H551" s="5"/>
      <c r="I551" s="5"/>
      <c r="J551" s="5"/>
      <c r="K551" s="5"/>
      <c r="L551" s="5"/>
      <c r="M551" s="5"/>
      <c r="N551" s="5"/>
      <c r="O551" s="5"/>
      <c r="P551" s="5"/>
      <c r="Q551" s="5"/>
      <c r="R551" s="5"/>
      <c r="S551" s="5"/>
      <c r="T551" s="5"/>
      <c r="U551" s="5"/>
      <c r="V551" s="5"/>
      <c r="W551" s="5"/>
      <c r="X551" s="5"/>
      <c r="Y551" s="5"/>
    </row>
    <row r="552" spans="1:25">
      <c r="A552" s="5"/>
      <c r="B552" s="5"/>
      <c r="C552" s="12"/>
      <c r="D552" s="12"/>
      <c r="E552" s="12"/>
      <c r="F552" s="5"/>
      <c r="G552" s="5"/>
      <c r="H552" s="5"/>
      <c r="I552" s="5"/>
      <c r="J552" s="5"/>
      <c r="K552" s="5"/>
      <c r="L552" s="5"/>
      <c r="M552" s="5"/>
      <c r="N552" s="5"/>
      <c r="O552" s="5"/>
      <c r="P552" s="5"/>
      <c r="Q552" s="5"/>
      <c r="R552" s="5"/>
      <c r="S552" s="5"/>
      <c r="T552" s="5"/>
      <c r="U552" s="5"/>
      <c r="V552" s="5"/>
      <c r="W552" s="5"/>
      <c r="X552" s="5"/>
      <c r="Y552" s="5"/>
    </row>
    <row r="553" spans="1:25">
      <c r="A553" s="5"/>
      <c r="B553" s="5"/>
      <c r="C553" s="12"/>
      <c r="D553" s="12"/>
      <c r="E553" s="12"/>
      <c r="F553" s="5"/>
      <c r="G553" s="5"/>
      <c r="H553" s="5"/>
      <c r="I553" s="5"/>
      <c r="J553" s="5"/>
      <c r="K553" s="5"/>
      <c r="L553" s="5"/>
      <c r="M553" s="5"/>
      <c r="N553" s="5"/>
      <c r="O553" s="5"/>
      <c r="P553" s="5"/>
      <c r="Q553" s="5"/>
      <c r="R553" s="5"/>
      <c r="S553" s="5"/>
      <c r="T553" s="5"/>
      <c r="U553" s="5"/>
      <c r="V553" s="5"/>
      <c r="W553" s="5"/>
      <c r="X553" s="5"/>
      <c r="Y553" s="5"/>
    </row>
    <row r="554" spans="1:25">
      <c r="A554" s="5"/>
      <c r="B554" s="5"/>
      <c r="C554" s="12"/>
      <c r="D554" s="12"/>
      <c r="E554" s="12"/>
      <c r="F554" s="5"/>
      <c r="G554" s="5"/>
      <c r="H554" s="5"/>
      <c r="I554" s="5"/>
      <c r="J554" s="5"/>
      <c r="K554" s="5"/>
      <c r="L554" s="5"/>
      <c r="M554" s="5"/>
      <c r="N554" s="5"/>
      <c r="O554" s="5"/>
      <c r="P554" s="5"/>
      <c r="Q554" s="5"/>
      <c r="R554" s="5"/>
      <c r="S554" s="5"/>
      <c r="T554" s="5"/>
      <c r="U554" s="5"/>
      <c r="V554" s="5"/>
      <c r="W554" s="5"/>
      <c r="X554" s="5"/>
      <c r="Y554" s="5"/>
    </row>
    <row r="555" spans="1:25">
      <c r="A555" s="5"/>
      <c r="B555" s="5"/>
      <c r="C555" s="12"/>
      <c r="D555" s="12"/>
      <c r="E555" s="12"/>
      <c r="F555" s="5"/>
      <c r="G555" s="5"/>
      <c r="H555" s="5"/>
      <c r="I555" s="5"/>
      <c r="J555" s="5"/>
      <c r="K555" s="5"/>
      <c r="L555" s="5"/>
      <c r="M555" s="5"/>
      <c r="N555" s="5"/>
      <c r="O555" s="5"/>
      <c r="P555" s="5"/>
      <c r="Q555" s="5"/>
      <c r="R555" s="5"/>
      <c r="S555" s="5"/>
      <c r="T555" s="5"/>
      <c r="U555" s="5"/>
      <c r="V555" s="5"/>
      <c r="W555" s="5"/>
      <c r="X555" s="5"/>
      <c r="Y555" s="5"/>
    </row>
    <row r="556" spans="1:25">
      <c r="A556" s="5"/>
      <c r="B556" s="5"/>
      <c r="C556" s="12"/>
      <c r="D556" s="12"/>
      <c r="E556" s="12"/>
      <c r="F556" s="5"/>
      <c r="G556" s="5"/>
      <c r="H556" s="5"/>
      <c r="I556" s="5"/>
      <c r="J556" s="5"/>
      <c r="K556" s="5"/>
      <c r="L556" s="5"/>
      <c r="M556" s="5"/>
      <c r="N556" s="5"/>
      <c r="O556" s="5"/>
      <c r="P556" s="5"/>
      <c r="Q556" s="5"/>
      <c r="R556" s="5"/>
      <c r="S556" s="5"/>
      <c r="T556" s="5"/>
      <c r="U556" s="5"/>
      <c r="V556" s="5"/>
      <c r="W556" s="5"/>
      <c r="X556" s="5"/>
      <c r="Y556" s="5"/>
    </row>
    <row r="557" spans="1:25">
      <c r="A557" s="5"/>
      <c r="B557" s="5"/>
      <c r="C557" s="12"/>
      <c r="D557" s="12"/>
      <c r="E557" s="12"/>
      <c r="F557" s="5"/>
      <c r="G557" s="5"/>
      <c r="H557" s="5"/>
      <c r="I557" s="5"/>
      <c r="J557" s="5"/>
      <c r="K557" s="5"/>
      <c r="L557" s="5"/>
      <c r="M557" s="5"/>
      <c r="N557" s="5"/>
      <c r="O557" s="5"/>
      <c r="P557" s="5"/>
      <c r="Q557" s="5"/>
      <c r="R557" s="5"/>
      <c r="S557" s="5"/>
      <c r="T557" s="5"/>
      <c r="U557" s="5"/>
      <c r="V557" s="5"/>
      <c r="W557" s="5"/>
      <c r="X557" s="5"/>
      <c r="Y557" s="5"/>
    </row>
    <row r="558" spans="1:25">
      <c r="A558" s="5"/>
      <c r="B558" s="5"/>
      <c r="C558" s="12"/>
      <c r="D558" s="12"/>
      <c r="E558" s="12"/>
      <c r="F558" s="5"/>
      <c r="G558" s="5"/>
      <c r="H558" s="5"/>
      <c r="I558" s="5"/>
      <c r="J558" s="5"/>
      <c r="K558" s="5"/>
      <c r="L558" s="5"/>
      <c r="M558" s="5"/>
      <c r="N558" s="5"/>
      <c r="O558" s="5"/>
      <c r="P558" s="5"/>
      <c r="Q558" s="5"/>
      <c r="R558" s="5"/>
      <c r="S558" s="5"/>
      <c r="T558" s="5"/>
      <c r="U558" s="5"/>
      <c r="V558" s="5"/>
      <c r="W558" s="5"/>
      <c r="X558" s="5"/>
      <c r="Y558" s="5"/>
    </row>
    <row r="559" spans="1:25">
      <c r="A559" s="5"/>
      <c r="B559" s="5"/>
      <c r="C559" s="12"/>
      <c r="D559" s="12"/>
      <c r="E559" s="12"/>
      <c r="F559" s="5"/>
      <c r="G559" s="5"/>
      <c r="H559" s="5"/>
      <c r="I559" s="5"/>
      <c r="J559" s="5"/>
      <c r="K559" s="5"/>
      <c r="L559" s="5"/>
      <c r="M559" s="5"/>
      <c r="N559" s="5"/>
      <c r="O559" s="5"/>
      <c r="P559" s="5"/>
      <c r="Q559" s="5"/>
      <c r="R559" s="5"/>
      <c r="S559" s="5"/>
      <c r="T559" s="5"/>
      <c r="U559" s="5"/>
      <c r="V559" s="5"/>
      <c r="W559" s="5"/>
      <c r="X559" s="5"/>
      <c r="Y559" s="5"/>
    </row>
    <row r="560" spans="1:25">
      <c r="A560" s="5"/>
      <c r="B560" s="5"/>
      <c r="C560" s="12"/>
      <c r="D560" s="12"/>
      <c r="E560" s="12"/>
      <c r="F560" s="5"/>
      <c r="G560" s="5"/>
      <c r="H560" s="5"/>
      <c r="I560" s="5"/>
      <c r="J560" s="5"/>
      <c r="K560" s="5"/>
      <c r="L560" s="5"/>
      <c r="M560" s="5"/>
      <c r="N560" s="5"/>
      <c r="O560" s="5"/>
      <c r="P560" s="5"/>
      <c r="Q560" s="5"/>
      <c r="R560" s="5"/>
      <c r="S560" s="5"/>
      <c r="T560" s="5"/>
      <c r="U560" s="5"/>
      <c r="V560" s="5"/>
      <c r="W560" s="5"/>
      <c r="X560" s="5"/>
      <c r="Y560" s="5"/>
    </row>
    <row r="561" spans="1:25">
      <c r="A561" s="5"/>
      <c r="B561" s="5"/>
      <c r="C561" s="12"/>
      <c r="D561" s="12"/>
      <c r="E561" s="12"/>
      <c r="F561" s="5"/>
      <c r="G561" s="5"/>
      <c r="H561" s="5"/>
      <c r="I561" s="5"/>
      <c r="J561" s="5"/>
      <c r="K561" s="5"/>
      <c r="L561" s="5"/>
      <c r="M561" s="5"/>
      <c r="N561" s="5"/>
      <c r="O561" s="5"/>
      <c r="P561" s="5"/>
      <c r="Q561" s="5"/>
      <c r="R561" s="5"/>
      <c r="S561" s="5"/>
      <c r="T561" s="5"/>
      <c r="U561" s="5"/>
      <c r="V561" s="5"/>
      <c r="W561" s="5"/>
      <c r="X561" s="5"/>
      <c r="Y561" s="5"/>
    </row>
    <row r="562" spans="1:25">
      <c r="A562" s="5"/>
      <c r="B562" s="5"/>
      <c r="C562" s="12"/>
      <c r="D562" s="12"/>
      <c r="E562" s="12"/>
      <c r="F562" s="5"/>
      <c r="G562" s="5"/>
      <c r="H562" s="5"/>
      <c r="I562" s="5"/>
      <c r="J562" s="5"/>
      <c r="K562" s="5"/>
      <c r="L562" s="5"/>
      <c r="M562" s="5"/>
      <c r="N562" s="5"/>
      <c r="O562" s="5"/>
      <c r="P562" s="5"/>
      <c r="Q562" s="5"/>
      <c r="R562" s="5"/>
      <c r="S562" s="5"/>
      <c r="T562" s="5"/>
      <c r="U562" s="5"/>
      <c r="V562" s="5"/>
      <c r="W562" s="5"/>
      <c r="X562" s="5"/>
      <c r="Y562" s="5"/>
    </row>
    <row r="563" spans="1:25">
      <c r="A563" s="5"/>
      <c r="B563" s="5"/>
      <c r="C563" s="12"/>
      <c r="D563" s="12"/>
      <c r="E563" s="12"/>
      <c r="F563" s="5"/>
      <c r="G563" s="5"/>
      <c r="H563" s="5"/>
      <c r="I563" s="5"/>
      <c r="J563" s="5"/>
      <c r="K563" s="5"/>
      <c r="L563" s="5"/>
      <c r="M563" s="5"/>
      <c r="N563" s="5"/>
      <c r="O563" s="5"/>
      <c r="P563" s="5"/>
      <c r="Q563" s="5"/>
      <c r="R563" s="5"/>
      <c r="S563" s="5"/>
      <c r="T563" s="5"/>
      <c r="U563" s="5"/>
      <c r="V563" s="5"/>
      <c r="W563" s="5"/>
      <c r="X563" s="5"/>
      <c r="Y563" s="5"/>
    </row>
    <row r="564" spans="1:25">
      <c r="A564" s="5"/>
      <c r="B564" s="5"/>
      <c r="C564" s="12"/>
      <c r="D564" s="12"/>
      <c r="E564" s="12"/>
      <c r="F564" s="5"/>
      <c r="G564" s="5"/>
      <c r="H564" s="5"/>
      <c r="I564" s="5"/>
      <c r="J564" s="5"/>
      <c r="K564" s="5"/>
      <c r="L564" s="5"/>
      <c r="M564" s="5"/>
      <c r="N564" s="5"/>
      <c r="O564" s="5"/>
      <c r="P564" s="5"/>
      <c r="Q564" s="5"/>
      <c r="R564" s="5"/>
      <c r="S564" s="5"/>
      <c r="T564" s="5"/>
      <c r="U564" s="5"/>
      <c r="V564" s="5"/>
      <c r="W564" s="5"/>
      <c r="X564" s="5"/>
      <c r="Y564" s="5"/>
    </row>
    <row r="565" spans="1:25">
      <c r="A565" s="5"/>
      <c r="B565" s="5"/>
      <c r="C565" s="12"/>
      <c r="D565" s="12"/>
      <c r="E565" s="12"/>
      <c r="F565" s="5"/>
      <c r="G565" s="5"/>
      <c r="H565" s="5"/>
      <c r="I565" s="5"/>
      <c r="J565" s="5"/>
      <c r="K565" s="5"/>
      <c r="L565" s="5"/>
      <c r="M565" s="5"/>
      <c r="N565" s="5"/>
      <c r="O565" s="5"/>
      <c r="P565" s="5"/>
      <c r="Q565" s="5"/>
      <c r="R565" s="5"/>
      <c r="S565" s="5"/>
      <c r="T565" s="5"/>
      <c r="U565" s="5"/>
      <c r="V565" s="5"/>
      <c r="W565" s="5"/>
      <c r="X565" s="5"/>
      <c r="Y565" s="5"/>
    </row>
    <row r="566" spans="1:25">
      <c r="A566" s="5"/>
      <c r="B566" s="5"/>
      <c r="C566" s="12"/>
      <c r="D566" s="12"/>
      <c r="E566" s="12"/>
      <c r="F566" s="5"/>
      <c r="G566" s="5"/>
      <c r="H566" s="5"/>
      <c r="I566" s="5"/>
      <c r="J566" s="5"/>
      <c r="K566" s="5"/>
      <c r="L566" s="5"/>
      <c r="M566" s="5"/>
      <c r="N566" s="5"/>
      <c r="O566" s="5"/>
      <c r="P566" s="5"/>
      <c r="Q566" s="5"/>
      <c r="R566" s="5"/>
      <c r="S566" s="5"/>
      <c r="T566" s="5"/>
      <c r="U566" s="5"/>
      <c r="V566" s="5"/>
      <c r="W566" s="5"/>
      <c r="X566" s="5"/>
      <c r="Y566" s="5"/>
    </row>
    <row r="567" spans="1:25">
      <c r="A567" s="5"/>
      <c r="B567" s="5"/>
      <c r="C567" s="12"/>
      <c r="D567" s="12"/>
      <c r="E567" s="12"/>
      <c r="F567" s="5"/>
      <c r="G567" s="5"/>
      <c r="H567" s="5"/>
      <c r="I567" s="5"/>
      <c r="J567" s="5"/>
      <c r="K567" s="5"/>
      <c r="L567" s="5"/>
      <c r="M567" s="5"/>
      <c r="N567" s="5"/>
      <c r="O567" s="5"/>
      <c r="P567" s="5"/>
      <c r="Q567" s="5"/>
      <c r="R567" s="5"/>
      <c r="S567" s="5"/>
      <c r="T567" s="5"/>
      <c r="U567" s="5"/>
      <c r="V567" s="5"/>
      <c r="W567" s="5"/>
      <c r="X567" s="5"/>
      <c r="Y567" s="5"/>
    </row>
    <row r="568" spans="1:25">
      <c r="A568" s="5"/>
      <c r="B568" s="5"/>
      <c r="C568" s="12"/>
      <c r="D568" s="12"/>
      <c r="E568" s="12"/>
      <c r="F568" s="5"/>
      <c r="G568" s="5"/>
      <c r="H568" s="5"/>
      <c r="I568" s="5"/>
      <c r="J568" s="5"/>
      <c r="K568" s="5"/>
      <c r="L568" s="5"/>
      <c r="M568" s="5"/>
      <c r="N568" s="5"/>
      <c r="O568" s="5"/>
      <c r="P568" s="5"/>
      <c r="Q568" s="5"/>
      <c r="R568" s="5"/>
      <c r="S568" s="5"/>
      <c r="T568" s="5"/>
      <c r="U568" s="5"/>
      <c r="V568" s="5"/>
      <c r="W568" s="5"/>
      <c r="X568" s="5"/>
      <c r="Y568" s="5"/>
    </row>
    <row r="569" spans="1:25">
      <c r="A569" s="5"/>
      <c r="B569" s="5"/>
      <c r="C569" s="12"/>
      <c r="D569" s="12"/>
      <c r="E569" s="12"/>
      <c r="F569" s="5"/>
      <c r="G569" s="5"/>
      <c r="H569" s="5"/>
      <c r="I569" s="5"/>
      <c r="J569" s="5"/>
      <c r="K569" s="5"/>
      <c r="L569" s="5"/>
      <c r="M569" s="5"/>
      <c r="N569" s="5"/>
      <c r="O569" s="5"/>
      <c r="P569" s="5"/>
      <c r="Q569" s="5"/>
      <c r="R569" s="5"/>
      <c r="S569" s="5"/>
      <c r="T569" s="5"/>
      <c r="U569" s="5"/>
      <c r="V569" s="5"/>
      <c r="W569" s="5"/>
      <c r="X569" s="5"/>
      <c r="Y569" s="5"/>
    </row>
    <row r="570" spans="1:25">
      <c r="A570" s="5"/>
      <c r="B570" s="5"/>
      <c r="C570" s="12"/>
      <c r="D570" s="12"/>
      <c r="E570" s="12"/>
      <c r="F570" s="5"/>
      <c r="G570" s="5"/>
      <c r="H570" s="5"/>
      <c r="I570" s="5"/>
      <c r="J570" s="5"/>
      <c r="K570" s="5"/>
      <c r="L570" s="5"/>
      <c r="M570" s="5"/>
      <c r="N570" s="5"/>
      <c r="O570" s="5"/>
      <c r="P570" s="5"/>
      <c r="Q570" s="5"/>
      <c r="R570" s="5"/>
      <c r="S570" s="5"/>
      <c r="T570" s="5"/>
      <c r="U570" s="5"/>
      <c r="V570" s="5"/>
      <c r="W570" s="5"/>
      <c r="X570" s="5"/>
      <c r="Y570" s="5"/>
    </row>
    <row r="571" spans="1:25">
      <c r="A571" s="5"/>
      <c r="B571" s="5"/>
      <c r="C571" s="12"/>
      <c r="D571" s="12"/>
      <c r="E571" s="12"/>
      <c r="F571" s="5"/>
      <c r="G571" s="5"/>
      <c r="H571" s="5"/>
      <c r="I571" s="5"/>
      <c r="J571" s="5"/>
      <c r="K571" s="5"/>
      <c r="L571" s="5"/>
      <c r="M571" s="5"/>
      <c r="N571" s="5"/>
      <c r="O571" s="5"/>
      <c r="P571" s="5"/>
      <c r="Q571" s="5"/>
      <c r="R571" s="5"/>
      <c r="S571" s="5"/>
      <c r="T571" s="5"/>
      <c r="U571" s="5"/>
      <c r="V571" s="5"/>
      <c r="W571" s="5"/>
      <c r="X571" s="5"/>
      <c r="Y571" s="5"/>
    </row>
    <row r="572" spans="1:25">
      <c r="A572" s="5"/>
      <c r="B572" s="5"/>
      <c r="C572" s="12"/>
      <c r="D572" s="12"/>
      <c r="E572" s="12"/>
      <c r="F572" s="5"/>
      <c r="G572" s="5"/>
      <c r="H572" s="5"/>
      <c r="I572" s="5"/>
      <c r="J572" s="5"/>
      <c r="K572" s="5"/>
      <c r="L572" s="5"/>
      <c r="M572" s="5"/>
      <c r="N572" s="5"/>
      <c r="O572" s="5"/>
      <c r="P572" s="5"/>
      <c r="Q572" s="5"/>
      <c r="R572" s="5"/>
      <c r="S572" s="5"/>
      <c r="T572" s="5"/>
      <c r="U572" s="5"/>
      <c r="V572" s="5"/>
      <c r="W572" s="5"/>
      <c r="X572" s="5"/>
      <c r="Y572" s="5"/>
    </row>
    <row r="573" spans="1:25">
      <c r="A573" s="5"/>
      <c r="B573" s="5"/>
      <c r="C573" s="12"/>
      <c r="D573" s="12"/>
      <c r="E573" s="12"/>
      <c r="F573" s="5"/>
      <c r="G573" s="5"/>
      <c r="H573" s="5"/>
      <c r="I573" s="5"/>
      <c r="J573" s="5"/>
      <c r="K573" s="5"/>
      <c r="L573" s="5"/>
      <c r="M573" s="5"/>
      <c r="N573" s="5"/>
      <c r="O573" s="5"/>
      <c r="P573" s="5"/>
      <c r="Q573" s="5"/>
      <c r="R573" s="5"/>
      <c r="S573" s="5"/>
      <c r="T573" s="5"/>
      <c r="U573" s="5"/>
      <c r="V573" s="5"/>
      <c r="W573" s="5"/>
      <c r="X573" s="5"/>
      <c r="Y573" s="5"/>
    </row>
    <row r="574" spans="1:25">
      <c r="A574" s="5"/>
      <c r="B574" s="5"/>
      <c r="C574" s="12"/>
      <c r="D574" s="12"/>
      <c r="E574" s="12"/>
      <c r="F574" s="5"/>
      <c r="G574" s="5"/>
      <c r="H574" s="5"/>
      <c r="I574" s="5"/>
      <c r="J574" s="5"/>
      <c r="K574" s="5"/>
      <c r="L574" s="5"/>
      <c r="M574" s="5"/>
      <c r="N574" s="5"/>
      <c r="O574" s="5"/>
      <c r="P574" s="5"/>
      <c r="Q574" s="5"/>
      <c r="R574" s="5"/>
      <c r="S574" s="5"/>
      <c r="T574" s="5"/>
      <c r="U574" s="5"/>
      <c r="V574" s="5"/>
      <c r="W574" s="5"/>
      <c r="X574" s="5"/>
      <c r="Y574" s="5"/>
    </row>
    <row r="575" spans="1:25">
      <c r="A575" s="5"/>
      <c r="B575" s="5"/>
      <c r="C575" s="12"/>
      <c r="D575" s="12"/>
      <c r="E575" s="12"/>
      <c r="F575" s="5"/>
      <c r="G575" s="5"/>
      <c r="H575" s="5"/>
      <c r="I575" s="5"/>
      <c r="J575" s="5"/>
      <c r="K575" s="5"/>
      <c r="L575" s="5"/>
      <c r="M575" s="5"/>
      <c r="N575" s="5"/>
      <c r="O575" s="5"/>
      <c r="P575" s="5"/>
      <c r="Q575" s="5"/>
      <c r="R575" s="5"/>
      <c r="S575" s="5"/>
      <c r="T575" s="5"/>
      <c r="U575" s="5"/>
      <c r="V575" s="5"/>
      <c r="W575" s="5"/>
      <c r="X575" s="5"/>
      <c r="Y575" s="5"/>
    </row>
    <row r="576" spans="1:25">
      <c r="A576" s="5"/>
      <c r="B576" s="5"/>
      <c r="C576" s="12"/>
      <c r="D576" s="12"/>
      <c r="E576" s="12"/>
      <c r="F576" s="5"/>
      <c r="G576" s="5"/>
      <c r="H576" s="5"/>
      <c r="I576" s="5"/>
      <c r="J576" s="5"/>
      <c r="K576" s="5"/>
      <c r="L576" s="5"/>
      <c r="M576" s="5"/>
      <c r="N576" s="5"/>
      <c r="O576" s="5"/>
      <c r="P576" s="5"/>
      <c r="Q576" s="5"/>
      <c r="R576" s="5"/>
      <c r="S576" s="5"/>
      <c r="T576" s="5"/>
      <c r="U576" s="5"/>
      <c r="V576" s="5"/>
      <c r="W576" s="5"/>
      <c r="X576" s="5"/>
      <c r="Y576" s="5"/>
    </row>
    <row r="577" spans="1:25">
      <c r="A577" s="5"/>
      <c r="B577" s="5"/>
      <c r="C577" s="12"/>
      <c r="D577" s="12"/>
      <c r="E577" s="12"/>
      <c r="F577" s="5"/>
      <c r="G577" s="5"/>
      <c r="H577" s="5"/>
      <c r="I577" s="5"/>
      <c r="J577" s="5"/>
      <c r="K577" s="5"/>
      <c r="L577" s="5"/>
      <c r="M577" s="5"/>
      <c r="N577" s="5"/>
      <c r="O577" s="5"/>
      <c r="P577" s="5"/>
      <c r="Q577" s="5"/>
      <c r="R577" s="5"/>
      <c r="S577" s="5"/>
      <c r="T577" s="5"/>
      <c r="U577" s="5"/>
      <c r="V577" s="5"/>
      <c r="W577" s="5"/>
      <c r="X577" s="5"/>
      <c r="Y577" s="5"/>
    </row>
    <row r="578" spans="1:25">
      <c r="A578" s="5"/>
      <c r="B578" s="5"/>
      <c r="C578" s="12"/>
      <c r="D578" s="12"/>
      <c r="E578" s="12"/>
      <c r="F578" s="5"/>
      <c r="G578" s="5"/>
      <c r="H578" s="5"/>
      <c r="I578" s="5"/>
      <c r="J578" s="5"/>
      <c r="K578" s="5"/>
      <c r="L578" s="5"/>
      <c r="M578" s="5"/>
      <c r="N578" s="5"/>
      <c r="O578" s="5"/>
      <c r="P578" s="5"/>
      <c r="Q578" s="5"/>
      <c r="R578" s="5"/>
      <c r="S578" s="5"/>
      <c r="T578" s="5"/>
      <c r="U578" s="5"/>
      <c r="V578" s="5"/>
      <c r="W578" s="5"/>
      <c r="X578" s="5"/>
      <c r="Y578" s="5"/>
    </row>
    <row r="579" spans="1:25">
      <c r="A579" s="5"/>
      <c r="B579" s="5"/>
      <c r="C579" s="12"/>
      <c r="D579" s="12"/>
      <c r="E579" s="12"/>
      <c r="F579" s="5"/>
      <c r="G579" s="5"/>
      <c r="H579" s="5"/>
      <c r="I579" s="5"/>
      <c r="J579" s="5"/>
      <c r="K579" s="5"/>
      <c r="L579" s="5"/>
      <c r="M579" s="5"/>
      <c r="N579" s="5"/>
      <c r="O579" s="5"/>
      <c r="P579" s="5"/>
      <c r="Q579" s="5"/>
      <c r="R579" s="5"/>
      <c r="S579" s="5"/>
      <c r="T579" s="5"/>
      <c r="U579" s="5"/>
      <c r="V579" s="5"/>
      <c r="W579" s="5"/>
      <c r="X579" s="5"/>
      <c r="Y579" s="5"/>
    </row>
    <row r="580" spans="1:25">
      <c r="A580" s="5"/>
      <c r="B580" s="5"/>
      <c r="C580" s="12"/>
      <c r="D580" s="12"/>
      <c r="E580" s="12"/>
      <c r="F580" s="5"/>
      <c r="G580" s="5"/>
      <c r="H580" s="5"/>
      <c r="I580" s="5"/>
      <c r="J580" s="5"/>
      <c r="K580" s="5"/>
      <c r="L580" s="5"/>
      <c r="M580" s="5"/>
      <c r="N580" s="5"/>
      <c r="O580" s="5"/>
      <c r="P580" s="5"/>
      <c r="Q580" s="5"/>
      <c r="R580" s="5"/>
      <c r="S580" s="5"/>
      <c r="T580" s="5"/>
      <c r="U580" s="5"/>
      <c r="V580" s="5"/>
      <c r="W580" s="5"/>
      <c r="X580" s="5"/>
      <c r="Y580" s="5"/>
    </row>
    <row r="581" spans="1:25">
      <c r="A581" s="5"/>
      <c r="B581" s="5"/>
      <c r="C581" s="12"/>
      <c r="D581" s="12"/>
      <c r="E581" s="12"/>
      <c r="F581" s="5"/>
      <c r="G581" s="5"/>
      <c r="H581" s="5"/>
      <c r="I581" s="5"/>
      <c r="J581" s="5"/>
      <c r="K581" s="5"/>
      <c r="L581" s="5"/>
      <c r="M581" s="5"/>
      <c r="N581" s="5"/>
      <c r="O581" s="5"/>
      <c r="P581" s="5"/>
      <c r="Q581" s="5"/>
      <c r="R581" s="5"/>
      <c r="S581" s="5"/>
      <c r="T581" s="5"/>
      <c r="U581" s="5"/>
      <c r="V581" s="5"/>
      <c r="W581" s="5"/>
      <c r="X581" s="5"/>
      <c r="Y581" s="5"/>
    </row>
    <row r="582" spans="1:25">
      <c r="A582" s="5"/>
      <c r="B582" s="5"/>
      <c r="C582" s="12"/>
      <c r="D582" s="12"/>
      <c r="E582" s="12"/>
      <c r="F582" s="5"/>
      <c r="G582" s="5"/>
      <c r="H582" s="5"/>
      <c r="I582" s="5"/>
      <c r="J582" s="5"/>
      <c r="K582" s="5"/>
      <c r="L582" s="5"/>
      <c r="M582" s="5"/>
      <c r="N582" s="5"/>
      <c r="O582" s="5"/>
      <c r="P582" s="5"/>
      <c r="Q582" s="5"/>
      <c r="R582" s="5"/>
      <c r="S582" s="5"/>
      <c r="T582" s="5"/>
      <c r="U582" s="5"/>
      <c r="V582" s="5"/>
      <c r="W582" s="5"/>
      <c r="X582" s="5"/>
      <c r="Y582" s="5"/>
    </row>
    <row r="583" spans="1:25">
      <c r="A583" s="5"/>
      <c r="B583" s="5"/>
      <c r="C583" s="12"/>
      <c r="D583" s="12"/>
      <c r="E583" s="12"/>
      <c r="F583" s="5"/>
      <c r="G583" s="5"/>
      <c r="H583" s="5"/>
      <c r="I583" s="5"/>
      <c r="J583" s="5"/>
      <c r="K583" s="5"/>
      <c r="L583" s="5"/>
      <c r="M583" s="5"/>
      <c r="N583" s="5"/>
      <c r="O583" s="5"/>
      <c r="P583" s="5"/>
      <c r="Q583" s="5"/>
      <c r="R583" s="5"/>
      <c r="S583" s="5"/>
      <c r="T583" s="5"/>
      <c r="U583" s="5"/>
      <c r="V583" s="5"/>
      <c r="W583" s="5"/>
      <c r="X583" s="5"/>
      <c r="Y583" s="5"/>
    </row>
    <row r="584" spans="1:25">
      <c r="A584" s="5"/>
      <c r="B584" s="5"/>
      <c r="C584" s="12"/>
      <c r="D584" s="12"/>
      <c r="E584" s="12"/>
      <c r="F584" s="5"/>
      <c r="G584" s="5"/>
      <c r="H584" s="5"/>
      <c r="I584" s="5"/>
      <c r="J584" s="5"/>
      <c r="K584" s="5"/>
      <c r="L584" s="5"/>
      <c r="M584" s="5"/>
      <c r="N584" s="5"/>
      <c r="O584" s="5"/>
      <c r="P584" s="5"/>
      <c r="Q584" s="5"/>
      <c r="R584" s="5"/>
      <c r="S584" s="5"/>
      <c r="T584" s="5"/>
      <c r="U584" s="5"/>
      <c r="V584" s="5"/>
      <c r="W584" s="5"/>
      <c r="X584" s="5"/>
      <c r="Y584" s="5"/>
    </row>
    <row r="585" spans="1:25">
      <c r="A585" s="5"/>
      <c r="B585" s="5"/>
      <c r="C585" s="12"/>
      <c r="D585" s="12"/>
      <c r="E585" s="12"/>
      <c r="F585" s="5"/>
      <c r="G585" s="5"/>
      <c r="H585" s="5"/>
      <c r="I585" s="5"/>
      <c r="J585" s="5"/>
      <c r="K585" s="5"/>
      <c r="L585" s="5"/>
      <c r="M585" s="5"/>
      <c r="N585" s="5"/>
      <c r="O585" s="5"/>
      <c r="P585" s="5"/>
      <c r="Q585" s="5"/>
      <c r="R585" s="5"/>
      <c r="S585" s="5"/>
      <c r="T585" s="5"/>
      <c r="U585" s="5"/>
      <c r="V585" s="5"/>
      <c r="W585" s="5"/>
      <c r="X585" s="5"/>
      <c r="Y585" s="5"/>
    </row>
    <row r="586" spans="1:25">
      <c r="A586" s="5"/>
      <c r="B586" s="5"/>
      <c r="C586" s="12"/>
      <c r="D586" s="12"/>
      <c r="E586" s="12"/>
      <c r="F586" s="5"/>
      <c r="G586" s="5"/>
      <c r="H586" s="5"/>
      <c r="I586" s="5"/>
      <c r="J586" s="5"/>
      <c r="K586" s="5"/>
      <c r="L586" s="5"/>
      <c r="M586" s="5"/>
      <c r="N586" s="5"/>
      <c r="O586" s="5"/>
      <c r="P586" s="5"/>
      <c r="Q586" s="5"/>
      <c r="R586" s="5"/>
      <c r="S586" s="5"/>
      <c r="T586" s="5"/>
      <c r="U586" s="5"/>
      <c r="V586" s="5"/>
      <c r="W586" s="5"/>
      <c r="X586" s="5"/>
      <c r="Y586" s="5"/>
    </row>
    <row r="587" spans="1:25">
      <c r="A587" s="5"/>
      <c r="B587" s="5"/>
      <c r="C587" s="12"/>
      <c r="D587" s="12"/>
      <c r="E587" s="12"/>
      <c r="F587" s="5"/>
      <c r="G587" s="5"/>
      <c r="H587" s="5"/>
      <c r="I587" s="5"/>
      <c r="J587" s="5"/>
      <c r="K587" s="5"/>
      <c r="L587" s="5"/>
      <c r="M587" s="5"/>
      <c r="N587" s="5"/>
      <c r="O587" s="5"/>
      <c r="P587" s="5"/>
      <c r="Q587" s="5"/>
      <c r="R587" s="5"/>
      <c r="S587" s="5"/>
      <c r="T587" s="5"/>
      <c r="U587" s="5"/>
      <c r="V587" s="5"/>
      <c r="W587" s="5"/>
      <c r="X587" s="5"/>
      <c r="Y587" s="5"/>
    </row>
    <row r="588" spans="1:25">
      <c r="A588" s="5"/>
      <c r="B588" s="5"/>
      <c r="C588" s="12"/>
      <c r="D588" s="12"/>
      <c r="E588" s="12"/>
      <c r="F588" s="5"/>
      <c r="G588" s="5"/>
      <c r="H588" s="5"/>
      <c r="I588" s="5"/>
      <c r="J588" s="5"/>
      <c r="K588" s="5"/>
      <c r="L588" s="5"/>
      <c r="M588" s="5"/>
      <c r="N588" s="5"/>
      <c r="O588" s="5"/>
      <c r="P588" s="5"/>
      <c r="Q588" s="5"/>
      <c r="R588" s="5"/>
      <c r="S588" s="5"/>
      <c r="T588" s="5"/>
      <c r="U588" s="5"/>
      <c r="V588" s="5"/>
      <c r="W588" s="5"/>
      <c r="X588" s="5"/>
      <c r="Y588" s="5"/>
    </row>
    <row r="589" spans="1:25">
      <c r="A589" s="5"/>
      <c r="B589" s="5"/>
      <c r="C589" s="12"/>
      <c r="D589" s="12"/>
      <c r="E589" s="12"/>
      <c r="F589" s="5"/>
      <c r="G589" s="5"/>
      <c r="H589" s="5"/>
      <c r="I589" s="5"/>
      <c r="J589" s="5"/>
      <c r="K589" s="5"/>
      <c r="L589" s="5"/>
      <c r="M589" s="5"/>
      <c r="N589" s="5"/>
      <c r="O589" s="5"/>
      <c r="P589" s="5"/>
      <c r="Q589" s="5"/>
      <c r="R589" s="5"/>
      <c r="S589" s="5"/>
      <c r="T589" s="5"/>
      <c r="U589" s="5"/>
      <c r="V589" s="5"/>
      <c r="W589" s="5"/>
      <c r="X589" s="5"/>
      <c r="Y589" s="5"/>
    </row>
    <row r="590" spans="1:25">
      <c r="A590" s="5"/>
      <c r="B590" s="5"/>
      <c r="C590" s="12"/>
      <c r="D590" s="12"/>
      <c r="E590" s="12"/>
      <c r="F590" s="5"/>
      <c r="G590" s="5"/>
      <c r="H590" s="5"/>
      <c r="I590" s="5"/>
      <c r="J590" s="5"/>
      <c r="K590" s="5"/>
      <c r="L590" s="5"/>
      <c r="M590" s="5"/>
      <c r="N590" s="5"/>
      <c r="O590" s="5"/>
      <c r="P590" s="5"/>
      <c r="Q590" s="5"/>
      <c r="R590" s="5"/>
      <c r="S590" s="5"/>
      <c r="T590" s="5"/>
      <c r="U590" s="5"/>
      <c r="V590" s="5"/>
      <c r="W590" s="5"/>
      <c r="X590" s="5"/>
      <c r="Y590" s="5"/>
    </row>
    <row r="591" spans="1:25">
      <c r="A591" s="5"/>
      <c r="B591" s="5"/>
      <c r="C591" s="12"/>
      <c r="D591" s="12"/>
      <c r="E591" s="12"/>
      <c r="F591" s="5"/>
      <c r="G591" s="5"/>
      <c r="H591" s="5"/>
      <c r="I591" s="5"/>
      <c r="J591" s="5"/>
      <c r="K591" s="5"/>
      <c r="L591" s="5"/>
      <c r="M591" s="5"/>
      <c r="N591" s="5"/>
      <c r="O591" s="5"/>
      <c r="P591" s="5"/>
      <c r="Q591" s="5"/>
      <c r="R591" s="5"/>
      <c r="S591" s="5"/>
      <c r="T591" s="5"/>
      <c r="U591" s="5"/>
      <c r="V591" s="5"/>
      <c r="W591" s="5"/>
      <c r="X591" s="5"/>
      <c r="Y591" s="5"/>
    </row>
    <row r="592" spans="1:25">
      <c r="A592" s="5"/>
      <c r="B592" s="5"/>
      <c r="C592" s="12"/>
      <c r="D592" s="12"/>
      <c r="E592" s="12"/>
      <c r="F592" s="5"/>
      <c r="G592" s="5"/>
      <c r="H592" s="5"/>
      <c r="I592" s="5"/>
      <c r="J592" s="5"/>
      <c r="K592" s="5"/>
      <c r="L592" s="5"/>
      <c r="M592" s="5"/>
      <c r="N592" s="5"/>
      <c r="O592" s="5"/>
      <c r="P592" s="5"/>
      <c r="Q592" s="5"/>
      <c r="R592" s="5"/>
      <c r="S592" s="5"/>
      <c r="T592" s="5"/>
      <c r="U592" s="5"/>
      <c r="V592" s="5"/>
      <c r="W592" s="5"/>
      <c r="X592" s="5"/>
      <c r="Y592" s="5"/>
    </row>
    <row r="593" spans="1:25">
      <c r="A593" s="5"/>
      <c r="B593" s="5"/>
      <c r="C593" s="12"/>
      <c r="D593" s="12"/>
      <c r="E593" s="12"/>
      <c r="F593" s="5"/>
      <c r="G593" s="5"/>
      <c r="H593" s="5"/>
      <c r="I593" s="5"/>
      <c r="J593" s="5"/>
      <c r="K593" s="5"/>
      <c r="L593" s="5"/>
      <c r="M593" s="5"/>
      <c r="N593" s="5"/>
      <c r="O593" s="5"/>
      <c r="P593" s="5"/>
      <c r="Q593" s="5"/>
      <c r="R593" s="5"/>
      <c r="S593" s="5"/>
      <c r="T593" s="5"/>
      <c r="U593" s="5"/>
      <c r="V593" s="5"/>
      <c r="W593" s="5"/>
      <c r="X593" s="5"/>
      <c r="Y593" s="5"/>
    </row>
    <row r="594" spans="1:25">
      <c r="A594" s="5"/>
      <c r="B594" s="5"/>
      <c r="C594" s="12"/>
      <c r="D594" s="12"/>
      <c r="E594" s="12"/>
      <c r="F594" s="5"/>
      <c r="G594" s="5"/>
      <c r="H594" s="5"/>
      <c r="I594" s="5"/>
      <c r="J594" s="5"/>
      <c r="K594" s="5"/>
      <c r="L594" s="5"/>
      <c r="M594" s="5"/>
      <c r="N594" s="5"/>
      <c r="O594" s="5"/>
      <c r="P594" s="5"/>
      <c r="Q594" s="5"/>
      <c r="R594" s="5"/>
      <c r="S594" s="5"/>
      <c r="T594" s="5"/>
      <c r="U594" s="5"/>
      <c r="V594" s="5"/>
      <c r="W594" s="5"/>
      <c r="X594" s="5"/>
      <c r="Y594" s="5"/>
    </row>
    <row r="595" spans="1:25">
      <c r="A595" s="5"/>
      <c r="B595" s="5"/>
      <c r="C595" s="12"/>
      <c r="D595" s="12"/>
      <c r="E595" s="12"/>
      <c r="F595" s="5"/>
      <c r="G595" s="5"/>
      <c r="H595" s="5"/>
      <c r="I595" s="5"/>
      <c r="J595" s="5"/>
      <c r="K595" s="5"/>
      <c r="L595" s="5"/>
      <c r="M595" s="5"/>
      <c r="N595" s="5"/>
      <c r="O595" s="5"/>
      <c r="P595" s="5"/>
      <c r="Q595" s="5"/>
      <c r="R595" s="5"/>
      <c r="S595" s="5"/>
      <c r="T595" s="5"/>
      <c r="U595" s="5"/>
      <c r="V595" s="5"/>
      <c r="W595" s="5"/>
      <c r="X595" s="5"/>
      <c r="Y595" s="5"/>
    </row>
    <row r="596" spans="1:25">
      <c r="A596" s="5"/>
      <c r="B596" s="5"/>
      <c r="C596" s="12"/>
      <c r="D596" s="12"/>
      <c r="E596" s="12"/>
      <c r="F596" s="5"/>
      <c r="G596" s="5"/>
      <c r="H596" s="5"/>
      <c r="I596" s="5"/>
      <c r="J596" s="5"/>
      <c r="K596" s="5"/>
      <c r="L596" s="5"/>
      <c r="M596" s="5"/>
      <c r="N596" s="5"/>
      <c r="O596" s="5"/>
      <c r="P596" s="5"/>
      <c r="Q596" s="5"/>
      <c r="R596" s="5"/>
      <c r="S596" s="5"/>
      <c r="T596" s="5"/>
      <c r="U596" s="5"/>
      <c r="V596" s="5"/>
      <c r="W596" s="5"/>
      <c r="X596" s="5"/>
      <c r="Y596" s="5"/>
    </row>
    <row r="597" spans="1:25">
      <c r="A597" s="5"/>
      <c r="B597" s="5"/>
      <c r="C597" s="12"/>
      <c r="D597" s="12"/>
      <c r="E597" s="12"/>
      <c r="F597" s="5"/>
      <c r="G597" s="5"/>
      <c r="H597" s="5"/>
      <c r="I597" s="5"/>
      <c r="J597" s="5"/>
      <c r="K597" s="5"/>
      <c r="L597" s="5"/>
      <c r="M597" s="5"/>
      <c r="N597" s="5"/>
      <c r="O597" s="5"/>
      <c r="P597" s="5"/>
      <c r="Q597" s="5"/>
      <c r="R597" s="5"/>
      <c r="S597" s="5"/>
      <c r="T597" s="5"/>
      <c r="U597" s="5"/>
      <c r="V597" s="5"/>
      <c r="W597" s="5"/>
      <c r="X597" s="5"/>
      <c r="Y597" s="5"/>
    </row>
    <row r="598" spans="1:25">
      <c r="A598" s="5"/>
      <c r="B598" s="5"/>
      <c r="C598" s="12"/>
      <c r="D598" s="12"/>
      <c r="E598" s="12"/>
      <c r="F598" s="5"/>
      <c r="G598" s="5"/>
      <c r="H598" s="5"/>
      <c r="I598" s="5"/>
      <c r="J598" s="5"/>
      <c r="K598" s="5"/>
      <c r="L598" s="5"/>
      <c r="M598" s="5"/>
      <c r="N598" s="5"/>
      <c r="O598" s="5"/>
      <c r="P598" s="5"/>
      <c r="Q598" s="5"/>
      <c r="R598" s="5"/>
      <c r="S598" s="5"/>
      <c r="T598" s="5"/>
      <c r="U598" s="5"/>
      <c r="V598" s="5"/>
      <c r="W598" s="5"/>
      <c r="X598" s="5"/>
      <c r="Y598" s="5"/>
    </row>
    <row r="599" spans="1:25">
      <c r="A599" s="5"/>
      <c r="B599" s="5"/>
      <c r="C599" s="12"/>
      <c r="D599" s="12"/>
      <c r="E599" s="12"/>
      <c r="F599" s="5"/>
      <c r="G599" s="5"/>
      <c r="H599" s="5"/>
      <c r="I599" s="5"/>
      <c r="J599" s="5"/>
      <c r="K599" s="5"/>
      <c r="L599" s="5"/>
      <c r="M599" s="5"/>
      <c r="N599" s="5"/>
      <c r="O599" s="5"/>
      <c r="P599" s="5"/>
      <c r="Q599" s="5"/>
      <c r="R599" s="5"/>
      <c r="S599" s="5"/>
      <c r="T599" s="5"/>
      <c r="U599" s="5"/>
      <c r="V599" s="5"/>
      <c r="W599" s="5"/>
      <c r="X599" s="5"/>
      <c r="Y599" s="5"/>
    </row>
    <row r="600" spans="1:25">
      <c r="A600" s="5"/>
      <c r="B600" s="5"/>
      <c r="C600" s="12"/>
      <c r="D600" s="12"/>
      <c r="E600" s="12"/>
      <c r="F600" s="5"/>
      <c r="G600" s="5"/>
      <c r="H600" s="5"/>
      <c r="I600" s="5"/>
      <c r="J600" s="5"/>
      <c r="K600" s="5"/>
      <c r="L600" s="5"/>
      <c r="M600" s="5"/>
      <c r="N600" s="5"/>
      <c r="O600" s="5"/>
      <c r="P600" s="5"/>
      <c r="Q600" s="5"/>
      <c r="R600" s="5"/>
      <c r="S600" s="5"/>
      <c r="T600" s="5"/>
      <c r="U600" s="5"/>
      <c r="V600" s="5"/>
      <c r="W600" s="5"/>
      <c r="X600" s="5"/>
      <c r="Y600" s="5"/>
    </row>
    <row r="601" spans="1:25">
      <c r="A601" s="5"/>
      <c r="B601" s="5"/>
      <c r="C601" s="12"/>
      <c r="D601" s="12"/>
      <c r="E601" s="12"/>
      <c r="F601" s="5"/>
      <c r="G601" s="5"/>
      <c r="H601" s="5"/>
      <c r="I601" s="5"/>
      <c r="J601" s="5"/>
      <c r="K601" s="5"/>
      <c r="L601" s="5"/>
      <c r="M601" s="5"/>
      <c r="N601" s="5"/>
      <c r="O601" s="5"/>
      <c r="P601" s="5"/>
      <c r="Q601" s="5"/>
      <c r="R601" s="5"/>
      <c r="S601" s="5"/>
      <c r="T601" s="5"/>
      <c r="U601" s="5"/>
      <c r="V601" s="5"/>
      <c r="W601" s="5"/>
      <c r="X601" s="5"/>
      <c r="Y601" s="5"/>
    </row>
    <row r="602" spans="1:25">
      <c r="A602" s="5"/>
      <c r="B602" s="5"/>
      <c r="C602" s="12"/>
      <c r="D602" s="12"/>
      <c r="E602" s="12"/>
      <c r="F602" s="5"/>
      <c r="G602" s="5"/>
      <c r="H602" s="5"/>
      <c r="I602" s="5"/>
      <c r="J602" s="5"/>
      <c r="K602" s="5"/>
      <c r="L602" s="5"/>
      <c r="M602" s="5"/>
      <c r="N602" s="5"/>
      <c r="O602" s="5"/>
      <c r="P602" s="5"/>
      <c r="Q602" s="5"/>
      <c r="R602" s="5"/>
      <c r="S602" s="5"/>
      <c r="T602" s="5"/>
      <c r="U602" s="5"/>
      <c r="V602" s="5"/>
      <c r="W602" s="5"/>
      <c r="X602" s="5"/>
      <c r="Y602" s="5"/>
    </row>
    <row r="603" spans="1:25">
      <c r="A603" s="5"/>
      <c r="B603" s="5"/>
      <c r="C603" s="12"/>
      <c r="D603" s="12"/>
      <c r="E603" s="12"/>
      <c r="F603" s="5"/>
      <c r="G603" s="5"/>
      <c r="H603" s="5"/>
      <c r="I603" s="5"/>
      <c r="J603" s="5"/>
      <c r="K603" s="5"/>
      <c r="L603" s="5"/>
      <c r="M603" s="5"/>
      <c r="N603" s="5"/>
      <c r="O603" s="5"/>
      <c r="P603" s="5"/>
      <c r="Q603" s="5"/>
      <c r="R603" s="5"/>
      <c r="S603" s="5"/>
      <c r="T603" s="5"/>
      <c r="U603" s="5"/>
      <c r="V603" s="5"/>
      <c r="W603" s="5"/>
      <c r="X603" s="5"/>
      <c r="Y603" s="5"/>
    </row>
    <row r="604" spans="1:25">
      <c r="A604" s="5"/>
      <c r="B604" s="5"/>
      <c r="C604" s="12"/>
      <c r="D604" s="12"/>
      <c r="E604" s="12"/>
      <c r="F604" s="5"/>
      <c r="G604" s="5"/>
      <c r="H604" s="5"/>
      <c r="I604" s="5"/>
      <c r="J604" s="5"/>
      <c r="K604" s="5"/>
      <c r="L604" s="5"/>
      <c r="M604" s="5"/>
      <c r="N604" s="5"/>
      <c r="O604" s="5"/>
      <c r="P604" s="5"/>
      <c r="Q604" s="5"/>
      <c r="R604" s="5"/>
      <c r="S604" s="5"/>
      <c r="T604" s="5"/>
      <c r="U604" s="5"/>
      <c r="V604" s="5"/>
      <c r="W604" s="5"/>
      <c r="X604" s="5"/>
      <c r="Y604" s="5"/>
    </row>
    <row r="605" spans="1:25">
      <c r="A605" s="5"/>
      <c r="B605" s="5"/>
      <c r="C605" s="12"/>
      <c r="D605" s="12"/>
      <c r="E605" s="12"/>
      <c r="F605" s="5"/>
      <c r="G605" s="5"/>
      <c r="H605" s="5"/>
      <c r="I605" s="5"/>
      <c r="J605" s="5"/>
      <c r="K605" s="5"/>
      <c r="L605" s="5"/>
      <c r="M605" s="5"/>
      <c r="N605" s="5"/>
      <c r="O605" s="5"/>
      <c r="P605" s="5"/>
      <c r="Q605" s="5"/>
      <c r="R605" s="5"/>
      <c r="S605" s="5"/>
      <c r="T605" s="5"/>
      <c r="U605" s="5"/>
      <c r="V605" s="5"/>
      <c r="W605" s="5"/>
      <c r="X605" s="5"/>
      <c r="Y605" s="5"/>
    </row>
    <row r="606" spans="1:25">
      <c r="A606" s="5"/>
      <c r="B606" s="5"/>
      <c r="C606" s="12"/>
      <c r="D606" s="12"/>
      <c r="E606" s="12"/>
      <c r="F606" s="5"/>
      <c r="G606" s="5"/>
      <c r="H606" s="5"/>
      <c r="I606" s="5"/>
      <c r="J606" s="5"/>
      <c r="K606" s="5"/>
      <c r="L606" s="5"/>
      <c r="M606" s="5"/>
      <c r="N606" s="5"/>
      <c r="O606" s="5"/>
      <c r="P606" s="5"/>
      <c r="Q606" s="5"/>
      <c r="R606" s="5"/>
      <c r="S606" s="5"/>
      <c r="T606" s="5"/>
      <c r="U606" s="5"/>
      <c r="V606" s="5"/>
      <c r="W606" s="5"/>
      <c r="X606" s="5"/>
      <c r="Y606" s="5"/>
    </row>
    <row r="607" spans="1:25">
      <c r="A607" s="5"/>
      <c r="B607" s="5"/>
      <c r="C607" s="12"/>
      <c r="D607" s="12"/>
      <c r="E607" s="12"/>
      <c r="F607" s="5"/>
      <c r="G607" s="5"/>
      <c r="H607" s="5"/>
      <c r="I607" s="5"/>
      <c r="J607" s="5"/>
      <c r="K607" s="5"/>
      <c r="L607" s="5"/>
      <c r="M607" s="5"/>
      <c r="N607" s="5"/>
      <c r="O607" s="5"/>
      <c r="P607" s="5"/>
      <c r="Q607" s="5"/>
      <c r="R607" s="5"/>
      <c r="S607" s="5"/>
      <c r="T607" s="5"/>
      <c r="U607" s="5"/>
      <c r="V607" s="5"/>
      <c r="W607" s="5"/>
      <c r="X607" s="5"/>
      <c r="Y607" s="5"/>
    </row>
    <row r="608" spans="1:25">
      <c r="A608" s="5"/>
      <c r="B608" s="5"/>
      <c r="C608" s="12"/>
      <c r="D608" s="12"/>
      <c r="E608" s="12"/>
      <c r="F608" s="5"/>
      <c r="G608" s="5"/>
      <c r="H608" s="5"/>
      <c r="I608" s="5"/>
      <c r="J608" s="5"/>
      <c r="K608" s="5"/>
      <c r="L608" s="5"/>
      <c r="M608" s="5"/>
      <c r="N608" s="5"/>
      <c r="O608" s="5"/>
      <c r="P608" s="5"/>
      <c r="Q608" s="5"/>
      <c r="R608" s="5"/>
      <c r="S608" s="5"/>
      <c r="T608" s="5"/>
      <c r="U608" s="5"/>
      <c r="V608" s="5"/>
      <c r="W608" s="5"/>
      <c r="X608" s="5"/>
      <c r="Y608" s="5"/>
    </row>
    <row r="609" spans="1:25">
      <c r="A609" s="5"/>
      <c r="B609" s="5"/>
      <c r="C609" s="12"/>
      <c r="D609" s="12"/>
      <c r="E609" s="12"/>
      <c r="F609" s="5"/>
      <c r="G609" s="5"/>
      <c r="H609" s="5"/>
      <c r="I609" s="5"/>
      <c r="J609" s="5"/>
      <c r="K609" s="5"/>
      <c r="L609" s="5"/>
      <c r="M609" s="5"/>
      <c r="N609" s="5"/>
      <c r="O609" s="5"/>
      <c r="P609" s="5"/>
      <c r="Q609" s="5"/>
      <c r="R609" s="5"/>
      <c r="S609" s="5"/>
      <c r="T609" s="5"/>
      <c r="U609" s="5"/>
      <c r="V609" s="5"/>
      <c r="W609" s="5"/>
      <c r="X609" s="5"/>
      <c r="Y609" s="5"/>
    </row>
    <row r="610" spans="1:25">
      <c r="A610" s="5"/>
      <c r="B610" s="5"/>
      <c r="C610" s="12"/>
      <c r="D610" s="12"/>
      <c r="E610" s="12"/>
      <c r="F610" s="5"/>
      <c r="G610" s="5"/>
      <c r="H610" s="5"/>
      <c r="I610" s="5"/>
      <c r="J610" s="5"/>
      <c r="K610" s="5"/>
      <c r="L610" s="5"/>
      <c r="M610" s="5"/>
      <c r="N610" s="5"/>
      <c r="O610" s="5"/>
      <c r="P610" s="5"/>
      <c r="Q610" s="5"/>
      <c r="R610" s="5"/>
      <c r="S610" s="5"/>
      <c r="T610" s="5"/>
      <c r="U610" s="5"/>
      <c r="V610" s="5"/>
      <c r="W610" s="5"/>
      <c r="X610" s="5"/>
      <c r="Y610" s="5"/>
    </row>
    <row r="611" spans="1:25">
      <c r="A611" s="5"/>
      <c r="B611" s="5"/>
      <c r="C611" s="12"/>
      <c r="D611" s="12"/>
      <c r="E611" s="12"/>
      <c r="F611" s="5"/>
      <c r="G611" s="5"/>
      <c r="H611" s="5"/>
      <c r="I611" s="5"/>
      <c r="J611" s="5"/>
      <c r="K611" s="5"/>
      <c r="L611" s="5"/>
      <c r="M611" s="5"/>
      <c r="N611" s="5"/>
      <c r="O611" s="5"/>
      <c r="P611" s="5"/>
      <c r="Q611" s="5"/>
      <c r="R611" s="5"/>
      <c r="S611" s="5"/>
      <c r="T611" s="5"/>
      <c r="U611" s="5"/>
      <c r="V611" s="5"/>
      <c r="W611" s="5"/>
      <c r="X611" s="5"/>
      <c r="Y611" s="5"/>
    </row>
    <row r="612" spans="1:25">
      <c r="A612" s="5"/>
      <c r="B612" s="5"/>
      <c r="C612" s="12"/>
      <c r="D612" s="12"/>
      <c r="E612" s="12"/>
      <c r="F612" s="5"/>
      <c r="G612" s="5"/>
      <c r="H612" s="5"/>
      <c r="I612" s="5"/>
      <c r="J612" s="5"/>
      <c r="K612" s="5"/>
      <c r="L612" s="5"/>
      <c r="M612" s="5"/>
      <c r="N612" s="5"/>
      <c r="O612" s="5"/>
      <c r="P612" s="5"/>
      <c r="Q612" s="5"/>
      <c r="R612" s="5"/>
      <c r="S612" s="5"/>
      <c r="T612" s="5"/>
      <c r="U612" s="5"/>
      <c r="V612" s="5"/>
      <c r="W612" s="5"/>
      <c r="X612" s="5"/>
      <c r="Y612" s="5"/>
    </row>
    <row r="613" spans="1:25">
      <c r="A613" s="5"/>
      <c r="B613" s="5"/>
      <c r="C613" s="12"/>
      <c r="D613" s="12"/>
      <c r="E613" s="12"/>
      <c r="F613" s="5"/>
      <c r="G613" s="5"/>
      <c r="H613" s="5"/>
      <c r="I613" s="5"/>
      <c r="J613" s="5"/>
      <c r="K613" s="5"/>
      <c r="L613" s="5"/>
      <c r="M613" s="5"/>
      <c r="N613" s="5"/>
      <c r="O613" s="5"/>
      <c r="P613" s="5"/>
      <c r="Q613" s="5"/>
      <c r="R613" s="5"/>
      <c r="S613" s="5"/>
      <c r="T613" s="5"/>
      <c r="U613" s="5"/>
      <c r="V613" s="5"/>
      <c r="W613" s="5"/>
      <c r="X613" s="5"/>
      <c r="Y613" s="5"/>
    </row>
    <row r="614" spans="1:25">
      <c r="A614" s="5"/>
      <c r="B614" s="5"/>
      <c r="C614" s="12"/>
      <c r="D614" s="12"/>
      <c r="E614" s="12"/>
      <c r="F614" s="5"/>
      <c r="G614" s="5"/>
      <c r="H614" s="5"/>
      <c r="I614" s="5"/>
      <c r="J614" s="5"/>
      <c r="K614" s="5"/>
      <c r="L614" s="5"/>
      <c r="M614" s="5"/>
      <c r="N614" s="5"/>
      <c r="O614" s="5"/>
      <c r="P614" s="5"/>
      <c r="Q614" s="5"/>
      <c r="R614" s="5"/>
      <c r="S614" s="5"/>
      <c r="T614" s="5"/>
      <c r="U614" s="5"/>
      <c r="V614" s="5"/>
      <c r="W614" s="5"/>
      <c r="X614" s="5"/>
      <c r="Y614" s="5"/>
    </row>
    <row r="615" spans="1:25">
      <c r="A615" s="5"/>
      <c r="B615" s="5"/>
      <c r="C615" s="12"/>
      <c r="D615" s="12"/>
      <c r="E615" s="12"/>
      <c r="F615" s="5"/>
      <c r="G615" s="5"/>
      <c r="H615" s="5"/>
      <c r="I615" s="5"/>
      <c r="J615" s="5"/>
      <c r="K615" s="5"/>
      <c r="L615" s="5"/>
      <c r="M615" s="5"/>
      <c r="N615" s="5"/>
      <c r="O615" s="5"/>
      <c r="P615" s="5"/>
      <c r="Q615" s="5"/>
      <c r="R615" s="5"/>
      <c r="S615" s="5"/>
      <c r="T615" s="5"/>
      <c r="U615" s="5"/>
      <c r="V615" s="5"/>
      <c r="W615" s="5"/>
      <c r="X615" s="5"/>
      <c r="Y615" s="5"/>
    </row>
    <row r="616" spans="1:25">
      <c r="A616" s="5"/>
      <c r="B616" s="5"/>
      <c r="C616" s="12"/>
      <c r="D616" s="12"/>
      <c r="E616" s="12"/>
      <c r="F616" s="5"/>
      <c r="G616" s="5"/>
      <c r="H616" s="5"/>
      <c r="I616" s="5"/>
      <c r="J616" s="5"/>
      <c r="K616" s="5"/>
      <c r="L616" s="5"/>
      <c r="M616" s="5"/>
      <c r="N616" s="5"/>
      <c r="O616" s="5"/>
      <c r="P616" s="5"/>
      <c r="Q616" s="5"/>
      <c r="R616" s="5"/>
      <c r="S616" s="5"/>
      <c r="T616" s="5"/>
      <c r="U616" s="5"/>
      <c r="V616" s="5"/>
      <c r="W616" s="5"/>
      <c r="X616" s="5"/>
      <c r="Y616" s="5"/>
    </row>
    <row r="617" spans="1:25">
      <c r="A617" s="5"/>
      <c r="B617" s="5"/>
      <c r="C617" s="12"/>
      <c r="D617" s="12"/>
      <c r="E617" s="12"/>
      <c r="F617" s="5"/>
      <c r="G617" s="5"/>
      <c r="H617" s="5"/>
      <c r="I617" s="5"/>
      <c r="J617" s="5"/>
      <c r="K617" s="5"/>
      <c r="L617" s="5"/>
      <c r="M617" s="5"/>
      <c r="N617" s="5"/>
      <c r="O617" s="5"/>
      <c r="P617" s="5"/>
      <c r="Q617" s="5"/>
      <c r="R617" s="5"/>
      <c r="S617" s="5"/>
      <c r="T617" s="5"/>
      <c r="U617" s="5"/>
      <c r="V617" s="5"/>
      <c r="W617" s="5"/>
      <c r="X617" s="5"/>
      <c r="Y617" s="5"/>
    </row>
    <row r="618" spans="1:25">
      <c r="A618" s="5"/>
      <c r="B618" s="5"/>
      <c r="C618" s="12"/>
      <c r="D618" s="12"/>
      <c r="E618" s="12"/>
      <c r="F618" s="5"/>
      <c r="G618" s="5"/>
      <c r="H618" s="5"/>
      <c r="I618" s="5"/>
      <c r="J618" s="5"/>
      <c r="K618" s="5"/>
      <c r="L618" s="5"/>
      <c r="M618" s="5"/>
      <c r="N618" s="5"/>
      <c r="O618" s="5"/>
      <c r="P618" s="5"/>
      <c r="Q618" s="5"/>
      <c r="R618" s="5"/>
      <c r="S618" s="5"/>
      <c r="T618" s="5"/>
      <c r="U618" s="5"/>
      <c r="V618" s="5"/>
      <c r="W618" s="5"/>
      <c r="X618" s="5"/>
      <c r="Y618" s="5"/>
    </row>
    <row r="619" spans="1:25">
      <c r="A619" s="5"/>
      <c r="B619" s="5"/>
      <c r="C619" s="12"/>
      <c r="D619" s="12"/>
      <c r="E619" s="12"/>
      <c r="F619" s="5"/>
      <c r="G619" s="5"/>
      <c r="H619" s="5"/>
      <c r="I619" s="5"/>
      <c r="J619" s="5"/>
      <c r="K619" s="5"/>
      <c r="L619" s="5"/>
      <c r="M619" s="5"/>
      <c r="N619" s="5"/>
      <c r="O619" s="5"/>
      <c r="P619" s="5"/>
      <c r="Q619" s="5"/>
      <c r="R619" s="5"/>
      <c r="S619" s="5"/>
      <c r="T619" s="5"/>
      <c r="U619" s="5"/>
      <c r="V619" s="5"/>
      <c r="W619" s="5"/>
      <c r="X619" s="5"/>
      <c r="Y619" s="5"/>
    </row>
    <row r="620" spans="1:25">
      <c r="A620" s="5"/>
      <c r="B620" s="5"/>
      <c r="C620" s="12"/>
      <c r="D620" s="12"/>
      <c r="E620" s="12"/>
      <c r="F620" s="5"/>
      <c r="G620" s="5"/>
      <c r="H620" s="5"/>
      <c r="I620" s="5"/>
      <c r="J620" s="5"/>
      <c r="K620" s="5"/>
      <c r="L620" s="5"/>
      <c r="M620" s="5"/>
      <c r="N620" s="5"/>
      <c r="O620" s="5"/>
      <c r="P620" s="5"/>
      <c r="Q620" s="5"/>
      <c r="R620" s="5"/>
      <c r="S620" s="5"/>
      <c r="T620" s="5"/>
      <c r="U620" s="5"/>
      <c r="V620" s="5"/>
      <c r="W620" s="5"/>
      <c r="X620" s="5"/>
      <c r="Y620" s="5"/>
    </row>
    <row r="621" spans="1:25">
      <c r="A621" s="5"/>
      <c r="B621" s="5"/>
      <c r="C621" s="12"/>
      <c r="D621" s="12"/>
      <c r="E621" s="12"/>
      <c r="F621" s="5"/>
      <c r="G621" s="5"/>
      <c r="H621" s="5"/>
      <c r="I621" s="5"/>
      <c r="J621" s="5"/>
      <c r="K621" s="5"/>
      <c r="L621" s="5"/>
      <c r="M621" s="5"/>
      <c r="N621" s="5"/>
      <c r="O621" s="5"/>
      <c r="P621" s="5"/>
      <c r="Q621" s="5"/>
      <c r="R621" s="5"/>
      <c r="S621" s="5"/>
      <c r="T621" s="5"/>
      <c r="U621" s="5"/>
      <c r="V621" s="5"/>
      <c r="W621" s="5"/>
      <c r="X621" s="5"/>
      <c r="Y621" s="5"/>
    </row>
    <row r="622" spans="1:25">
      <c r="A622" s="5"/>
      <c r="B622" s="5"/>
      <c r="C622" s="12"/>
      <c r="D622" s="12"/>
      <c r="E622" s="12"/>
      <c r="F622" s="5"/>
      <c r="G622" s="5"/>
      <c r="H622" s="5"/>
      <c r="I622" s="5"/>
      <c r="J622" s="5"/>
      <c r="K622" s="5"/>
      <c r="L622" s="5"/>
      <c r="M622" s="5"/>
      <c r="N622" s="5"/>
      <c r="O622" s="5"/>
      <c r="P622" s="5"/>
      <c r="Q622" s="5"/>
      <c r="R622" s="5"/>
      <c r="S622" s="5"/>
      <c r="T622" s="5"/>
      <c r="U622" s="5"/>
      <c r="V622" s="5"/>
      <c r="W622" s="5"/>
      <c r="X622" s="5"/>
      <c r="Y622" s="5"/>
    </row>
    <row r="623" spans="1:25">
      <c r="A623" s="5"/>
      <c r="B623" s="5"/>
      <c r="C623" s="12"/>
      <c r="D623" s="12"/>
      <c r="E623" s="12"/>
      <c r="F623" s="5"/>
      <c r="G623" s="5"/>
      <c r="H623" s="5"/>
      <c r="I623" s="5"/>
      <c r="J623" s="5"/>
      <c r="K623" s="5"/>
      <c r="L623" s="5"/>
      <c r="M623" s="5"/>
      <c r="N623" s="5"/>
      <c r="O623" s="5"/>
      <c r="P623" s="5"/>
      <c r="Q623" s="5"/>
      <c r="R623" s="5"/>
      <c r="S623" s="5"/>
      <c r="T623" s="5"/>
      <c r="U623" s="5"/>
      <c r="V623" s="5"/>
      <c r="W623" s="5"/>
      <c r="X623" s="5"/>
      <c r="Y623" s="5"/>
    </row>
    <row r="624" spans="1:25">
      <c r="A624" s="5"/>
      <c r="B624" s="5"/>
      <c r="C624" s="12"/>
      <c r="D624" s="12"/>
      <c r="E624" s="12"/>
      <c r="F624" s="5"/>
      <c r="G624" s="5"/>
      <c r="H624" s="5"/>
      <c r="I624" s="5"/>
      <c r="J624" s="5"/>
      <c r="K624" s="5"/>
      <c r="L624" s="5"/>
      <c r="M624" s="5"/>
      <c r="N624" s="5"/>
      <c r="O624" s="5"/>
      <c r="P624" s="5"/>
      <c r="Q624" s="5"/>
      <c r="R624" s="5"/>
      <c r="S624" s="5"/>
      <c r="T624" s="5"/>
      <c r="U624" s="5"/>
      <c r="V624" s="5"/>
      <c r="W624" s="5"/>
      <c r="X624" s="5"/>
      <c r="Y624" s="5"/>
    </row>
    <row r="625" spans="1:25">
      <c r="A625" s="5"/>
      <c r="B625" s="5"/>
      <c r="C625" s="12"/>
      <c r="D625" s="12"/>
      <c r="E625" s="12"/>
      <c r="F625" s="5"/>
      <c r="G625" s="5"/>
      <c r="H625" s="5"/>
      <c r="I625" s="5"/>
      <c r="J625" s="5"/>
      <c r="K625" s="5"/>
      <c r="L625" s="5"/>
      <c r="M625" s="5"/>
      <c r="N625" s="5"/>
      <c r="O625" s="5"/>
      <c r="P625" s="5"/>
      <c r="Q625" s="5"/>
      <c r="R625" s="5"/>
      <c r="S625" s="5"/>
      <c r="T625" s="5"/>
      <c r="U625" s="5"/>
      <c r="V625" s="5"/>
      <c r="W625" s="5"/>
      <c r="X625" s="5"/>
      <c r="Y625" s="5"/>
    </row>
    <row r="626" spans="1:25">
      <c r="A626" s="5"/>
      <c r="B626" s="5"/>
      <c r="C626" s="12"/>
      <c r="D626" s="12"/>
      <c r="E626" s="12"/>
      <c r="F626" s="5"/>
      <c r="G626" s="5"/>
      <c r="H626" s="5"/>
      <c r="I626" s="5"/>
      <c r="J626" s="5"/>
      <c r="K626" s="5"/>
      <c r="L626" s="5"/>
      <c r="M626" s="5"/>
      <c r="N626" s="5"/>
      <c r="O626" s="5"/>
      <c r="P626" s="5"/>
      <c r="Q626" s="5"/>
      <c r="R626" s="5"/>
      <c r="S626" s="5"/>
      <c r="T626" s="5"/>
      <c r="U626" s="5"/>
      <c r="V626" s="5"/>
      <c r="W626" s="5"/>
      <c r="X626" s="5"/>
      <c r="Y626" s="5"/>
    </row>
    <row r="627" spans="1:25">
      <c r="A627" s="5"/>
      <c r="B627" s="5"/>
      <c r="C627" s="12"/>
      <c r="D627" s="12"/>
      <c r="E627" s="12"/>
      <c r="F627" s="5"/>
      <c r="G627" s="5"/>
      <c r="H627" s="5"/>
      <c r="I627" s="5"/>
      <c r="J627" s="5"/>
      <c r="K627" s="5"/>
      <c r="L627" s="5"/>
      <c r="M627" s="5"/>
      <c r="N627" s="5"/>
      <c r="O627" s="5"/>
      <c r="P627" s="5"/>
      <c r="Q627" s="5"/>
      <c r="R627" s="5"/>
      <c r="S627" s="5"/>
      <c r="T627" s="5"/>
      <c r="U627" s="5"/>
      <c r="V627" s="5"/>
      <c r="W627" s="5"/>
      <c r="X627" s="5"/>
      <c r="Y627" s="5"/>
    </row>
    <row r="628" spans="1:25">
      <c r="A628" s="5"/>
      <c r="B628" s="5"/>
      <c r="C628" s="12"/>
      <c r="D628" s="12"/>
      <c r="E628" s="12"/>
      <c r="F628" s="5"/>
      <c r="G628" s="5"/>
      <c r="H628" s="5"/>
      <c r="I628" s="5"/>
      <c r="J628" s="5"/>
      <c r="K628" s="5"/>
      <c r="L628" s="5"/>
      <c r="M628" s="5"/>
      <c r="N628" s="5"/>
      <c r="O628" s="5"/>
      <c r="P628" s="5"/>
      <c r="Q628" s="5"/>
      <c r="R628" s="5"/>
      <c r="S628" s="5"/>
      <c r="T628" s="5"/>
      <c r="U628" s="5"/>
      <c r="V628" s="5"/>
      <c r="W628" s="5"/>
      <c r="X628" s="5"/>
      <c r="Y628" s="5"/>
    </row>
    <row r="629" spans="1:25">
      <c r="A629" s="5"/>
      <c r="B629" s="5"/>
      <c r="C629" s="12"/>
      <c r="D629" s="12"/>
      <c r="E629" s="12"/>
      <c r="F629" s="5"/>
      <c r="G629" s="5"/>
      <c r="H629" s="5"/>
      <c r="I629" s="5"/>
      <c r="J629" s="5"/>
      <c r="K629" s="5"/>
      <c r="L629" s="5"/>
      <c r="M629" s="5"/>
      <c r="N629" s="5"/>
      <c r="O629" s="5"/>
      <c r="P629" s="5"/>
      <c r="Q629" s="5"/>
      <c r="R629" s="5"/>
      <c r="S629" s="5"/>
      <c r="T629" s="5"/>
      <c r="U629" s="5"/>
      <c r="V629" s="5"/>
      <c r="W629" s="5"/>
      <c r="X629" s="5"/>
      <c r="Y629" s="5"/>
    </row>
    <row r="630" spans="1:25">
      <c r="A630" s="5"/>
      <c r="B630" s="5"/>
      <c r="C630" s="12"/>
      <c r="D630" s="12"/>
      <c r="E630" s="12"/>
      <c r="F630" s="5"/>
      <c r="G630" s="5"/>
      <c r="H630" s="5"/>
      <c r="I630" s="5"/>
      <c r="J630" s="5"/>
      <c r="K630" s="5"/>
      <c r="L630" s="5"/>
      <c r="M630" s="5"/>
      <c r="N630" s="5"/>
      <c r="O630" s="5"/>
      <c r="P630" s="5"/>
      <c r="Q630" s="5"/>
      <c r="R630" s="5"/>
      <c r="S630" s="5"/>
      <c r="T630" s="5"/>
      <c r="U630" s="5"/>
      <c r="V630" s="5"/>
      <c r="W630" s="5"/>
      <c r="X630" s="5"/>
      <c r="Y630" s="5"/>
    </row>
    <row r="631" spans="1:25">
      <c r="A631" s="5"/>
      <c r="B631" s="5"/>
      <c r="C631" s="12"/>
      <c r="D631" s="12"/>
      <c r="E631" s="12"/>
      <c r="F631" s="5"/>
      <c r="G631" s="5"/>
      <c r="H631" s="5"/>
      <c r="I631" s="5"/>
      <c r="J631" s="5"/>
      <c r="K631" s="5"/>
      <c r="L631" s="5"/>
      <c r="M631" s="5"/>
      <c r="N631" s="5"/>
      <c r="O631" s="5"/>
      <c r="P631" s="5"/>
      <c r="Q631" s="5"/>
      <c r="R631" s="5"/>
      <c r="S631" s="5"/>
      <c r="T631" s="5"/>
      <c r="U631" s="5"/>
      <c r="V631" s="5"/>
      <c r="W631" s="5"/>
      <c r="X631" s="5"/>
      <c r="Y631" s="5"/>
    </row>
    <row r="632" spans="1:25">
      <c r="A632" s="5"/>
      <c r="B632" s="5"/>
      <c r="C632" s="12"/>
      <c r="D632" s="12"/>
      <c r="E632" s="12"/>
      <c r="F632" s="5"/>
      <c r="G632" s="5"/>
      <c r="H632" s="5"/>
      <c r="I632" s="5"/>
      <c r="J632" s="5"/>
      <c r="K632" s="5"/>
      <c r="L632" s="5"/>
      <c r="M632" s="5"/>
      <c r="N632" s="5"/>
      <c r="O632" s="5"/>
      <c r="P632" s="5"/>
      <c r="Q632" s="5"/>
      <c r="R632" s="5"/>
      <c r="S632" s="5"/>
      <c r="T632" s="5"/>
      <c r="U632" s="5"/>
      <c r="V632" s="5"/>
      <c r="W632" s="5"/>
      <c r="X632" s="5"/>
      <c r="Y632" s="5"/>
    </row>
    <row r="633" spans="1:25">
      <c r="A633" s="5"/>
      <c r="B633" s="5"/>
      <c r="C633" s="12"/>
      <c r="D633" s="12"/>
      <c r="E633" s="12"/>
      <c r="F633" s="5"/>
      <c r="G633" s="5"/>
      <c r="H633" s="5"/>
      <c r="I633" s="5"/>
      <c r="J633" s="5"/>
      <c r="K633" s="5"/>
      <c r="L633" s="5"/>
      <c r="M633" s="5"/>
      <c r="N633" s="5"/>
      <c r="O633" s="5"/>
      <c r="P633" s="5"/>
      <c r="Q633" s="5"/>
      <c r="R633" s="5"/>
      <c r="S633" s="5"/>
      <c r="T633" s="5"/>
      <c r="U633" s="5"/>
      <c r="V633" s="5"/>
      <c r="W633" s="5"/>
      <c r="X633" s="5"/>
      <c r="Y633" s="5"/>
    </row>
    <row r="634" spans="1:25">
      <c r="A634" s="5"/>
      <c r="B634" s="5"/>
      <c r="C634" s="12"/>
      <c r="D634" s="12"/>
      <c r="E634" s="12"/>
      <c r="F634" s="5"/>
      <c r="G634" s="5"/>
      <c r="H634" s="5"/>
      <c r="I634" s="5"/>
      <c r="J634" s="5"/>
      <c r="K634" s="5"/>
      <c r="L634" s="5"/>
      <c r="M634" s="5"/>
      <c r="N634" s="5"/>
      <c r="O634" s="5"/>
      <c r="P634" s="5"/>
      <c r="Q634" s="5"/>
      <c r="R634" s="5"/>
      <c r="S634" s="5"/>
      <c r="T634" s="5"/>
      <c r="U634" s="5"/>
      <c r="V634" s="5"/>
      <c r="W634" s="5"/>
      <c r="X634" s="5"/>
      <c r="Y634" s="5"/>
    </row>
    <row r="635" spans="1:25">
      <c r="A635" s="5"/>
      <c r="B635" s="5"/>
      <c r="C635" s="12"/>
      <c r="D635" s="12"/>
      <c r="E635" s="12"/>
      <c r="F635" s="5"/>
      <c r="G635" s="5"/>
      <c r="H635" s="5"/>
      <c r="I635" s="5"/>
      <c r="J635" s="5"/>
      <c r="K635" s="5"/>
      <c r="L635" s="5"/>
      <c r="M635" s="5"/>
      <c r="N635" s="5"/>
      <c r="O635" s="5"/>
      <c r="P635" s="5"/>
      <c r="Q635" s="5"/>
      <c r="R635" s="5"/>
      <c r="S635" s="5"/>
      <c r="T635" s="5"/>
      <c r="U635" s="5"/>
      <c r="V635" s="5"/>
      <c r="W635" s="5"/>
      <c r="X635" s="5"/>
      <c r="Y635" s="5"/>
    </row>
    <row r="636" spans="1:25">
      <c r="A636" s="5"/>
      <c r="B636" s="5"/>
      <c r="C636" s="12"/>
      <c r="D636" s="12"/>
      <c r="E636" s="12"/>
      <c r="F636" s="5"/>
      <c r="G636" s="5"/>
      <c r="H636" s="5"/>
      <c r="I636" s="5"/>
      <c r="J636" s="5"/>
      <c r="K636" s="5"/>
      <c r="L636" s="5"/>
      <c r="M636" s="5"/>
      <c r="N636" s="5"/>
      <c r="O636" s="5"/>
      <c r="P636" s="5"/>
      <c r="Q636" s="5"/>
      <c r="R636" s="5"/>
      <c r="S636" s="5"/>
      <c r="T636" s="5"/>
      <c r="U636" s="5"/>
      <c r="V636" s="5"/>
      <c r="W636" s="5"/>
      <c r="X636" s="5"/>
      <c r="Y636" s="5"/>
    </row>
    <row r="637" spans="1:25">
      <c r="A637" s="5"/>
      <c r="B637" s="5"/>
      <c r="C637" s="12"/>
      <c r="D637" s="12"/>
      <c r="E637" s="12"/>
      <c r="F637" s="5"/>
      <c r="G637" s="5"/>
      <c r="H637" s="5"/>
      <c r="I637" s="5"/>
      <c r="J637" s="5"/>
      <c r="K637" s="5"/>
      <c r="L637" s="5"/>
      <c r="M637" s="5"/>
      <c r="N637" s="5"/>
      <c r="O637" s="5"/>
      <c r="P637" s="5"/>
      <c r="Q637" s="5"/>
      <c r="R637" s="5"/>
      <c r="S637" s="5"/>
      <c r="T637" s="5"/>
      <c r="U637" s="5"/>
      <c r="V637" s="5"/>
      <c r="W637" s="5"/>
      <c r="X637" s="5"/>
      <c r="Y637" s="5"/>
    </row>
    <row r="638" spans="1:25">
      <c r="A638" s="5"/>
      <c r="B638" s="5"/>
      <c r="C638" s="12"/>
      <c r="D638" s="12"/>
      <c r="E638" s="12"/>
      <c r="F638" s="5"/>
      <c r="G638" s="5"/>
      <c r="H638" s="5"/>
      <c r="I638" s="5"/>
      <c r="J638" s="5"/>
      <c r="K638" s="5"/>
      <c r="L638" s="5"/>
      <c r="M638" s="5"/>
      <c r="N638" s="5"/>
      <c r="O638" s="5"/>
      <c r="P638" s="5"/>
      <c r="Q638" s="5"/>
      <c r="R638" s="5"/>
      <c r="S638" s="5"/>
      <c r="T638" s="5"/>
      <c r="U638" s="5"/>
      <c r="V638" s="5"/>
      <c r="W638" s="5"/>
      <c r="X638" s="5"/>
      <c r="Y638" s="5"/>
    </row>
    <row r="639" spans="1:25">
      <c r="A639" s="5"/>
      <c r="B639" s="5"/>
      <c r="C639" s="12"/>
      <c r="D639" s="12"/>
      <c r="E639" s="12"/>
      <c r="F639" s="5"/>
      <c r="G639" s="5"/>
      <c r="H639" s="5"/>
      <c r="I639" s="5"/>
      <c r="J639" s="5"/>
      <c r="K639" s="5"/>
      <c r="L639" s="5"/>
      <c r="M639" s="5"/>
      <c r="N639" s="5"/>
      <c r="O639" s="5"/>
      <c r="P639" s="5"/>
      <c r="Q639" s="5"/>
      <c r="R639" s="5"/>
      <c r="S639" s="5"/>
      <c r="T639" s="5"/>
      <c r="U639" s="5"/>
      <c r="V639" s="5"/>
      <c r="W639" s="5"/>
      <c r="X639" s="5"/>
      <c r="Y639" s="5"/>
    </row>
    <row r="640" spans="1:25">
      <c r="A640" s="5"/>
      <c r="B640" s="5"/>
      <c r="C640" s="12"/>
      <c r="D640" s="12"/>
      <c r="E640" s="12"/>
      <c r="F640" s="5"/>
      <c r="G640" s="5"/>
      <c r="H640" s="5"/>
      <c r="I640" s="5"/>
      <c r="J640" s="5"/>
      <c r="K640" s="5"/>
      <c r="L640" s="5"/>
      <c r="M640" s="5"/>
      <c r="N640" s="5"/>
      <c r="O640" s="5"/>
      <c r="P640" s="5"/>
      <c r="Q640" s="5"/>
      <c r="R640" s="5"/>
      <c r="S640" s="5"/>
      <c r="T640" s="5"/>
      <c r="U640" s="5"/>
      <c r="V640" s="5"/>
      <c r="W640" s="5"/>
      <c r="X640" s="5"/>
      <c r="Y640" s="5"/>
    </row>
    <row r="641" spans="1:25">
      <c r="A641" s="5"/>
      <c r="B641" s="5"/>
      <c r="C641" s="12"/>
      <c r="D641" s="12"/>
      <c r="E641" s="12"/>
      <c r="F641" s="5"/>
      <c r="G641" s="5"/>
      <c r="H641" s="5"/>
      <c r="I641" s="5"/>
      <c r="J641" s="5"/>
      <c r="K641" s="5"/>
      <c r="L641" s="5"/>
      <c r="M641" s="5"/>
      <c r="N641" s="5"/>
      <c r="O641" s="5"/>
      <c r="P641" s="5"/>
      <c r="Q641" s="5"/>
      <c r="R641" s="5"/>
      <c r="S641" s="5"/>
      <c r="T641" s="5"/>
      <c r="U641" s="5"/>
      <c r="V641" s="5"/>
      <c r="W641" s="5"/>
      <c r="X641" s="5"/>
      <c r="Y641" s="5"/>
    </row>
    <row r="642" spans="1:25">
      <c r="A642" s="5"/>
      <c r="B642" s="5"/>
      <c r="C642" s="12"/>
      <c r="D642" s="12"/>
      <c r="E642" s="12"/>
      <c r="F642" s="5"/>
      <c r="G642" s="5"/>
      <c r="H642" s="5"/>
      <c r="I642" s="5"/>
      <c r="J642" s="5"/>
      <c r="K642" s="5"/>
      <c r="L642" s="5"/>
      <c r="M642" s="5"/>
      <c r="N642" s="5"/>
      <c r="O642" s="5"/>
      <c r="P642" s="5"/>
      <c r="Q642" s="5"/>
      <c r="R642" s="5"/>
      <c r="S642" s="5"/>
      <c r="T642" s="5"/>
      <c r="U642" s="5"/>
      <c r="V642" s="5"/>
      <c r="W642" s="5"/>
      <c r="X642" s="5"/>
      <c r="Y642" s="5"/>
    </row>
    <row r="643" spans="1:25">
      <c r="A643" s="5"/>
      <c r="B643" s="5"/>
      <c r="C643" s="12"/>
      <c r="D643" s="12"/>
      <c r="E643" s="12"/>
      <c r="F643" s="5"/>
      <c r="G643" s="5"/>
      <c r="H643" s="5"/>
      <c r="I643" s="5"/>
      <c r="J643" s="5"/>
      <c r="K643" s="5"/>
      <c r="L643" s="5"/>
      <c r="M643" s="5"/>
      <c r="N643" s="5"/>
      <c r="O643" s="5"/>
      <c r="P643" s="5"/>
      <c r="Q643" s="5"/>
      <c r="R643" s="5"/>
      <c r="S643" s="5"/>
      <c r="T643" s="5"/>
      <c r="U643" s="5"/>
      <c r="V643" s="5"/>
      <c r="W643" s="5"/>
      <c r="X643" s="5"/>
      <c r="Y643" s="5"/>
    </row>
    <row r="644" spans="1:25">
      <c r="A644" s="5"/>
      <c r="B644" s="5"/>
      <c r="C644" s="12"/>
      <c r="D644" s="12"/>
      <c r="E644" s="12"/>
      <c r="F644" s="5"/>
      <c r="G644" s="5"/>
      <c r="H644" s="5"/>
      <c r="I644" s="5"/>
      <c r="J644" s="5"/>
      <c r="K644" s="5"/>
      <c r="L644" s="5"/>
      <c r="M644" s="5"/>
      <c r="N644" s="5"/>
      <c r="O644" s="5"/>
      <c r="P644" s="5"/>
      <c r="Q644" s="5"/>
      <c r="R644" s="5"/>
      <c r="S644" s="5"/>
      <c r="T644" s="5"/>
      <c r="U644" s="5"/>
      <c r="V644" s="5"/>
      <c r="W644" s="5"/>
      <c r="X644" s="5"/>
      <c r="Y644" s="5"/>
    </row>
    <row r="645" spans="1:25">
      <c r="A645" s="5"/>
      <c r="B645" s="5"/>
      <c r="C645" s="12"/>
      <c r="D645" s="12"/>
      <c r="E645" s="12"/>
      <c r="F645" s="5"/>
      <c r="G645" s="5"/>
      <c r="H645" s="5"/>
      <c r="I645" s="5"/>
      <c r="J645" s="5"/>
      <c r="K645" s="5"/>
      <c r="L645" s="5"/>
      <c r="M645" s="5"/>
      <c r="N645" s="5"/>
      <c r="O645" s="5"/>
      <c r="P645" s="5"/>
      <c r="Q645" s="5"/>
      <c r="R645" s="5"/>
      <c r="S645" s="5"/>
      <c r="T645" s="5"/>
      <c r="U645" s="5"/>
      <c r="V645" s="5"/>
      <c r="W645" s="5"/>
      <c r="X645" s="5"/>
      <c r="Y645" s="5"/>
    </row>
    <row r="646" spans="1:25">
      <c r="A646" s="5"/>
      <c r="B646" s="5"/>
      <c r="C646" s="12"/>
      <c r="D646" s="12"/>
      <c r="E646" s="12"/>
      <c r="F646" s="5"/>
      <c r="G646" s="5"/>
      <c r="H646" s="5"/>
      <c r="I646" s="5"/>
      <c r="J646" s="5"/>
      <c r="K646" s="5"/>
      <c r="L646" s="5"/>
      <c r="M646" s="5"/>
      <c r="N646" s="5"/>
      <c r="O646" s="5"/>
      <c r="P646" s="5"/>
      <c r="Q646" s="5"/>
      <c r="R646" s="5"/>
      <c r="S646" s="5"/>
      <c r="T646" s="5"/>
      <c r="U646" s="5"/>
      <c r="V646" s="5"/>
      <c r="W646" s="5"/>
      <c r="X646" s="5"/>
      <c r="Y646" s="5"/>
    </row>
    <row r="647" spans="1:25">
      <c r="A647" s="5"/>
      <c r="B647" s="5"/>
      <c r="C647" s="12"/>
      <c r="D647" s="12"/>
      <c r="E647" s="12"/>
      <c r="F647" s="5"/>
      <c r="G647" s="5"/>
      <c r="H647" s="5"/>
      <c r="I647" s="5"/>
      <c r="J647" s="5"/>
      <c r="K647" s="5"/>
      <c r="L647" s="5"/>
      <c r="M647" s="5"/>
      <c r="N647" s="5"/>
      <c r="O647" s="5"/>
      <c r="P647" s="5"/>
      <c r="Q647" s="5"/>
      <c r="R647" s="5"/>
      <c r="S647" s="5"/>
      <c r="T647" s="5"/>
      <c r="U647" s="5"/>
      <c r="V647" s="5"/>
      <c r="W647" s="5"/>
      <c r="X647" s="5"/>
      <c r="Y647" s="5"/>
    </row>
    <row r="648" spans="1:25">
      <c r="A648" s="5"/>
      <c r="B648" s="5"/>
      <c r="C648" s="12"/>
      <c r="D648" s="12"/>
      <c r="E648" s="12"/>
      <c r="F648" s="5"/>
      <c r="G648" s="5"/>
      <c r="H648" s="5"/>
      <c r="I648" s="5"/>
      <c r="J648" s="5"/>
      <c r="K648" s="5"/>
      <c r="L648" s="5"/>
      <c r="M648" s="5"/>
      <c r="N648" s="5"/>
      <c r="O648" s="5"/>
      <c r="P648" s="5"/>
      <c r="Q648" s="5"/>
      <c r="R648" s="5"/>
      <c r="S648" s="5"/>
      <c r="T648" s="5"/>
      <c r="U648" s="5"/>
      <c r="V648" s="5"/>
      <c r="W648" s="5"/>
      <c r="X648" s="5"/>
      <c r="Y648" s="5"/>
    </row>
    <row r="649" spans="1:25">
      <c r="A649" s="5"/>
      <c r="B649" s="5"/>
      <c r="C649" s="12"/>
      <c r="D649" s="12"/>
      <c r="E649" s="12"/>
      <c r="F649" s="5"/>
      <c r="G649" s="5"/>
      <c r="H649" s="5"/>
      <c r="I649" s="5"/>
      <c r="J649" s="5"/>
      <c r="K649" s="5"/>
      <c r="L649" s="5"/>
      <c r="M649" s="5"/>
      <c r="N649" s="5"/>
      <c r="O649" s="5"/>
      <c r="P649" s="5"/>
      <c r="Q649" s="5"/>
      <c r="R649" s="5"/>
      <c r="S649" s="5"/>
      <c r="T649" s="5"/>
      <c r="U649" s="5"/>
      <c r="V649" s="5"/>
      <c r="W649" s="5"/>
      <c r="X649" s="5"/>
      <c r="Y649" s="5"/>
    </row>
    <row r="650" spans="1:25">
      <c r="A650" s="5"/>
      <c r="B650" s="5"/>
      <c r="C650" s="12"/>
      <c r="D650" s="12"/>
      <c r="E650" s="12"/>
      <c r="F650" s="5"/>
      <c r="G650" s="5"/>
      <c r="H650" s="5"/>
      <c r="I650" s="5"/>
      <c r="J650" s="5"/>
      <c r="K650" s="5"/>
      <c r="L650" s="5"/>
      <c r="M650" s="5"/>
      <c r="N650" s="5"/>
      <c r="O650" s="5"/>
      <c r="P650" s="5"/>
      <c r="Q650" s="5"/>
      <c r="R650" s="5"/>
      <c r="S650" s="5"/>
      <c r="T650" s="5"/>
      <c r="U650" s="5"/>
      <c r="V650" s="5"/>
      <c r="W650" s="5"/>
      <c r="X650" s="5"/>
      <c r="Y650" s="5"/>
    </row>
    <row r="651" spans="1:25">
      <c r="A651" s="5"/>
      <c r="B651" s="5"/>
      <c r="C651" s="12"/>
      <c r="D651" s="12"/>
      <c r="E651" s="12"/>
      <c r="F651" s="5"/>
      <c r="G651" s="5"/>
      <c r="H651" s="5"/>
      <c r="I651" s="5"/>
      <c r="J651" s="5"/>
      <c r="K651" s="5"/>
      <c r="L651" s="5"/>
      <c r="M651" s="5"/>
      <c r="N651" s="5"/>
      <c r="O651" s="5"/>
      <c r="P651" s="5"/>
      <c r="Q651" s="5"/>
      <c r="R651" s="5"/>
      <c r="S651" s="5"/>
      <c r="T651" s="5"/>
      <c r="U651" s="5"/>
      <c r="V651" s="5"/>
      <c r="W651" s="5"/>
      <c r="X651" s="5"/>
      <c r="Y651" s="5"/>
    </row>
    <row r="652" spans="1:25">
      <c r="A652" s="5"/>
      <c r="B652" s="5"/>
      <c r="C652" s="12"/>
      <c r="D652" s="12"/>
      <c r="E652" s="12"/>
      <c r="F652" s="5"/>
      <c r="G652" s="5"/>
      <c r="H652" s="5"/>
      <c r="I652" s="5"/>
      <c r="J652" s="5"/>
      <c r="K652" s="5"/>
      <c r="L652" s="5"/>
      <c r="M652" s="5"/>
      <c r="N652" s="5"/>
      <c r="O652" s="5"/>
      <c r="P652" s="5"/>
      <c r="Q652" s="5"/>
      <c r="R652" s="5"/>
      <c r="S652" s="5"/>
      <c r="T652" s="5"/>
      <c r="U652" s="5"/>
      <c r="V652" s="5"/>
      <c r="W652" s="5"/>
      <c r="X652" s="5"/>
      <c r="Y652" s="5"/>
    </row>
    <row r="653" spans="1:25">
      <c r="A653" s="5"/>
      <c r="B653" s="5"/>
      <c r="C653" s="12"/>
      <c r="D653" s="12"/>
      <c r="E653" s="12"/>
      <c r="F653" s="5"/>
      <c r="G653" s="5"/>
      <c r="H653" s="5"/>
      <c r="I653" s="5"/>
      <c r="J653" s="5"/>
      <c r="K653" s="5"/>
      <c r="L653" s="5"/>
      <c r="M653" s="5"/>
      <c r="N653" s="5"/>
      <c r="O653" s="5"/>
      <c r="P653" s="5"/>
      <c r="Q653" s="5"/>
      <c r="R653" s="5"/>
      <c r="S653" s="5"/>
      <c r="T653" s="5"/>
      <c r="U653" s="5"/>
      <c r="V653" s="5"/>
      <c r="W653" s="5"/>
      <c r="X653" s="5"/>
      <c r="Y653" s="5"/>
    </row>
    <row r="654" spans="1:25">
      <c r="A654" s="5"/>
      <c r="B654" s="5"/>
      <c r="C654" s="12"/>
      <c r="D654" s="12"/>
      <c r="E654" s="12"/>
      <c r="F654" s="5"/>
      <c r="G654" s="5"/>
      <c r="H654" s="5"/>
      <c r="I654" s="5"/>
      <c r="J654" s="5"/>
      <c r="K654" s="5"/>
      <c r="L654" s="5"/>
      <c r="M654" s="5"/>
      <c r="N654" s="5"/>
      <c r="O654" s="5"/>
      <c r="P654" s="5"/>
      <c r="Q654" s="5"/>
      <c r="R654" s="5"/>
      <c r="S654" s="5"/>
      <c r="T654" s="5"/>
      <c r="U654" s="5"/>
      <c r="V654" s="5"/>
      <c r="W654" s="5"/>
      <c r="X654" s="5"/>
      <c r="Y654" s="5"/>
    </row>
    <row r="655" spans="1:25">
      <c r="A655" s="5"/>
      <c r="B655" s="5"/>
      <c r="C655" s="12"/>
      <c r="D655" s="12"/>
      <c r="E655" s="12"/>
      <c r="F655" s="5"/>
      <c r="G655" s="5"/>
      <c r="H655" s="5"/>
      <c r="I655" s="5"/>
      <c r="J655" s="5"/>
      <c r="K655" s="5"/>
      <c r="L655" s="5"/>
      <c r="M655" s="5"/>
      <c r="N655" s="5"/>
      <c r="O655" s="5"/>
      <c r="P655" s="5"/>
      <c r="Q655" s="5"/>
      <c r="R655" s="5"/>
      <c r="S655" s="5"/>
      <c r="T655" s="5"/>
      <c r="U655" s="5"/>
      <c r="V655" s="5"/>
      <c r="W655" s="5"/>
      <c r="X655" s="5"/>
      <c r="Y655" s="5"/>
    </row>
    <row r="656" spans="1:25">
      <c r="A656" s="5"/>
      <c r="B656" s="5"/>
      <c r="C656" s="12"/>
      <c r="D656" s="12"/>
      <c r="E656" s="12"/>
      <c r="F656" s="5"/>
      <c r="G656" s="5"/>
      <c r="H656" s="5"/>
      <c r="I656" s="5"/>
      <c r="J656" s="5"/>
      <c r="K656" s="5"/>
      <c r="L656" s="5"/>
      <c r="M656" s="5"/>
      <c r="N656" s="5"/>
      <c r="O656" s="5"/>
      <c r="P656" s="5"/>
      <c r="Q656" s="5"/>
      <c r="R656" s="5"/>
      <c r="S656" s="5"/>
      <c r="T656" s="5"/>
      <c r="U656" s="5"/>
      <c r="V656" s="5"/>
      <c r="W656" s="5"/>
      <c r="X656" s="5"/>
      <c r="Y656" s="5"/>
    </row>
    <row r="657" spans="1:25">
      <c r="A657" s="5"/>
      <c r="B657" s="5"/>
      <c r="C657" s="12"/>
      <c r="D657" s="12"/>
      <c r="E657" s="12"/>
      <c r="F657" s="5"/>
      <c r="G657" s="5"/>
      <c r="H657" s="5"/>
      <c r="I657" s="5"/>
      <c r="J657" s="5"/>
      <c r="K657" s="5"/>
      <c r="L657" s="5"/>
      <c r="M657" s="5"/>
      <c r="N657" s="5"/>
      <c r="O657" s="5"/>
      <c r="P657" s="5"/>
      <c r="Q657" s="5"/>
      <c r="R657" s="5"/>
      <c r="S657" s="5"/>
      <c r="T657" s="5"/>
      <c r="U657" s="5"/>
      <c r="V657" s="5"/>
      <c r="W657" s="5"/>
      <c r="X657" s="5"/>
      <c r="Y657" s="5"/>
    </row>
    <row r="658" spans="1:25">
      <c r="A658" s="5"/>
      <c r="B658" s="5"/>
      <c r="C658" s="12"/>
      <c r="D658" s="12"/>
      <c r="E658" s="12"/>
      <c r="F658" s="5"/>
      <c r="G658" s="5"/>
      <c r="H658" s="5"/>
      <c r="I658" s="5"/>
      <c r="J658" s="5"/>
      <c r="K658" s="5"/>
      <c r="L658" s="5"/>
      <c r="M658" s="5"/>
      <c r="N658" s="5"/>
      <c r="O658" s="5"/>
      <c r="P658" s="5"/>
      <c r="Q658" s="5"/>
      <c r="R658" s="5"/>
      <c r="S658" s="5"/>
      <c r="T658" s="5"/>
      <c r="U658" s="5"/>
      <c r="V658" s="5"/>
      <c r="W658" s="5"/>
      <c r="X658" s="5"/>
      <c r="Y658" s="5"/>
    </row>
    <row r="659" spans="1:25">
      <c r="A659" s="5"/>
      <c r="B659" s="5"/>
      <c r="C659" s="12"/>
      <c r="D659" s="12"/>
      <c r="E659" s="12"/>
      <c r="F659" s="5"/>
      <c r="G659" s="5"/>
      <c r="H659" s="5"/>
      <c r="I659" s="5"/>
      <c r="J659" s="5"/>
      <c r="K659" s="5"/>
      <c r="L659" s="5"/>
      <c r="M659" s="5"/>
      <c r="N659" s="5"/>
      <c r="O659" s="5"/>
      <c r="P659" s="5"/>
      <c r="Q659" s="5"/>
      <c r="R659" s="5"/>
      <c r="S659" s="5"/>
      <c r="T659" s="5"/>
      <c r="U659" s="5"/>
      <c r="V659" s="5"/>
      <c r="W659" s="5"/>
      <c r="X659" s="5"/>
      <c r="Y659" s="5"/>
    </row>
    <row r="660" spans="1:25">
      <c r="A660" s="5"/>
      <c r="B660" s="5"/>
      <c r="C660" s="12"/>
      <c r="D660" s="12"/>
      <c r="E660" s="12"/>
      <c r="F660" s="5"/>
      <c r="G660" s="5"/>
      <c r="H660" s="5"/>
      <c r="I660" s="5"/>
      <c r="J660" s="5"/>
      <c r="K660" s="5"/>
      <c r="L660" s="5"/>
      <c r="M660" s="5"/>
      <c r="N660" s="5"/>
      <c r="O660" s="5"/>
      <c r="P660" s="5"/>
      <c r="Q660" s="5"/>
      <c r="R660" s="5"/>
      <c r="S660" s="5"/>
      <c r="T660" s="5"/>
      <c r="U660" s="5"/>
      <c r="V660" s="5"/>
      <c r="W660" s="5"/>
      <c r="X660" s="5"/>
      <c r="Y660" s="5"/>
    </row>
    <row r="661" spans="1:25">
      <c r="A661" s="5"/>
      <c r="B661" s="5"/>
      <c r="C661" s="12"/>
      <c r="D661" s="12"/>
      <c r="E661" s="12"/>
      <c r="F661" s="5"/>
      <c r="G661" s="5"/>
      <c r="H661" s="5"/>
      <c r="I661" s="5"/>
      <c r="J661" s="5"/>
      <c r="K661" s="5"/>
      <c r="L661" s="5"/>
      <c r="M661" s="5"/>
      <c r="N661" s="5"/>
      <c r="O661" s="5"/>
      <c r="P661" s="5"/>
      <c r="Q661" s="5"/>
      <c r="R661" s="5"/>
      <c r="S661" s="5"/>
      <c r="T661" s="5"/>
      <c r="U661" s="5"/>
      <c r="V661" s="5"/>
      <c r="W661" s="5"/>
      <c r="X661" s="5"/>
      <c r="Y661" s="5"/>
    </row>
    <row r="662" spans="1:25">
      <c r="A662" s="5"/>
      <c r="B662" s="5"/>
      <c r="C662" s="12"/>
      <c r="D662" s="12"/>
      <c r="E662" s="12"/>
      <c r="F662" s="5"/>
      <c r="G662" s="5"/>
      <c r="H662" s="5"/>
      <c r="I662" s="5"/>
      <c r="J662" s="5"/>
      <c r="K662" s="5"/>
      <c r="L662" s="5"/>
      <c r="M662" s="5"/>
      <c r="N662" s="5"/>
      <c r="O662" s="5"/>
      <c r="P662" s="5"/>
      <c r="Q662" s="5"/>
      <c r="R662" s="5"/>
      <c r="S662" s="5"/>
      <c r="T662" s="5"/>
      <c r="U662" s="5"/>
      <c r="V662" s="5"/>
      <c r="W662" s="5"/>
      <c r="X662" s="5"/>
      <c r="Y662" s="5"/>
    </row>
    <row r="663" spans="1:25">
      <c r="A663" s="5"/>
      <c r="B663" s="5"/>
      <c r="C663" s="12"/>
      <c r="D663" s="12"/>
      <c r="E663" s="12"/>
      <c r="F663" s="5"/>
      <c r="G663" s="5"/>
      <c r="H663" s="5"/>
      <c r="I663" s="5"/>
      <c r="J663" s="5"/>
      <c r="K663" s="5"/>
      <c r="L663" s="5"/>
      <c r="M663" s="5"/>
      <c r="N663" s="5"/>
      <c r="O663" s="5"/>
      <c r="P663" s="5"/>
      <c r="Q663" s="5"/>
      <c r="R663" s="5"/>
      <c r="S663" s="5"/>
      <c r="T663" s="5"/>
      <c r="U663" s="5"/>
      <c r="V663" s="5"/>
      <c r="W663" s="5"/>
      <c r="X663" s="5"/>
      <c r="Y663" s="5"/>
    </row>
    <row r="664" spans="1:25">
      <c r="A664" s="5"/>
      <c r="B664" s="5"/>
      <c r="C664" s="12"/>
      <c r="D664" s="12"/>
      <c r="E664" s="12"/>
      <c r="F664" s="5"/>
      <c r="G664" s="5"/>
      <c r="H664" s="5"/>
      <c r="I664" s="5"/>
      <c r="J664" s="5"/>
      <c r="K664" s="5"/>
      <c r="L664" s="5"/>
      <c r="M664" s="5"/>
      <c r="N664" s="5"/>
      <c r="O664" s="5"/>
      <c r="P664" s="5"/>
      <c r="Q664" s="5"/>
      <c r="R664" s="5"/>
      <c r="S664" s="5"/>
      <c r="T664" s="5"/>
      <c r="U664" s="5"/>
      <c r="V664" s="5"/>
      <c r="W664" s="5"/>
      <c r="X664" s="5"/>
      <c r="Y664" s="5"/>
    </row>
    <row r="665" spans="1:25">
      <c r="A665" s="5"/>
      <c r="B665" s="5"/>
      <c r="C665" s="12"/>
      <c r="D665" s="12"/>
      <c r="E665" s="12"/>
      <c r="F665" s="5"/>
      <c r="G665" s="5"/>
      <c r="H665" s="5"/>
      <c r="I665" s="5"/>
      <c r="J665" s="5"/>
      <c r="K665" s="5"/>
      <c r="L665" s="5"/>
      <c r="M665" s="5"/>
      <c r="N665" s="5"/>
      <c r="O665" s="5"/>
      <c r="P665" s="5"/>
      <c r="Q665" s="5"/>
      <c r="R665" s="5"/>
      <c r="S665" s="5"/>
      <c r="T665" s="5"/>
      <c r="U665" s="5"/>
      <c r="V665" s="5"/>
      <c r="W665" s="5"/>
      <c r="X665" s="5"/>
      <c r="Y665" s="5"/>
    </row>
    <row r="666" spans="1:25">
      <c r="A666" s="5"/>
      <c r="B666" s="5"/>
      <c r="C666" s="12"/>
      <c r="D666" s="12"/>
      <c r="E666" s="12"/>
      <c r="F666" s="5"/>
      <c r="G666" s="5"/>
      <c r="H666" s="5"/>
      <c r="I666" s="5"/>
      <c r="J666" s="5"/>
      <c r="K666" s="5"/>
      <c r="L666" s="5"/>
      <c r="M666" s="5"/>
      <c r="N666" s="5"/>
      <c r="O666" s="5"/>
      <c r="P666" s="5"/>
      <c r="Q666" s="5"/>
      <c r="R666" s="5"/>
      <c r="S666" s="5"/>
      <c r="T666" s="5"/>
      <c r="U666" s="5"/>
      <c r="V666" s="5"/>
      <c r="W666" s="5"/>
      <c r="X666" s="5"/>
      <c r="Y666" s="5"/>
    </row>
    <row r="667" spans="1:25">
      <c r="A667" s="5"/>
      <c r="B667" s="5"/>
      <c r="C667" s="12"/>
      <c r="D667" s="12"/>
      <c r="E667" s="12"/>
      <c r="F667" s="5"/>
      <c r="G667" s="5"/>
      <c r="H667" s="5"/>
      <c r="I667" s="5"/>
      <c r="J667" s="5"/>
      <c r="K667" s="5"/>
      <c r="L667" s="5"/>
      <c r="M667" s="5"/>
      <c r="N667" s="5"/>
      <c r="O667" s="5"/>
      <c r="P667" s="5"/>
      <c r="Q667" s="5"/>
      <c r="R667" s="5"/>
      <c r="S667" s="5"/>
      <c r="T667" s="5"/>
      <c r="U667" s="5"/>
      <c r="V667" s="5"/>
      <c r="W667" s="5"/>
      <c r="X667" s="5"/>
      <c r="Y667" s="5"/>
    </row>
    <row r="668" spans="1:25">
      <c r="A668" s="5"/>
      <c r="B668" s="5"/>
      <c r="C668" s="12"/>
      <c r="D668" s="12"/>
      <c r="E668" s="12"/>
      <c r="F668" s="5"/>
      <c r="G668" s="5"/>
      <c r="H668" s="5"/>
      <c r="I668" s="5"/>
      <c r="J668" s="5"/>
      <c r="K668" s="5"/>
      <c r="L668" s="5"/>
      <c r="M668" s="5"/>
      <c r="N668" s="5"/>
      <c r="O668" s="5"/>
      <c r="P668" s="5"/>
      <c r="Q668" s="5"/>
      <c r="R668" s="5"/>
      <c r="S668" s="5"/>
      <c r="T668" s="5"/>
      <c r="U668" s="5"/>
      <c r="V668" s="5"/>
      <c r="W668" s="5"/>
      <c r="X668" s="5"/>
      <c r="Y668" s="5"/>
    </row>
    <row r="669" spans="1:25">
      <c r="A669" s="5"/>
      <c r="B669" s="5"/>
      <c r="C669" s="12"/>
      <c r="D669" s="12"/>
      <c r="E669" s="12"/>
      <c r="F669" s="5"/>
      <c r="G669" s="5"/>
      <c r="H669" s="5"/>
      <c r="I669" s="5"/>
      <c r="J669" s="5"/>
      <c r="K669" s="5"/>
      <c r="L669" s="5"/>
      <c r="M669" s="5"/>
      <c r="N669" s="5"/>
      <c r="O669" s="5"/>
      <c r="P669" s="5"/>
      <c r="Q669" s="5"/>
      <c r="R669" s="5"/>
      <c r="S669" s="5"/>
      <c r="T669" s="5"/>
      <c r="U669" s="5"/>
      <c r="V669" s="5"/>
      <c r="W669" s="5"/>
      <c r="X669" s="5"/>
      <c r="Y669" s="5"/>
    </row>
    <row r="670" spans="1:25">
      <c r="A670" s="5"/>
      <c r="B670" s="5"/>
      <c r="C670" s="12"/>
      <c r="D670" s="12"/>
      <c r="E670" s="12"/>
      <c r="F670" s="5"/>
      <c r="G670" s="5"/>
      <c r="H670" s="5"/>
      <c r="I670" s="5"/>
      <c r="J670" s="5"/>
      <c r="K670" s="5"/>
      <c r="L670" s="5"/>
      <c r="M670" s="5"/>
      <c r="N670" s="5"/>
      <c r="O670" s="5"/>
      <c r="P670" s="5"/>
      <c r="Q670" s="5"/>
      <c r="R670" s="5"/>
      <c r="S670" s="5"/>
      <c r="T670" s="5"/>
      <c r="U670" s="5"/>
      <c r="V670" s="5"/>
      <c r="W670" s="5"/>
      <c r="X670" s="5"/>
      <c r="Y670" s="5"/>
    </row>
    <row r="671" spans="1:25">
      <c r="A671" s="5"/>
      <c r="B671" s="5"/>
      <c r="C671" s="12"/>
      <c r="D671" s="12"/>
      <c r="E671" s="12"/>
      <c r="F671" s="5"/>
      <c r="G671" s="5"/>
      <c r="H671" s="5"/>
      <c r="I671" s="5"/>
      <c r="J671" s="5"/>
      <c r="K671" s="5"/>
      <c r="L671" s="5"/>
      <c r="M671" s="5"/>
      <c r="N671" s="5"/>
      <c r="O671" s="5"/>
      <c r="P671" s="5"/>
      <c r="Q671" s="5"/>
      <c r="R671" s="5"/>
      <c r="S671" s="5"/>
      <c r="T671" s="5"/>
      <c r="U671" s="5"/>
      <c r="V671" s="5"/>
      <c r="W671" s="5"/>
      <c r="X671" s="5"/>
      <c r="Y671" s="5"/>
    </row>
    <row r="672" spans="1:25">
      <c r="A672" s="5"/>
      <c r="B672" s="5"/>
      <c r="C672" s="12"/>
      <c r="D672" s="12"/>
      <c r="E672" s="12"/>
      <c r="F672" s="5"/>
      <c r="G672" s="5"/>
      <c r="H672" s="5"/>
      <c r="I672" s="5"/>
      <c r="J672" s="5"/>
      <c r="K672" s="5"/>
      <c r="L672" s="5"/>
      <c r="M672" s="5"/>
      <c r="N672" s="5"/>
      <c r="O672" s="5"/>
      <c r="P672" s="5"/>
      <c r="Q672" s="5"/>
      <c r="R672" s="5"/>
      <c r="S672" s="5"/>
      <c r="T672" s="5"/>
      <c r="U672" s="5"/>
      <c r="V672" s="5"/>
      <c r="W672" s="5"/>
      <c r="X672" s="5"/>
      <c r="Y672" s="5"/>
    </row>
    <row r="673" spans="1:25">
      <c r="A673" s="5"/>
      <c r="B673" s="5"/>
      <c r="C673" s="12"/>
      <c r="D673" s="12"/>
      <c r="E673" s="12"/>
      <c r="F673" s="5"/>
      <c r="G673" s="5"/>
      <c r="H673" s="5"/>
      <c r="I673" s="5"/>
      <c r="J673" s="5"/>
      <c r="K673" s="5"/>
      <c r="L673" s="5"/>
      <c r="M673" s="5"/>
      <c r="N673" s="5"/>
      <c r="O673" s="5"/>
      <c r="P673" s="5"/>
      <c r="Q673" s="5"/>
      <c r="R673" s="5"/>
      <c r="S673" s="5"/>
      <c r="T673" s="5"/>
      <c r="U673" s="5"/>
      <c r="V673" s="5"/>
      <c r="W673" s="5"/>
      <c r="X673" s="5"/>
      <c r="Y673" s="5"/>
    </row>
    <row r="674" spans="1:25">
      <c r="A674" s="5"/>
      <c r="B674" s="5"/>
      <c r="C674" s="12"/>
      <c r="D674" s="12"/>
      <c r="E674" s="12"/>
      <c r="F674" s="5"/>
      <c r="G674" s="5"/>
      <c r="H674" s="5"/>
      <c r="I674" s="5"/>
      <c r="J674" s="5"/>
      <c r="K674" s="5"/>
      <c r="L674" s="5"/>
      <c r="M674" s="5"/>
      <c r="N674" s="5"/>
      <c r="O674" s="5"/>
      <c r="P674" s="5"/>
      <c r="Q674" s="5"/>
      <c r="R674" s="5"/>
      <c r="S674" s="5"/>
      <c r="T674" s="5"/>
      <c r="U674" s="5"/>
      <c r="V674" s="5"/>
      <c r="W674" s="5"/>
      <c r="X674" s="5"/>
      <c r="Y674" s="5"/>
    </row>
    <row r="675" spans="1:25">
      <c r="A675" s="5"/>
      <c r="B675" s="5"/>
      <c r="C675" s="12"/>
      <c r="D675" s="12"/>
      <c r="E675" s="12"/>
      <c r="F675" s="5"/>
      <c r="G675" s="5"/>
      <c r="H675" s="5"/>
      <c r="I675" s="5"/>
      <c r="J675" s="5"/>
      <c r="K675" s="5"/>
      <c r="L675" s="5"/>
      <c r="M675" s="5"/>
      <c r="N675" s="5"/>
      <c r="O675" s="5"/>
      <c r="P675" s="5"/>
      <c r="Q675" s="5"/>
      <c r="R675" s="5"/>
      <c r="S675" s="5"/>
      <c r="T675" s="5"/>
      <c r="U675" s="5"/>
      <c r="V675" s="5"/>
      <c r="W675" s="5"/>
      <c r="X675" s="5"/>
      <c r="Y675" s="5"/>
    </row>
    <row r="676" spans="1:25">
      <c r="A676" s="5"/>
      <c r="B676" s="5"/>
      <c r="C676" s="12"/>
      <c r="D676" s="12"/>
      <c r="E676" s="12"/>
      <c r="F676" s="5"/>
      <c r="G676" s="5"/>
      <c r="H676" s="5"/>
      <c r="I676" s="5"/>
      <c r="J676" s="5"/>
      <c r="K676" s="5"/>
      <c r="L676" s="5"/>
      <c r="M676" s="5"/>
      <c r="N676" s="5"/>
      <c r="O676" s="5"/>
      <c r="P676" s="5"/>
      <c r="Q676" s="5"/>
      <c r="R676" s="5"/>
      <c r="S676" s="5"/>
      <c r="T676" s="5"/>
      <c r="U676" s="5"/>
      <c r="V676" s="5"/>
      <c r="W676" s="5"/>
      <c r="X676" s="5"/>
      <c r="Y676" s="5"/>
    </row>
    <row r="677" spans="1:25">
      <c r="A677" s="5"/>
      <c r="B677" s="5"/>
      <c r="C677" s="12"/>
      <c r="D677" s="12"/>
      <c r="E677" s="12"/>
      <c r="F677" s="5"/>
      <c r="G677" s="5"/>
      <c r="H677" s="5"/>
      <c r="I677" s="5"/>
      <c r="J677" s="5"/>
      <c r="K677" s="5"/>
      <c r="L677" s="5"/>
      <c r="M677" s="5"/>
      <c r="N677" s="5"/>
      <c r="O677" s="5"/>
      <c r="P677" s="5"/>
      <c r="Q677" s="5"/>
      <c r="R677" s="5"/>
      <c r="S677" s="5"/>
      <c r="T677" s="5"/>
      <c r="U677" s="5"/>
      <c r="V677" s="5"/>
      <c r="W677" s="5"/>
      <c r="X677" s="5"/>
      <c r="Y677" s="5"/>
    </row>
    <row r="678" spans="1:25">
      <c r="A678" s="5"/>
      <c r="B678" s="5"/>
      <c r="C678" s="12"/>
      <c r="D678" s="12"/>
      <c r="E678" s="12"/>
      <c r="F678" s="5"/>
      <c r="G678" s="5"/>
      <c r="H678" s="5"/>
      <c r="I678" s="5"/>
      <c r="J678" s="5"/>
      <c r="K678" s="5"/>
      <c r="L678" s="5"/>
      <c r="M678" s="5"/>
      <c r="N678" s="5"/>
      <c r="O678" s="5"/>
      <c r="P678" s="5"/>
      <c r="Q678" s="5"/>
      <c r="R678" s="5"/>
      <c r="S678" s="5"/>
      <c r="T678" s="5"/>
      <c r="U678" s="5"/>
      <c r="V678" s="5"/>
      <c r="W678" s="5"/>
      <c r="X678" s="5"/>
      <c r="Y678" s="5"/>
    </row>
    <row r="679" spans="1:25">
      <c r="A679" s="5"/>
      <c r="B679" s="5"/>
      <c r="C679" s="12"/>
      <c r="D679" s="12"/>
      <c r="E679" s="12"/>
      <c r="F679" s="5"/>
      <c r="G679" s="5"/>
      <c r="H679" s="5"/>
      <c r="I679" s="5"/>
      <c r="J679" s="5"/>
      <c r="K679" s="5"/>
      <c r="L679" s="5"/>
      <c r="M679" s="5"/>
      <c r="N679" s="5"/>
      <c r="O679" s="5"/>
      <c r="P679" s="5"/>
      <c r="Q679" s="5"/>
      <c r="R679" s="5"/>
      <c r="S679" s="5"/>
      <c r="T679" s="5"/>
      <c r="U679" s="5"/>
      <c r="V679" s="5"/>
      <c r="W679" s="5"/>
      <c r="X679" s="5"/>
      <c r="Y679" s="5"/>
    </row>
    <row r="680" spans="1:25">
      <c r="A680" s="5"/>
      <c r="B680" s="5"/>
      <c r="C680" s="12"/>
      <c r="D680" s="12"/>
      <c r="E680" s="12"/>
      <c r="F680" s="5"/>
      <c r="G680" s="5"/>
      <c r="H680" s="5"/>
      <c r="I680" s="5"/>
      <c r="J680" s="5"/>
      <c r="K680" s="5"/>
      <c r="L680" s="5"/>
      <c r="M680" s="5"/>
      <c r="N680" s="5"/>
      <c r="O680" s="5"/>
      <c r="P680" s="5"/>
      <c r="Q680" s="5"/>
      <c r="R680" s="5"/>
      <c r="S680" s="5"/>
      <c r="T680" s="5"/>
      <c r="U680" s="5"/>
      <c r="V680" s="5"/>
      <c r="W680" s="5"/>
      <c r="X680" s="5"/>
      <c r="Y680" s="5"/>
    </row>
    <row r="681" spans="1:25">
      <c r="A681" s="5"/>
      <c r="B681" s="5"/>
      <c r="C681" s="12"/>
      <c r="D681" s="12"/>
      <c r="E681" s="12"/>
      <c r="F681" s="5"/>
      <c r="G681" s="5"/>
      <c r="H681" s="5"/>
      <c r="I681" s="5"/>
      <c r="J681" s="5"/>
      <c r="K681" s="5"/>
      <c r="L681" s="5"/>
      <c r="M681" s="5"/>
      <c r="N681" s="5"/>
      <c r="O681" s="5"/>
      <c r="P681" s="5"/>
      <c r="Q681" s="5"/>
      <c r="R681" s="5"/>
      <c r="S681" s="5"/>
      <c r="T681" s="5"/>
      <c r="U681" s="5"/>
      <c r="V681" s="5"/>
      <c r="W681" s="5"/>
      <c r="X681" s="5"/>
      <c r="Y681" s="5"/>
    </row>
    <row r="682" spans="1:25">
      <c r="A682" s="5"/>
      <c r="B682" s="5"/>
      <c r="C682" s="12"/>
      <c r="D682" s="12"/>
      <c r="E682" s="12"/>
      <c r="F682" s="5"/>
      <c r="G682" s="5"/>
      <c r="H682" s="5"/>
      <c r="I682" s="5"/>
      <c r="J682" s="5"/>
      <c r="K682" s="5"/>
      <c r="L682" s="5"/>
      <c r="M682" s="5"/>
      <c r="N682" s="5"/>
      <c r="O682" s="5"/>
      <c r="P682" s="5"/>
      <c r="Q682" s="5"/>
      <c r="R682" s="5"/>
      <c r="S682" s="5"/>
      <c r="T682" s="5"/>
      <c r="U682" s="5"/>
      <c r="V682" s="5"/>
      <c r="W682" s="5"/>
      <c r="X682" s="5"/>
      <c r="Y682" s="5"/>
    </row>
    <row r="683" spans="1:25">
      <c r="A683" s="5"/>
      <c r="B683" s="5"/>
      <c r="C683" s="12"/>
      <c r="D683" s="12"/>
      <c r="E683" s="12"/>
      <c r="F683" s="5"/>
      <c r="G683" s="5"/>
      <c r="H683" s="5"/>
      <c r="I683" s="5"/>
      <c r="J683" s="5"/>
      <c r="K683" s="5"/>
      <c r="L683" s="5"/>
      <c r="M683" s="5"/>
      <c r="N683" s="5"/>
      <c r="O683" s="5"/>
      <c r="P683" s="5"/>
      <c r="Q683" s="5"/>
      <c r="R683" s="5"/>
      <c r="S683" s="5"/>
      <c r="T683" s="5"/>
      <c r="U683" s="5"/>
      <c r="V683" s="5"/>
      <c r="W683" s="5"/>
      <c r="X683" s="5"/>
      <c r="Y683" s="5"/>
    </row>
    <row r="684" spans="1:25">
      <c r="A684" s="5"/>
      <c r="B684" s="5"/>
      <c r="C684" s="12"/>
      <c r="D684" s="12"/>
      <c r="E684" s="12"/>
      <c r="F684" s="5"/>
      <c r="G684" s="5"/>
      <c r="H684" s="5"/>
      <c r="I684" s="5"/>
      <c r="J684" s="5"/>
      <c r="K684" s="5"/>
      <c r="L684" s="5"/>
      <c r="M684" s="5"/>
      <c r="N684" s="5"/>
      <c r="O684" s="5"/>
      <c r="P684" s="5"/>
      <c r="Q684" s="5"/>
      <c r="R684" s="5"/>
      <c r="S684" s="5"/>
      <c r="T684" s="5"/>
      <c r="U684" s="5"/>
      <c r="V684" s="5"/>
      <c r="W684" s="5"/>
      <c r="X684" s="5"/>
      <c r="Y684" s="5"/>
    </row>
    <row r="685" spans="1:25">
      <c r="A685" s="5"/>
      <c r="B685" s="5"/>
      <c r="C685" s="12"/>
      <c r="D685" s="12"/>
      <c r="E685" s="12"/>
      <c r="F685" s="5"/>
      <c r="G685" s="5"/>
      <c r="H685" s="5"/>
      <c r="I685" s="5"/>
      <c r="J685" s="5"/>
      <c r="K685" s="5"/>
      <c r="L685" s="5"/>
      <c r="M685" s="5"/>
      <c r="N685" s="5"/>
      <c r="O685" s="5"/>
      <c r="P685" s="5"/>
      <c r="Q685" s="5"/>
      <c r="R685" s="5"/>
      <c r="S685" s="5"/>
      <c r="T685" s="5"/>
      <c r="U685" s="5"/>
      <c r="V685" s="5"/>
      <c r="W685" s="5"/>
      <c r="X685" s="5"/>
      <c r="Y685" s="5"/>
    </row>
    <row r="686" spans="1:25">
      <c r="A686" s="5"/>
      <c r="B686" s="5"/>
      <c r="C686" s="12"/>
      <c r="D686" s="12"/>
      <c r="E686" s="12"/>
      <c r="F686" s="5"/>
      <c r="G686" s="5"/>
      <c r="H686" s="5"/>
      <c r="I686" s="5"/>
      <c r="J686" s="5"/>
      <c r="K686" s="5"/>
      <c r="L686" s="5"/>
      <c r="M686" s="5"/>
      <c r="N686" s="5"/>
      <c r="O686" s="5"/>
      <c r="P686" s="5"/>
      <c r="Q686" s="5"/>
      <c r="R686" s="5"/>
      <c r="S686" s="5"/>
      <c r="T686" s="5"/>
      <c r="U686" s="5"/>
      <c r="V686" s="5"/>
      <c r="W686" s="5"/>
      <c r="X686" s="5"/>
      <c r="Y686" s="5"/>
    </row>
    <row r="687" spans="1:25">
      <c r="A687" s="5"/>
      <c r="B687" s="5"/>
      <c r="C687" s="12"/>
      <c r="D687" s="12"/>
      <c r="E687" s="12"/>
      <c r="F687" s="5"/>
      <c r="G687" s="5"/>
      <c r="H687" s="5"/>
      <c r="I687" s="5"/>
      <c r="J687" s="5"/>
      <c r="K687" s="5"/>
      <c r="L687" s="5"/>
      <c r="M687" s="5"/>
      <c r="N687" s="5"/>
      <c r="O687" s="5"/>
      <c r="P687" s="5"/>
      <c r="Q687" s="5"/>
      <c r="R687" s="5"/>
      <c r="S687" s="5"/>
      <c r="T687" s="5"/>
      <c r="U687" s="5"/>
      <c r="V687" s="5"/>
      <c r="W687" s="5"/>
      <c r="X687" s="5"/>
      <c r="Y687" s="5"/>
    </row>
    <row r="688" spans="1:25">
      <c r="A688" s="5"/>
      <c r="B688" s="5"/>
      <c r="C688" s="12"/>
      <c r="D688" s="12"/>
      <c r="E688" s="12"/>
      <c r="F688" s="5"/>
      <c r="G688" s="5"/>
      <c r="H688" s="5"/>
      <c r="I688" s="5"/>
      <c r="J688" s="5"/>
      <c r="K688" s="5"/>
      <c r="L688" s="5"/>
      <c r="M688" s="5"/>
      <c r="N688" s="5"/>
      <c r="O688" s="5"/>
      <c r="P688" s="5"/>
      <c r="Q688" s="5"/>
      <c r="R688" s="5"/>
      <c r="S688" s="5"/>
      <c r="T688" s="5"/>
      <c r="U688" s="5"/>
      <c r="V688" s="5"/>
      <c r="W688" s="5"/>
      <c r="X688" s="5"/>
      <c r="Y688" s="5"/>
    </row>
    <row r="689" spans="1:25">
      <c r="A689" s="5"/>
      <c r="B689" s="5"/>
      <c r="C689" s="12"/>
      <c r="D689" s="12"/>
      <c r="E689" s="12"/>
      <c r="F689" s="5"/>
      <c r="G689" s="5"/>
      <c r="H689" s="5"/>
      <c r="I689" s="5"/>
      <c r="J689" s="5"/>
      <c r="K689" s="5"/>
      <c r="L689" s="5"/>
      <c r="M689" s="5"/>
      <c r="N689" s="5"/>
      <c r="O689" s="5"/>
      <c r="P689" s="5"/>
      <c r="Q689" s="5"/>
      <c r="R689" s="5"/>
      <c r="S689" s="5"/>
      <c r="T689" s="5"/>
      <c r="U689" s="5"/>
      <c r="V689" s="5"/>
      <c r="W689" s="5"/>
      <c r="X689" s="5"/>
      <c r="Y689" s="5"/>
    </row>
    <row r="690" spans="1:25">
      <c r="A690" s="5"/>
      <c r="B690" s="5"/>
      <c r="C690" s="12"/>
      <c r="D690" s="12"/>
      <c r="E690" s="12"/>
      <c r="F690" s="5"/>
      <c r="G690" s="5"/>
      <c r="H690" s="5"/>
      <c r="I690" s="5"/>
      <c r="J690" s="5"/>
      <c r="K690" s="5"/>
      <c r="L690" s="5"/>
      <c r="M690" s="5"/>
      <c r="N690" s="5"/>
      <c r="O690" s="5"/>
      <c r="P690" s="5"/>
      <c r="Q690" s="5"/>
      <c r="R690" s="5"/>
      <c r="S690" s="5"/>
      <c r="T690" s="5"/>
      <c r="U690" s="5"/>
      <c r="V690" s="5"/>
      <c r="W690" s="5"/>
      <c r="X690" s="5"/>
      <c r="Y690" s="5"/>
    </row>
    <row r="691" spans="1:25">
      <c r="A691" s="5"/>
      <c r="B691" s="5"/>
      <c r="C691" s="12"/>
      <c r="D691" s="12"/>
      <c r="E691" s="12"/>
      <c r="F691" s="5"/>
      <c r="G691" s="5"/>
      <c r="H691" s="5"/>
      <c r="I691" s="5"/>
      <c r="J691" s="5"/>
      <c r="K691" s="5"/>
      <c r="L691" s="5"/>
      <c r="M691" s="5"/>
      <c r="N691" s="5"/>
      <c r="O691" s="5"/>
      <c r="P691" s="5"/>
      <c r="Q691" s="5"/>
      <c r="R691" s="5"/>
      <c r="S691" s="5"/>
      <c r="T691" s="5"/>
      <c r="U691" s="5"/>
      <c r="V691" s="5"/>
      <c r="W691" s="5"/>
      <c r="X691" s="5"/>
      <c r="Y691" s="5"/>
    </row>
    <row r="692" spans="1:25">
      <c r="A692" s="5"/>
      <c r="B692" s="5"/>
      <c r="C692" s="12"/>
      <c r="D692" s="12"/>
      <c r="E692" s="12"/>
      <c r="F692" s="5"/>
      <c r="G692" s="5"/>
      <c r="H692" s="5"/>
      <c r="I692" s="5"/>
      <c r="J692" s="5"/>
      <c r="K692" s="5"/>
      <c r="L692" s="5"/>
      <c r="M692" s="5"/>
      <c r="N692" s="5"/>
      <c r="O692" s="5"/>
      <c r="P692" s="5"/>
      <c r="Q692" s="5"/>
      <c r="R692" s="5"/>
      <c r="S692" s="5"/>
      <c r="T692" s="5"/>
      <c r="U692" s="5"/>
      <c r="V692" s="5"/>
      <c r="W692" s="5"/>
      <c r="X692" s="5"/>
      <c r="Y692" s="5"/>
    </row>
    <row r="693" spans="1:25">
      <c r="A693" s="5"/>
      <c r="B693" s="5"/>
      <c r="C693" s="12"/>
      <c r="D693" s="12"/>
      <c r="E693" s="12"/>
      <c r="F693" s="5"/>
      <c r="G693" s="5"/>
      <c r="H693" s="5"/>
      <c r="I693" s="5"/>
      <c r="J693" s="5"/>
      <c r="K693" s="5"/>
      <c r="L693" s="5"/>
      <c r="M693" s="5"/>
      <c r="N693" s="5"/>
      <c r="O693" s="5"/>
      <c r="P693" s="5"/>
      <c r="Q693" s="5"/>
      <c r="R693" s="5"/>
      <c r="S693" s="5"/>
      <c r="T693" s="5"/>
      <c r="U693" s="5"/>
      <c r="V693" s="5"/>
      <c r="W693" s="5"/>
      <c r="X693" s="5"/>
      <c r="Y693" s="5"/>
    </row>
    <row r="694" spans="1:25">
      <c r="A694" s="5"/>
      <c r="B694" s="5"/>
      <c r="C694" s="12"/>
      <c r="D694" s="12"/>
      <c r="E694" s="12"/>
      <c r="F694" s="5"/>
      <c r="G694" s="5"/>
      <c r="H694" s="5"/>
      <c r="I694" s="5"/>
      <c r="J694" s="5"/>
      <c r="K694" s="5"/>
      <c r="L694" s="5"/>
      <c r="M694" s="5"/>
      <c r="N694" s="5"/>
      <c r="O694" s="5"/>
      <c r="P694" s="5"/>
      <c r="Q694" s="5"/>
      <c r="R694" s="5"/>
      <c r="S694" s="5"/>
      <c r="T694" s="5"/>
      <c r="U694" s="5"/>
      <c r="V694" s="5"/>
      <c r="W694" s="5"/>
      <c r="X694" s="5"/>
      <c r="Y694" s="5"/>
    </row>
    <row r="695" spans="1:25">
      <c r="A695" s="5"/>
      <c r="B695" s="5"/>
      <c r="C695" s="12"/>
      <c r="D695" s="12"/>
      <c r="E695" s="12"/>
      <c r="F695" s="5"/>
      <c r="G695" s="5"/>
      <c r="H695" s="5"/>
      <c r="I695" s="5"/>
      <c r="J695" s="5"/>
      <c r="K695" s="5"/>
      <c r="L695" s="5"/>
      <c r="M695" s="5"/>
      <c r="N695" s="5"/>
      <c r="O695" s="5"/>
      <c r="P695" s="5"/>
      <c r="Q695" s="5"/>
      <c r="R695" s="5"/>
      <c r="S695" s="5"/>
      <c r="T695" s="5"/>
      <c r="U695" s="5"/>
      <c r="V695" s="5"/>
      <c r="W695" s="5"/>
      <c r="X695" s="5"/>
      <c r="Y695" s="5"/>
    </row>
    <row r="696" spans="1:25">
      <c r="A696" s="5"/>
      <c r="B696" s="5"/>
      <c r="C696" s="12"/>
      <c r="D696" s="12"/>
      <c r="E696" s="12"/>
      <c r="F696" s="5"/>
      <c r="G696" s="5"/>
      <c r="H696" s="5"/>
      <c r="I696" s="5"/>
      <c r="J696" s="5"/>
      <c r="K696" s="5"/>
      <c r="L696" s="5"/>
      <c r="M696" s="5"/>
      <c r="N696" s="5"/>
      <c r="O696" s="5"/>
      <c r="P696" s="5"/>
      <c r="Q696" s="5"/>
      <c r="R696" s="5"/>
      <c r="S696" s="5"/>
      <c r="T696" s="5"/>
      <c r="U696" s="5"/>
      <c r="V696" s="5"/>
      <c r="W696" s="5"/>
      <c r="X696" s="5"/>
      <c r="Y696" s="5"/>
    </row>
    <row r="697" spans="1:25">
      <c r="A697" s="5"/>
      <c r="B697" s="5"/>
      <c r="C697" s="12"/>
      <c r="D697" s="12"/>
      <c r="E697" s="12"/>
      <c r="F697" s="5"/>
      <c r="G697" s="5"/>
      <c r="H697" s="5"/>
      <c r="I697" s="5"/>
      <c r="J697" s="5"/>
      <c r="K697" s="5"/>
      <c r="L697" s="5"/>
      <c r="M697" s="5"/>
      <c r="N697" s="5"/>
      <c r="O697" s="5"/>
      <c r="P697" s="5"/>
      <c r="Q697" s="5"/>
      <c r="R697" s="5"/>
      <c r="S697" s="5"/>
      <c r="T697" s="5"/>
      <c r="U697" s="5"/>
      <c r="V697" s="5"/>
      <c r="W697" s="5"/>
      <c r="X697" s="5"/>
      <c r="Y697" s="5"/>
    </row>
    <row r="698" spans="1:25">
      <c r="A698" s="5"/>
      <c r="B698" s="5"/>
      <c r="C698" s="12"/>
      <c r="D698" s="12"/>
      <c r="E698" s="12"/>
      <c r="F698" s="5"/>
      <c r="G698" s="5"/>
      <c r="H698" s="5"/>
      <c r="I698" s="5"/>
      <c r="J698" s="5"/>
      <c r="K698" s="5"/>
      <c r="L698" s="5"/>
      <c r="M698" s="5"/>
      <c r="N698" s="5"/>
      <c r="O698" s="5"/>
      <c r="P698" s="5"/>
      <c r="Q698" s="5"/>
      <c r="R698" s="5"/>
      <c r="S698" s="5"/>
      <c r="T698" s="5"/>
      <c r="U698" s="5"/>
      <c r="V698" s="5"/>
      <c r="W698" s="5"/>
      <c r="X698" s="5"/>
      <c r="Y698" s="5"/>
    </row>
    <row r="699" spans="1:25">
      <c r="A699" s="5"/>
      <c r="B699" s="5"/>
      <c r="C699" s="12"/>
      <c r="D699" s="12"/>
      <c r="E699" s="12"/>
      <c r="F699" s="5"/>
      <c r="G699" s="5"/>
      <c r="H699" s="5"/>
      <c r="I699" s="5"/>
      <c r="J699" s="5"/>
      <c r="K699" s="5"/>
      <c r="L699" s="5"/>
      <c r="M699" s="5"/>
      <c r="N699" s="5"/>
      <c r="O699" s="5"/>
      <c r="P699" s="5"/>
      <c r="Q699" s="5"/>
      <c r="R699" s="5"/>
      <c r="S699" s="5"/>
      <c r="T699" s="5"/>
      <c r="U699" s="5"/>
      <c r="V699" s="5"/>
      <c r="W699" s="5"/>
      <c r="X699" s="5"/>
      <c r="Y699" s="5"/>
    </row>
    <row r="700" spans="1:25">
      <c r="A700" s="5"/>
      <c r="B700" s="5"/>
      <c r="C700" s="12"/>
      <c r="D700" s="12"/>
      <c r="E700" s="12"/>
      <c r="F700" s="5"/>
      <c r="G700" s="5"/>
      <c r="H700" s="5"/>
      <c r="I700" s="5"/>
      <c r="J700" s="5"/>
      <c r="K700" s="5"/>
      <c r="L700" s="5"/>
      <c r="M700" s="5"/>
      <c r="N700" s="5"/>
      <c r="O700" s="5"/>
      <c r="P700" s="5"/>
      <c r="Q700" s="5"/>
      <c r="R700" s="5"/>
      <c r="S700" s="5"/>
      <c r="T700" s="5"/>
      <c r="U700" s="5"/>
      <c r="V700" s="5"/>
      <c r="W700" s="5"/>
      <c r="X700" s="5"/>
      <c r="Y700" s="5"/>
    </row>
    <row r="701" spans="1:25">
      <c r="A701" s="5"/>
      <c r="B701" s="5"/>
      <c r="C701" s="12"/>
      <c r="D701" s="12"/>
      <c r="E701" s="12"/>
      <c r="F701" s="5"/>
      <c r="G701" s="5"/>
      <c r="H701" s="5"/>
      <c r="I701" s="5"/>
      <c r="J701" s="5"/>
      <c r="K701" s="5"/>
      <c r="L701" s="5"/>
      <c r="M701" s="5"/>
      <c r="N701" s="5"/>
      <c r="O701" s="5"/>
      <c r="P701" s="5"/>
      <c r="Q701" s="5"/>
      <c r="R701" s="5"/>
      <c r="S701" s="5"/>
      <c r="T701" s="5"/>
      <c r="U701" s="5"/>
      <c r="V701" s="5"/>
      <c r="W701" s="5"/>
      <c r="X701" s="5"/>
      <c r="Y701" s="5"/>
    </row>
    <row r="702" spans="1:25">
      <c r="A702" s="5"/>
      <c r="B702" s="5"/>
      <c r="C702" s="12"/>
      <c r="D702" s="12"/>
      <c r="E702" s="12"/>
      <c r="F702" s="5"/>
      <c r="G702" s="5"/>
      <c r="H702" s="5"/>
      <c r="I702" s="5"/>
      <c r="J702" s="5"/>
      <c r="K702" s="5"/>
      <c r="L702" s="5"/>
      <c r="M702" s="5"/>
      <c r="N702" s="5"/>
      <c r="O702" s="5"/>
      <c r="P702" s="5"/>
      <c r="Q702" s="5"/>
      <c r="R702" s="5"/>
      <c r="S702" s="5"/>
      <c r="T702" s="5"/>
      <c r="U702" s="5"/>
      <c r="V702" s="5"/>
      <c r="W702" s="5"/>
      <c r="X702" s="5"/>
      <c r="Y702" s="5"/>
    </row>
    <row r="703" spans="1:25">
      <c r="A703" s="5"/>
      <c r="B703" s="5"/>
      <c r="C703" s="12"/>
      <c r="D703" s="12"/>
      <c r="E703" s="12"/>
      <c r="F703" s="5"/>
      <c r="G703" s="5"/>
      <c r="H703" s="5"/>
      <c r="I703" s="5"/>
      <c r="J703" s="5"/>
      <c r="K703" s="5"/>
      <c r="L703" s="5"/>
      <c r="M703" s="5"/>
      <c r="N703" s="5"/>
      <c r="O703" s="5"/>
      <c r="P703" s="5"/>
      <c r="Q703" s="5"/>
      <c r="R703" s="5"/>
      <c r="S703" s="5"/>
      <c r="T703" s="5"/>
      <c r="U703" s="5"/>
      <c r="V703" s="5"/>
      <c r="W703" s="5"/>
      <c r="X703" s="5"/>
      <c r="Y703" s="5"/>
    </row>
    <row r="704" spans="1:25">
      <c r="A704" s="5"/>
      <c r="B704" s="5"/>
      <c r="C704" s="12"/>
      <c r="D704" s="12"/>
      <c r="E704" s="12"/>
      <c r="F704" s="5"/>
      <c r="G704" s="5"/>
      <c r="H704" s="5"/>
      <c r="I704" s="5"/>
      <c r="J704" s="5"/>
      <c r="K704" s="5"/>
      <c r="L704" s="5"/>
      <c r="M704" s="5"/>
      <c r="N704" s="5"/>
      <c r="O704" s="5"/>
      <c r="P704" s="5"/>
      <c r="Q704" s="5"/>
      <c r="R704" s="5"/>
      <c r="S704" s="5"/>
      <c r="T704" s="5"/>
      <c r="U704" s="5"/>
      <c r="V704" s="5"/>
      <c r="W704" s="5"/>
      <c r="X704" s="5"/>
      <c r="Y704" s="5"/>
    </row>
    <row r="705" spans="1:25">
      <c r="A705" s="5"/>
      <c r="B705" s="5"/>
      <c r="C705" s="12"/>
      <c r="D705" s="12"/>
      <c r="E705" s="12"/>
      <c r="F705" s="5"/>
      <c r="G705" s="5"/>
      <c r="H705" s="5"/>
      <c r="I705" s="5"/>
      <c r="J705" s="5"/>
      <c r="K705" s="5"/>
      <c r="L705" s="5"/>
      <c r="M705" s="5"/>
      <c r="N705" s="5"/>
      <c r="O705" s="5"/>
      <c r="P705" s="5"/>
      <c r="Q705" s="5"/>
      <c r="R705" s="5"/>
      <c r="S705" s="5"/>
      <c r="T705" s="5"/>
      <c r="U705" s="5"/>
      <c r="V705" s="5"/>
      <c r="W705" s="5"/>
      <c r="X705" s="5"/>
      <c r="Y705" s="5"/>
    </row>
    <row r="706" spans="1:25">
      <c r="A706" s="5"/>
      <c r="B706" s="5"/>
      <c r="C706" s="12"/>
      <c r="D706" s="12"/>
      <c r="E706" s="12"/>
      <c r="F706" s="5"/>
      <c r="G706" s="5"/>
      <c r="H706" s="5"/>
      <c r="I706" s="5"/>
      <c r="J706" s="5"/>
      <c r="K706" s="5"/>
      <c r="L706" s="5"/>
      <c r="M706" s="5"/>
      <c r="N706" s="5"/>
      <c r="O706" s="5"/>
      <c r="P706" s="5"/>
      <c r="Q706" s="5"/>
      <c r="R706" s="5"/>
      <c r="S706" s="5"/>
      <c r="T706" s="5"/>
      <c r="U706" s="5"/>
      <c r="V706" s="5"/>
      <c r="W706" s="5"/>
      <c r="X706" s="5"/>
      <c r="Y706" s="5"/>
    </row>
    <row r="707" spans="1:25">
      <c r="A707" s="5"/>
      <c r="B707" s="5"/>
      <c r="C707" s="12"/>
      <c r="D707" s="12"/>
      <c r="E707" s="12"/>
      <c r="F707" s="5"/>
      <c r="G707" s="5"/>
      <c r="H707" s="5"/>
      <c r="I707" s="5"/>
      <c r="J707" s="5"/>
      <c r="K707" s="5"/>
      <c r="L707" s="5"/>
      <c r="M707" s="5"/>
      <c r="N707" s="5"/>
      <c r="O707" s="5"/>
      <c r="P707" s="5"/>
      <c r="Q707" s="5"/>
      <c r="R707" s="5"/>
      <c r="S707" s="5"/>
      <c r="T707" s="5"/>
      <c r="U707" s="5"/>
      <c r="V707" s="5"/>
      <c r="W707" s="5"/>
      <c r="X707" s="5"/>
      <c r="Y707" s="5"/>
    </row>
    <row r="708" spans="1:25">
      <c r="A708" s="5"/>
      <c r="B708" s="5"/>
      <c r="C708" s="12"/>
      <c r="D708" s="12"/>
      <c r="E708" s="12"/>
      <c r="F708" s="5"/>
      <c r="G708" s="5"/>
      <c r="H708" s="5"/>
      <c r="I708" s="5"/>
      <c r="J708" s="5"/>
      <c r="K708" s="5"/>
      <c r="L708" s="5"/>
      <c r="M708" s="5"/>
      <c r="N708" s="5"/>
      <c r="O708" s="5"/>
      <c r="P708" s="5"/>
      <c r="Q708" s="5"/>
      <c r="R708" s="5"/>
      <c r="S708" s="5"/>
      <c r="T708" s="5"/>
      <c r="U708" s="5"/>
      <c r="V708" s="5"/>
      <c r="W708" s="5"/>
      <c r="X708" s="5"/>
      <c r="Y708" s="5"/>
    </row>
    <row r="709" spans="1:25">
      <c r="A709" s="5"/>
      <c r="B709" s="5"/>
      <c r="C709" s="12"/>
      <c r="D709" s="12"/>
      <c r="E709" s="12"/>
      <c r="F709" s="5"/>
      <c r="G709" s="5"/>
      <c r="H709" s="5"/>
      <c r="I709" s="5"/>
      <c r="J709" s="5"/>
      <c r="K709" s="5"/>
      <c r="L709" s="5"/>
      <c r="M709" s="5"/>
      <c r="N709" s="5"/>
      <c r="O709" s="5"/>
      <c r="P709" s="5"/>
      <c r="Q709" s="5"/>
      <c r="R709" s="5"/>
      <c r="S709" s="5"/>
      <c r="T709" s="5"/>
      <c r="U709" s="5"/>
      <c r="V709" s="5"/>
      <c r="W709" s="5"/>
      <c r="X709" s="5"/>
      <c r="Y709" s="5"/>
    </row>
    <row r="710" spans="1:25">
      <c r="A710" s="5"/>
      <c r="B710" s="5"/>
      <c r="C710" s="12"/>
      <c r="D710" s="12"/>
      <c r="E710" s="12"/>
      <c r="F710" s="5"/>
      <c r="G710" s="5"/>
      <c r="H710" s="5"/>
      <c r="I710" s="5"/>
      <c r="J710" s="5"/>
      <c r="K710" s="5"/>
      <c r="L710" s="5"/>
      <c r="M710" s="5"/>
      <c r="N710" s="5"/>
      <c r="O710" s="5"/>
      <c r="P710" s="5"/>
      <c r="Q710" s="5"/>
      <c r="R710" s="5"/>
      <c r="S710" s="5"/>
      <c r="T710" s="5"/>
      <c r="U710" s="5"/>
      <c r="V710" s="5"/>
      <c r="W710" s="5"/>
      <c r="X710" s="5"/>
      <c r="Y710" s="5"/>
    </row>
    <row r="711" spans="1:25">
      <c r="A711" s="5"/>
      <c r="B711" s="5"/>
      <c r="C711" s="12"/>
      <c r="D711" s="12"/>
      <c r="E711" s="12"/>
      <c r="F711" s="5"/>
      <c r="G711" s="5"/>
      <c r="H711" s="5"/>
      <c r="I711" s="5"/>
      <c r="J711" s="5"/>
      <c r="K711" s="5"/>
      <c r="L711" s="5"/>
      <c r="M711" s="5"/>
      <c r="N711" s="5"/>
      <c r="O711" s="5"/>
      <c r="P711" s="5"/>
      <c r="Q711" s="5"/>
      <c r="R711" s="5"/>
      <c r="S711" s="5"/>
      <c r="T711" s="5"/>
      <c r="U711" s="5"/>
      <c r="V711" s="5"/>
      <c r="W711" s="5"/>
      <c r="X711" s="5"/>
      <c r="Y711" s="5"/>
    </row>
    <row r="712" spans="1:25">
      <c r="A712" s="5"/>
      <c r="B712" s="5"/>
      <c r="C712" s="12"/>
      <c r="D712" s="12"/>
      <c r="E712" s="12"/>
      <c r="F712" s="5"/>
      <c r="G712" s="5"/>
      <c r="H712" s="5"/>
      <c r="I712" s="5"/>
      <c r="J712" s="5"/>
      <c r="K712" s="5"/>
      <c r="L712" s="5"/>
      <c r="M712" s="5"/>
      <c r="N712" s="5"/>
      <c r="O712" s="5"/>
      <c r="P712" s="5"/>
      <c r="Q712" s="5"/>
      <c r="R712" s="5"/>
      <c r="S712" s="5"/>
      <c r="T712" s="5"/>
      <c r="U712" s="5"/>
      <c r="V712" s="5"/>
      <c r="W712" s="5"/>
      <c r="X712" s="5"/>
      <c r="Y712" s="5"/>
    </row>
    <row r="713" spans="1:25">
      <c r="A713" s="5"/>
      <c r="B713" s="5"/>
      <c r="C713" s="12"/>
      <c r="D713" s="12"/>
      <c r="E713" s="12"/>
      <c r="F713" s="5"/>
      <c r="G713" s="5"/>
      <c r="H713" s="5"/>
      <c r="I713" s="5"/>
      <c r="J713" s="5"/>
      <c r="K713" s="5"/>
      <c r="L713" s="5"/>
      <c r="M713" s="5"/>
      <c r="N713" s="5"/>
      <c r="O713" s="5"/>
      <c r="P713" s="5"/>
      <c r="Q713" s="5"/>
      <c r="R713" s="5"/>
      <c r="S713" s="5"/>
      <c r="T713" s="5"/>
      <c r="U713" s="5"/>
      <c r="V713" s="5"/>
      <c r="W713" s="5"/>
      <c r="X713" s="5"/>
      <c r="Y713" s="5"/>
    </row>
    <row r="714" spans="1:25">
      <c r="A714" s="5"/>
      <c r="B714" s="5"/>
      <c r="C714" s="12"/>
      <c r="D714" s="12"/>
      <c r="E714" s="12"/>
      <c r="F714" s="5"/>
      <c r="G714" s="5"/>
      <c r="H714" s="5"/>
      <c r="I714" s="5"/>
      <c r="J714" s="5"/>
      <c r="K714" s="5"/>
      <c r="L714" s="5"/>
      <c r="M714" s="5"/>
      <c r="N714" s="5"/>
      <c r="O714" s="5"/>
      <c r="P714" s="5"/>
      <c r="Q714" s="5"/>
      <c r="R714" s="5"/>
      <c r="S714" s="5"/>
      <c r="T714" s="5"/>
      <c r="U714" s="5"/>
      <c r="V714" s="5"/>
      <c r="W714" s="5"/>
      <c r="X714" s="5"/>
      <c r="Y714" s="5"/>
    </row>
    <row r="715" spans="1:25">
      <c r="A715" s="5"/>
      <c r="B715" s="5"/>
      <c r="C715" s="12"/>
      <c r="D715" s="12"/>
      <c r="E715" s="12"/>
      <c r="F715" s="5"/>
      <c r="G715" s="5"/>
      <c r="H715" s="5"/>
      <c r="I715" s="5"/>
      <c r="J715" s="5"/>
      <c r="K715" s="5"/>
      <c r="L715" s="5"/>
      <c r="M715" s="5"/>
      <c r="N715" s="5"/>
      <c r="O715" s="5"/>
      <c r="P715" s="5"/>
      <c r="Q715" s="5"/>
      <c r="R715" s="5"/>
      <c r="S715" s="5"/>
      <c r="T715" s="5"/>
      <c r="U715" s="5"/>
      <c r="V715" s="5"/>
      <c r="W715" s="5"/>
      <c r="X715" s="5"/>
      <c r="Y715" s="5"/>
    </row>
    <row r="716" spans="1:25">
      <c r="A716" s="5"/>
      <c r="B716" s="5"/>
      <c r="C716" s="12"/>
      <c r="D716" s="12"/>
      <c r="E716" s="12"/>
      <c r="F716" s="5"/>
      <c r="G716" s="5"/>
      <c r="H716" s="5"/>
      <c r="I716" s="5"/>
      <c r="J716" s="5"/>
      <c r="K716" s="5"/>
      <c r="L716" s="5"/>
      <c r="M716" s="5"/>
      <c r="N716" s="5"/>
      <c r="O716" s="5"/>
      <c r="P716" s="5"/>
      <c r="Q716" s="5"/>
      <c r="R716" s="5"/>
      <c r="S716" s="5"/>
      <c r="T716" s="5"/>
      <c r="U716" s="5"/>
      <c r="V716" s="5"/>
      <c r="W716" s="5"/>
      <c r="X716" s="5"/>
      <c r="Y716" s="5"/>
    </row>
    <row r="717" spans="1:25">
      <c r="A717" s="5"/>
      <c r="B717" s="5"/>
      <c r="C717" s="12"/>
      <c r="D717" s="12"/>
      <c r="E717" s="12"/>
      <c r="F717" s="5"/>
      <c r="G717" s="5"/>
      <c r="H717" s="5"/>
      <c r="I717" s="5"/>
      <c r="J717" s="5"/>
      <c r="K717" s="5"/>
      <c r="L717" s="5"/>
      <c r="M717" s="5"/>
      <c r="N717" s="5"/>
      <c r="O717" s="5"/>
      <c r="P717" s="5"/>
      <c r="Q717" s="5"/>
      <c r="R717" s="5"/>
      <c r="S717" s="5"/>
      <c r="T717" s="5"/>
      <c r="U717" s="5"/>
      <c r="V717" s="5"/>
      <c r="W717" s="5"/>
      <c r="X717" s="5"/>
      <c r="Y717" s="5"/>
    </row>
    <row r="718" spans="1:25">
      <c r="A718" s="5"/>
      <c r="B718" s="5"/>
      <c r="C718" s="12"/>
      <c r="D718" s="12"/>
      <c r="E718" s="12"/>
      <c r="F718" s="5"/>
      <c r="G718" s="5"/>
      <c r="H718" s="5"/>
      <c r="I718" s="5"/>
      <c r="J718" s="5"/>
      <c r="K718" s="5"/>
      <c r="L718" s="5"/>
      <c r="M718" s="5"/>
      <c r="N718" s="5"/>
      <c r="O718" s="5"/>
      <c r="P718" s="5"/>
      <c r="Q718" s="5"/>
      <c r="R718" s="5"/>
      <c r="S718" s="5"/>
      <c r="T718" s="5"/>
      <c r="U718" s="5"/>
      <c r="V718" s="5"/>
      <c r="W718" s="5"/>
      <c r="X718" s="5"/>
      <c r="Y718" s="5"/>
    </row>
    <row r="719" spans="1:25">
      <c r="A719" s="5"/>
      <c r="B719" s="5"/>
      <c r="C719" s="12"/>
      <c r="D719" s="12"/>
      <c r="E719" s="12"/>
      <c r="F719" s="5"/>
      <c r="G719" s="5"/>
      <c r="H719" s="5"/>
      <c r="I719" s="5"/>
      <c r="J719" s="5"/>
      <c r="K719" s="5"/>
      <c r="L719" s="5"/>
      <c r="M719" s="5"/>
      <c r="N719" s="5"/>
      <c r="O719" s="5"/>
      <c r="P719" s="5"/>
      <c r="Q719" s="5"/>
      <c r="R719" s="5"/>
      <c r="S719" s="5"/>
      <c r="T719" s="5"/>
      <c r="U719" s="5"/>
      <c r="V719" s="5"/>
      <c r="W719" s="5"/>
      <c r="X719" s="5"/>
      <c r="Y719" s="5"/>
    </row>
    <row r="720" spans="1:25">
      <c r="A720" s="5"/>
      <c r="B720" s="5"/>
      <c r="C720" s="12"/>
      <c r="D720" s="12"/>
      <c r="E720" s="12"/>
      <c r="F720" s="5"/>
      <c r="G720" s="5"/>
      <c r="H720" s="5"/>
      <c r="I720" s="5"/>
      <c r="J720" s="5"/>
      <c r="K720" s="5"/>
      <c r="L720" s="5"/>
      <c r="M720" s="5"/>
      <c r="N720" s="5"/>
      <c r="O720" s="5"/>
      <c r="P720" s="5"/>
      <c r="Q720" s="5"/>
      <c r="R720" s="5"/>
      <c r="S720" s="5"/>
      <c r="T720" s="5"/>
      <c r="U720" s="5"/>
      <c r="V720" s="5"/>
      <c r="W720" s="5"/>
      <c r="X720" s="5"/>
      <c r="Y720" s="5"/>
    </row>
    <row r="721" spans="1:25">
      <c r="A721" s="5"/>
      <c r="B721" s="5"/>
      <c r="C721" s="12"/>
      <c r="D721" s="12"/>
      <c r="E721" s="12"/>
      <c r="F721" s="5"/>
      <c r="G721" s="5"/>
      <c r="H721" s="5"/>
      <c r="I721" s="5"/>
      <c r="J721" s="5"/>
      <c r="K721" s="5"/>
      <c r="L721" s="5"/>
      <c r="M721" s="5"/>
      <c r="N721" s="5"/>
      <c r="O721" s="5"/>
      <c r="P721" s="5"/>
      <c r="Q721" s="5"/>
      <c r="R721" s="5"/>
      <c r="S721" s="5"/>
      <c r="T721" s="5"/>
      <c r="U721" s="5"/>
      <c r="V721" s="5"/>
      <c r="W721" s="5"/>
      <c r="X721" s="5"/>
      <c r="Y721" s="5"/>
    </row>
    <row r="722" spans="1:25">
      <c r="A722" s="5"/>
      <c r="B722" s="5"/>
      <c r="C722" s="12"/>
      <c r="D722" s="12"/>
      <c r="E722" s="12"/>
      <c r="F722" s="5"/>
      <c r="G722" s="5"/>
      <c r="H722" s="5"/>
      <c r="I722" s="5"/>
      <c r="J722" s="5"/>
      <c r="K722" s="5"/>
      <c r="L722" s="5"/>
      <c r="M722" s="5"/>
      <c r="N722" s="5"/>
      <c r="O722" s="5"/>
      <c r="P722" s="5"/>
      <c r="Q722" s="5"/>
      <c r="R722" s="5"/>
      <c r="S722" s="5"/>
      <c r="T722" s="5"/>
      <c r="U722" s="5"/>
      <c r="V722" s="5"/>
      <c r="W722" s="5"/>
      <c r="X722" s="5"/>
      <c r="Y722" s="5"/>
    </row>
    <row r="723" spans="1:25">
      <c r="A723" s="5"/>
      <c r="B723" s="5"/>
      <c r="C723" s="12"/>
      <c r="D723" s="12"/>
      <c r="E723" s="12"/>
      <c r="F723" s="5"/>
      <c r="G723" s="5"/>
      <c r="H723" s="5"/>
      <c r="I723" s="5"/>
      <c r="J723" s="5"/>
      <c r="K723" s="5"/>
      <c r="L723" s="5"/>
      <c r="M723" s="5"/>
      <c r="N723" s="5"/>
      <c r="O723" s="5"/>
      <c r="P723" s="5"/>
      <c r="Q723" s="5"/>
      <c r="R723" s="5"/>
      <c r="S723" s="5"/>
      <c r="T723" s="5"/>
      <c r="U723" s="5"/>
      <c r="V723" s="5"/>
      <c r="W723" s="5"/>
      <c r="X723" s="5"/>
      <c r="Y723" s="5"/>
    </row>
    <row r="724" spans="1:25">
      <c r="A724" s="5"/>
      <c r="B724" s="5"/>
      <c r="C724" s="12"/>
      <c r="D724" s="12"/>
      <c r="E724" s="12"/>
      <c r="F724" s="5"/>
      <c r="G724" s="5"/>
      <c r="H724" s="5"/>
      <c r="I724" s="5"/>
      <c r="J724" s="5"/>
      <c r="K724" s="5"/>
      <c r="L724" s="5"/>
      <c r="M724" s="5"/>
      <c r="N724" s="5"/>
      <c r="O724" s="5"/>
      <c r="P724" s="5"/>
      <c r="Q724" s="5"/>
      <c r="R724" s="5"/>
      <c r="S724" s="5"/>
      <c r="T724" s="5"/>
      <c r="U724" s="5"/>
      <c r="V724" s="5"/>
      <c r="W724" s="5"/>
      <c r="X724" s="5"/>
      <c r="Y724" s="5"/>
    </row>
    <row r="725" spans="1:25">
      <c r="A725" s="5"/>
      <c r="B725" s="5"/>
      <c r="C725" s="12"/>
      <c r="D725" s="12"/>
      <c r="E725" s="12"/>
      <c r="F725" s="5"/>
      <c r="G725" s="5"/>
      <c r="H725" s="5"/>
      <c r="I725" s="5"/>
      <c r="J725" s="5"/>
      <c r="K725" s="5"/>
      <c r="L725" s="5"/>
      <c r="M725" s="5"/>
      <c r="N725" s="5"/>
      <c r="O725" s="5"/>
      <c r="P725" s="5"/>
      <c r="Q725" s="5"/>
      <c r="R725" s="5"/>
      <c r="S725" s="5"/>
      <c r="T725" s="5"/>
      <c r="U725" s="5"/>
      <c r="V725" s="5"/>
      <c r="W725" s="5"/>
      <c r="X725" s="5"/>
      <c r="Y725" s="5"/>
    </row>
    <row r="726" spans="1:25">
      <c r="A726" s="5"/>
      <c r="B726" s="5"/>
      <c r="C726" s="12"/>
      <c r="D726" s="12"/>
      <c r="E726" s="12"/>
      <c r="F726" s="5"/>
      <c r="G726" s="5"/>
      <c r="H726" s="5"/>
      <c r="I726" s="5"/>
      <c r="J726" s="5"/>
      <c r="K726" s="5"/>
      <c r="L726" s="5"/>
      <c r="M726" s="5"/>
      <c r="N726" s="5"/>
      <c r="O726" s="5"/>
      <c r="P726" s="5"/>
      <c r="Q726" s="5"/>
      <c r="R726" s="5"/>
      <c r="S726" s="5"/>
      <c r="T726" s="5"/>
      <c r="U726" s="5"/>
      <c r="V726" s="5"/>
      <c r="W726" s="5"/>
      <c r="X726" s="5"/>
      <c r="Y726" s="5"/>
    </row>
    <row r="727" spans="1:25">
      <c r="A727" s="5"/>
      <c r="B727" s="5"/>
      <c r="C727" s="12"/>
      <c r="D727" s="12"/>
      <c r="E727" s="12"/>
      <c r="F727" s="5"/>
      <c r="G727" s="5"/>
      <c r="H727" s="5"/>
      <c r="I727" s="5"/>
      <c r="J727" s="5"/>
      <c r="K727" s="5"/>
      <c r="L727" s="5"/>
      <c r="M727" s="5"/>
      <c r="N727" s="5"/>
      <c r="O727" s="5"/>
      <c r="P727" s="5"/>
      <c r="Q727" s="5"/>
      <c r="R727" s="5"/>
      <c r="S727" s="5"/>
      <c r="T727" s="5"/>
      <c r="U727" s="5"/>
      <c r="V727" s="5"/>
      <c r="W727" s="5"/>
      <c r="X727" s="5"/>
      <c r="Y727" s="5"/>
    </row>
    <row r="728" spans="1:25">
      <c r="A728" s="5"/>
      <c r="B728" s="5"/>
      <c r="C728" s="12"/>
      <c r="D728" s="12"/>
      <c r="E728" s="12"/>
      <c r="F728" s="5"/>
      <c r="G728" s="5"/>
      <c r="H728" s="5"/>
      <c r="I728" s="5"/>
      <c r="J728" s="5"/>
      <c r="K728" s="5"/>
      <c r="L728" s="5"/>
      <c r="M728" s="5"/>
      <c r="N728" s="5"/>
      <c r="O728" s="5"/>
      <c r="P728" s="5"/>
      <c r="Q728" s="5"/>
      <c r="R728" s="5"/>
      <c r="S728" s="5"/>
      <c r="T728" s="5"/>
      <c r="U728" s="5"/>
      <c r="V728" s="5"/>
      <c r="W728" s="5"/>
      <c r="X728" s="5"/>
      <c r="Y728" s="5"/>
    </row>
    <row r="729" spans="1:25">
      <c r="A729" s="5"/>
      <c r="B729" s="5"/>
      <c r="C729" s="12"/>
      <c r="D729" s="12"/>
      <c r="E729" s="12"/>
      <c r="F729" s="5"/>
      <c r="G729" s="5"/>
      <c r="H729" s="5"/>
      <c r="I729" s="5"/>
      <c r="J729" s="5"/>
      <c r="K729" s="5"/>
      <c r="L729" s="5"/>
      <c r="M729" s="5"/>
      <c r="N729" s="5"/>
      <c r="O729" s="5"/>
      <c r="P729" s="5"/>
      <c r="Q729" s="5"/>
      <c r="R729" s="5"/>
      <c r="S729" s="5"/>
      <c r="T729" s="5"/>
      <c r="U729" s="5"/>
      <c r="V729" s="5"/>
      <c r="W729" s="5"/>
      <c r="X729" s="5"/>
      <c r="Y729" s="5"/>
    </row>
    <row r="730" spans="1:25">
      <c r="A730" s="5"/>
      <c r="B730" s="5"/>
      <c r="C730" s="12"/>
      <c r="D730" s="12"/>
      <c r="E730" s="12"/>
      <c r="F730" s="5"/>
      <c r="G730" s="5"/>
      <c r="H730" s="5"/>
      <c r="I730" s="5"/>
      <c r="J730" s="5"/>
      <c r="K730" s="5"/>
      <c r="L730" s="5"/>
      <c r="M730" s="5"/>
      <c r="N730" s="5"/>
      <c r="O730" s="5"/>
      <c r="P730" s="5"/>
      <c r="Q730" s="5"/>
      <c r="R730" s="5"/>
      <c r="S730" s="5"/>
      <c r="T730" s="5"/>
      <c r="U730" s="5"/>
      <c r="V730" s="5"/>
      <c r="W730" s="5"/>
      <c r="X730" s="5"/>
      <c r="Y730" s="5"/>
    </row>
    <row r="731" spans="1:25">
      <c r="A731" s="5"/>
      <c r="B731" s="5"/>
      <c r="C731" s="12"/>
      <c r="D731" s="12"/>
      <c r="E731" s="12"/>
      <c r="F731" s="5"/>
      <c r="G731" s="5"/>
      <c r="H731" s="5"/>
      <c r="I731" s="5"/>
      <c r="J731" s="5"/>
      <c r="K731" s="5"/>
      <c r="L731" s="5"/>
      <c r="M731" s="5"/>
      <c r="N731" s="5"/>
      <c r="O731" s="5"/>
      <c r="P731" s="5"/>
      <c r="Q731" s="5"/>
      <c r="R731" s="5"/>
      <c r="S731" s="5"/>
      <c r="T731" s="5"/>
      <c r="U731" s="5"/>
      <c r="V731" s="5"/>
      <c r="W731" s="5"/>
      <c r="X731" s="5"/>
      <c r="Y731" s="5"/>
    </row>
    <row r="732" spans="1:25">
      <c r="A732" s="5"/>
      <c r="B732" s="5"/>
      <c r="C732" s="12"/>
      <c r="D732" s="12"/>
      <c r="E732" s="12"/>
      <c r="F732" s="5"/>
      <c r="G732" s="5"/>
      <c r="H732" s="5"/>
      <c r="I732" s="5"/>
      <c r="J732" s="5"/>
      <c r="K732" s="5"/>
      <c r="L732" s="5"/>
      <c r="M732" s="5"/>
      <c r="N732" s="5"/>
      <c r="O732" s="5"/>
      <c r="P732" s="5"/>
      <c r="Q732" s="5"/>
      <c r="R732" s="5"/>
      <c r="S732" s="5"/>
      <c r="T732" s="5"/>
      <c r="U732" s="5"/>
      <c r="V732" s="5"/>
      <c r="W732" s="5"/>
      <c r="X732" s="5"/>
      <c r="Y732" s="5"/>
    </row>
    <row r="733" spans="1:25">
      <c r="A733" s="5"/>
      <c r="B733" s="5"/>
      <c r="C733" s="12"/>
      <c r="D733" s="12"/>
      <c r="E733" s="12"/>
      <c r="F733" s="5"/>
      <c r="G733" s="5"/>
      <c r="H733" s="5"/>
      <c r="I733" s="5"/>
      <c r="J733" s="5"/>
      <c r="K733" s="5"/>
      <c r="L733" s="5"/>
      <c r="M733" s="5"/>
      <c r="N733" s="5"/>
      <c r="O733" s="5"/>
      <c r="P733" s="5"/>
      <c r="Q733" s="5"/>
      <c r="R733" s="5"/>
      <c r="S733" s="5"/>
      <c r="T733" s="5"/>
      <c r="U733" s="5"/>
      <c r="V733" s="5"/>
      <c r="W733" s="5"/>
      <c r="X733" s="5"/>
      <c r="Y733" s="5"/>
    </row>
    <row r="734" spans="1:25">
      <c r="A734" s="5"/>
      <c r="B734" s="5"/>
      <c r="C734" s="12"/>
      <c r="D734" s="12"/>
      <c r="E734" s="12"/>
      <c r="F734" s="5"/>
      <c r="G734" s="5"/>
      <c r="H734" s="5"/>
      <c r="I734" s="5"/>
      <c r="J734" s="5"/>
      <c r="K734" s="5"/>
      <c r="L734" s="5"/>
      <c r="M734" s="5"/>
      <c r="N734" s="5"/>
      <c r="O734" s="5"/>
      <c r="P734" s="5"/>
      <c r="Q734" s="5"/>
      <c r="R734" s="5"/>
      <c r="S734" s="5"/>
      <c r="T734" s="5"/>
      <c r="U734" s="5"/>
      <c r="V734" s="5"/>
      <c r="W734" s="5"/>
      <c r="X734" s="5"/>
      <c r="Y734" s="5"/>
    </row>
    <row r="735" spans="1:25">
      <c r="A735" s="5"/>
      <c r="B735" s="5"/>
      <c r="C735" s="12"/>
      <c r="D735" s="12"/>
      <c r="E735" s="12"/>
      <c r="F735" s="5"/>
      <c r="G735" s="5"/>
      <c r="H735" s="5"/>
      <c r="I735" s="5"/>
      <c r="J735" s="5"/>
      <c r="K735" s="5"/>
      <c r="L735" s="5"/>
      <c r="M735" s="5"/>
      <c r="N735" s="5"/>
      <c r="O735" s="5"/>
      <c r="P735" s="5"/>
      <c r="Q735" s="5"/>
      <c r="R735" s="5"/>
      <c r="S735" s="5"/>
      <c r="T735" s="5"/>
      <c r="U735" s="5"/>
      <c r="V735" s="5"/>
      <c r="W735" s="5"/>
      <c r="X735" s="5"/>
      <c r="Y735" s="5"/>
    </row>
    <row r="736" spans="1:25">
      <c r="A736" s="5"/>
      <c r="B736" s="5"/>
      <c r="C736" s="12"/>
      <c r="D736" s="12"/>
      <c r="E736" s="12"/>
      <c r="F736" s="5"/>
      <c r="G736" s="5"/>
      <c r="H736" s="5"/>
      <c r="I736" s="5"/>
      <c r="J736" s="5"/>
      <c r="K736" s="5"/>
      <c r="L736" s="5"/>
      <c r="M736" s="5"/>
      <c r="N736" s="5"/>
      <c r="O736" s="5"/>
      <c r="P736" s="5"/>
      <c r="Q736" s="5"/>
      <c r="R736" s="5"/>
      <c r="S736" s="5"/>
      <c r="T736" s="5"/>
      <c r="U736" s="5"/>
      <c r="V736" s="5"/>
      <c r="W736" s="5"/>
      <c r="X736" s="5"/>
      <c r="Y736" s="5"/>
    </row>
    <row r="737" spans="1:25">
      <c r="A737" s="5"/>
      <c r="B737" s="5"/>
      <c r="C737" s="12"/>
      <c r="D737" s="12"/>
      <c r="E737" s="12"/>
      <c r="F737" s="5"/>
      <c r="G737" s="5"/>
      <c r="H737" s="5"/>
      <c r="I737" s="5"/>
      <c r="J737" s="5"/>
      <c r="K737" s="5"/>
      <c r="L737" s="5"/>
      <c r="M737" s="5"/>
      <c r="N737" s="5"/>
      <c r="O737" s="5"/>
      <c r="P737" s="5"/>
      <c r="Q737" s="5"/>
      <c r="R737" s="5"/>
      <c r="S737" s="5"/>
      <c r="T737" s="5"/>
      <c r="U737" s="5"/>
      <c r="V737" s="5"/>
      <c r="W737" s="5"/>
      <c r="X737" s="5"/>
      <c r="Y737" s="5"/>
    </row>
    <row r="738" spans="1:25">
      <c r="A738" s="5"/>
      <c r="B738" s="5"/>
      <c r="C738" s="12"/>
      <c r="D738" s="12"/>
      <c r="E738" s="12"/>
      <c r="F738" s="5"/>
      <c r="G738" s="5"/>
      <c r="H738" s="5"/>
      <c r="I738" s="5"/>
      <c r="J738" s="5"/>
      <c r="K738" s="5"/>
      <c r="L738" s="5"/>
      <c r="M738" s="5"/>
      <c r="N738" s="5"/>
      <c r="O738" s="5"/>
      <c r="P738" s="5"/>
      <c r="Q738" s="5"/>
      <c r="R738" s="5"/>
      <c r="S738" s="5"/>
      <c r="T738" s="5"/>
      <c r="U738" s="5"/>
      <c r="V738" s="5"/>
      <c r="W738" s="5"/>
      <c r="X738" s="5"/>
      <c r="Y738" s="5"/>
    </row>
    <row r="739" spans="1:25">
      <c r="A739" s="5"/>
      <c r="B739" s="5"/>
      <c r="C739" s="12"/>
      <c r="D739" s="12"/>
      <c r="E739" s="12"/>
      <c r="F739" s="5"/>
      <c r="G739" s="5"/>
      <c r="H739" s="5"/>
      <c r="I739" s="5"/>
      <c r="J739" s="5"/>
      <c r="K739" s="5"/>
      <c r="L739" s="5"/>
      <c r="M739" s="5"/>
      <c r="N739" s="5"/>
      <c r="O739" s="5"/>
      <c r="P739" s="5"/>
      <c r="Q739" s="5"/>
      <c r="R739" s="5"/>
      <c r="S739" s="5"/>
      <c r="T739" s="5"/>
      <c r="U739" s="5"/>
      <c r="V739" s="5"/>
      <c r="W739" s="5"/>
      <c r="X739" s="5"/>
      <c r="Y739" s="5"/>
    </row>
    <row r="740" spans="1:25">
      <c r="A740" s="5"/>
      <c r="B740" s="5"/>
      <c r="C740" s="12"/>
      <c r="D740" s="12"/>
      <c r="E740" s="12"/>
      <c r="F740" s="5"/>
      <c r="G740" s="5"/>
      <c r="H740" s="5"/>
      <c r="I740" s="5"/>
      <c r="J740" s="5"/>
      <c r="K740" s="5"/>
      <c r="L740" s="5"/>
      <c r="M740" s="5"/>
      <c r="N740" s="5"/>
      <c r="O740" s="5"/>
      <c r="P740" s="5"/>
      <c r="Q740" s="5"/>
      <c r="R740" s="5"/>
      <c r="S740" s="5"/>
      <c r="T740" s="5"/>
      <c r="U740" s="5"/>
      <c r="V740" s="5"/>
      <c r="W740" s="5"/>
      <c r="X740" s="5"/>
      <c r="Y740" s="5"/>
    </row>
    <row r="741" spans="1:25">
      <c r="A741" s="5"/>
      <c r="B741" s="5"/>
      <c r="C741" s="12"/>
      <c r="D741" s="12"/>
      <c r="E741" s="12"/>
      <c r="F741" s="5"/>
      <c r="G741" s="5"/>
      <c r="H741" s="5"/>
      <c r="I741" s="5"/>
      <c r="J741" s="5"/>
      <c r="K741" s="5"/>
      <c r="L741" s="5"/>
      <c r="M741" s="5"/>
      <c r="N741" s="5"/>
      <c r="O741" s="5"/>
      <c r="P741" s="5"/>
      <c r="Q741" s="5"/>
      <c r="R741" s="5"/>
      <c r="S741" s="5"/>
      <c r="T741" s="5"/>
      <c r="U741" s="5"/>
      <c r="V741" s="5"/>
      <c r="W741" s="5"/>
      <c r="X741" s="5"/>
      <c r="Y741" s="5"/>
    </row>
    <row r="742" spans="1:25">
      <c r="A742" s="5"/>
      <c r="B742" s="5"/>
      <c r="C742" s="12"/>
      <c r="D742" s="12"/>
      <c r="E742" s="12"/>
      <c r="F742" s="5"/>
      <c r="G742" s="5"/>
      <c r="H742" s="5"/>
      <c r="I742" s="5"/>
      <c r="J742" s="5"/>
      <c r="K742" s="5"/>
      <c r="L742" s="5"/>
      <c r="M742" s="5"/>
      <c r="N742" s="5"/>
      <c r="O742" s="5"/>
      <c r="P742" s="5"/>
      <c r="Q742" s="5"/>
      <c r="R742" s="5"/>
      <c r="S742" s="5"/>
      <c r="T742" s="5"/>
      <c r="U742" s="5"/>
      <c r="V742" s="5"/>
      <c r="W742" s="5"/>
      <c r="X742" s="5"/>
      <c r="Y742" s="5"/>
    </row>
    <row r="743" spans="1:25">
      <c r="A743" s="5"/>
      <c r="B743" s="5"/>
      <c r="C743" s="12"/>
      <c r="D743" s="12"/>
      <c r="E743" s="12"/>
      <c r="F743" s="5"/>
      <c r="G743" s="5"/>
      <c r="H743" s="5"/>
      <c r="I743" s="5"/>
      <c r="J743" s="5"/>
      <c r="K743" s="5"/>
      <c r="L743" s="5"/>
      <c r="M743" s="5"/>
      <c r="N743" s="5"/>
      <c r="O743" s="5"/>
      <c r="P743" s="5"/>
      <c r="Q743" s="5"/>
      <c r="R743" s="5"/>
      <c r="S743" s="5"/>
      <c r="T743" s="5"/>
      <c r="U743" s="5"/>
      <c r="V743" s="5"/>
      <c r="W743" s="5"/>
      <c r="X743" s="5"/>
      <c r="Y743" s="5"/>
    </row>
    <row r="744" spans="1:25">
      <c r="A744" s="5"/>
      <c r="B744" s="5"/>
      <c r="C744" s="12"/>
      <c r="D744" s="12"/>
      <c r="E744" s="12"/>
      <c r="F744" s="5"/>
      <c r="G744" s="5"/>
      <c r="H744" s="5"/>
      <c r="I744" s="5"/>
      <c r="J744" s="5"/>
      <c r="K744" s="5"/>
      <c r="L744" s="5"/>
      <c r="M744" s="5"/>
      <c r="N744" s="5"/>
      <c r="O744" s="5"/>
      <c r="P744" s="5"/>
      <c r="Q744" s="5"/>
      <c r="R744" s="5"/>
      <c r="S744" s="5"/>
      <c r="T744" s="5"/>
      <c r="U744" s="5"/>
      <c r="V744" s="5"/>
      <c r="W744" s="5"/>
      <c r="X744" s="5"/>
      <c r="Y744" s="5"/>
    </row>
    <row r="745" spans="1:25">
      <c r="A745" s="5"/>
      <c r="B745" s="5"/>
      <c r="C745" s="12"/>
      <c r="D745" s="12"/>
      <c r="E745" s="12"/>
      <c r="F745" s="5"/>
      <c r="G745" s="5"/>
      <c r="H745" s="5"/>
      <c r="I745" s="5"/>
      <c r="J745" s="5"/>
      <c r="K745" s="5"/>
      <c r="L745" s="5"/>
      <c r="M745" s="5"/>
      <c r="N745" s="5"/>
      <c r="O745" s="5"/>
      <c r="P745" s="5"/>
      <c r="Q745" s="5"/>
      <c r="R745" s="5"/>
      <c r="S745" s="5"/>
      <c r="T745" s="5"/>
      <c r="U745" s="5"/>
      <c r="V745" s="5"/>
      <c r="W745" s="5"/>
      <c r="X745" s="5"/>
      <c r="Y745" s="5"/>
    </row>
    <row r="746" spans="1:25">
      <c r="A746" s="5"/>
      <c r="B746" s="5"/>
      <c r="C746" s="12"/>
      <c r="D746" s="12"/>
      <c r="E746" s="12"/>
      <c r="F746" s="5"/>
      <c r="G746" s="5"/>
      <c r="H746" s="5"/>
      <c r="I746" s="5"/>
      <c r="J746" s="5"/>
      <c r="K746" s="5"/>
      <c r="L746" s="5"/>
      <c r="M746" s="5"/>
      <c r="N746" s="5"/>
      <c r="O746" s="5"/>
      <c r="P746" s="5"/>
      <c r="Q746" s="5"/>
      <c r="R746" s="5"/>
      <c r="S746" s="5"/>
      <c r="T746" s="5"/>
      <c r="U746" s="5"/>
      <c r="V746" s="5"/>
      <c r="W746" s="5"/>
      <c r="X746" s="5"/>
      <c r="Y746" s="5"/>
    </row>
    <row r="747" spans="1:25">
      <c r="A747" s="5"/>
      <c r="B747" s="5"/>
      <c r="C747" s="12"/>
      <c r="D747" s="12"/>
      <c r="E747" s="12"/>
      <c r="F747" s="5"/>
      <c r="G747" s="5"/>
      <c r="H747" s="5"/>
      <c r="I747" s="5"/>
      <c r="J747" s="5"/>
      <c r="K747" s="5"/>
      <c r="L747" s="5"/>
      <c r="M747" s="5"/>
      <c r="N747" s="5"/>
      <c r="O747" s="5"/>
      <c r="P747" s="5"/>
      <c r="Q747" s="5"/>
      <c r="R747" s="5"/>
      <c r="S747" s="5"/>
      <c r="T747" s="5"/>
      <c r="U747" s="5"/>
      <c r="V747" s="5"/>
      <c r="W747" s="5"/>
      <c r="X747" s="5"/>
      <c r="Y747" s="5"/>
    </row>
    <row r="748" spans="1:25">
      <c r="A748" s="5"/>
      <c r="B748" s="5"/>
      <c r="C748" s="12"/>
      <c r="D748" s="12"/>
      <c r="E748" s="12"/>
      <c r="F748" s="5"/>
      <c r="G748" s="5"/>
      <c r="H748" s="5"/>
      <c r="I748" s="5"/>
      <c r="J748" s="5"/>
      <c r="K748" s="5"/>
      <c r="L748" s="5"/>
      <c r="M748" s="5"/>
      <c r="N748" s="5"/>
      <c r="O748" s="5"/>
      <c r="P748" s="5"/>
      <c r="Q748" s="5"/>
      <c r="R748" s="5"/>
      <c r="S748" s="5"/>
      <c r="T748" s="5"/>
      <c r="U748" s="5"/>
      <c r="V748" s="5"/>
      <c r="W748" s="5"/>
      <c r="X748" s="5"/>
      <c r="Y748" s="5"/>
    </row>
    <row r="749" spans="1:25">
      <c r="A749" s="5"/>
      <c r="B749" s="5"/>
      <c r="C749" s="12"/>
      <c r="D749" s="12"/>
      <c r="E749" s="12"/>
      <c r="F749" s="5"/>
      <c r="G749" s="5"/>
      <c r="H749" s="5"/>
      <c r="I749" s="5"/>
      <c r="J749" s="5"/>
      <c r="K749" s="5"/>
      <c r="L749" s="5"/>
      <c r="M749" s="5"/>
      <c r="N749" s="5"/>
      <c r="O749" s="5"/>
      <c r="P749" s="5"/>
      <c r="Q749" s="5"/>
      <c r="R749" s="5"/>
      <c r="S749" s="5"/>
      <c r="T749" s="5"/>
      <c r="U749" s="5"/>
      <c r="V749" s="5"/>
      <c r="W749" s="5"/>
      <c r="X749" s="5"/>
      <c r="Y749" s="5"/>
    </row>
    <row r="750" spans="1:25">
      <c r="A750" s="5"/>
      <c r="B750" s="5"/>
      <c r="C750" s="12"/>
      <c r="D750" s="12"/>
      <c r="E750" s="12"/>
      <c r="F750" s="5"/>
      <c r="G750" s="5"/>
      <c r="H750" s="5"/>
      <c r="I750" s="5"/>
      <c r="J750" s="5"/>
      <c r="K750" s="5"/>
      <c r="L750" s="5"/>
      <c r="M750" s="5"/>
      <c r="N750" s="5"/>
      <c r="O750" s="5"/>
      <c r="P750" s="5"/>
      <c r="Q750" s="5"/>
      <c r="R750" s="5"/>
      <c r="S750" s="5"/>
      <c r="T750" s="5"/>
      <c r="U750" s="5"/>
      <c r="V750" s="5"/>
      <c r="W750" s="5"/>
      <c r="X750" s="5"/>
      <c r="Y750" s="5"/>
    </row>
    <row r="751" spans="1:25">
      <c r="A751" s="5"/>
      <c r="B751" s="5"/>
      <c r="C751" s="12"/>
      <c r="D751" s="12"/>
      <c r="E751" s="12"/>
      <c r="F751" s="5"/>
      <c r="G751" s="5"/>
      <c r="H751" s="5"/>
      <c r="I751" s="5"/>
      <c r="J751" s="5"/>
      <c r="K751" s="5"/>
      <c r="L751" s="5"/>
      <c r="M751" s="5"/>
      <c r="N751" s="5"/>
      <c r="O751" s="5"/>
      <c r="P751" s="5"/>
      <c r="Q751" s="5"/>
      <c r="R751" s="5"/>
      <c r="S751" s="5"/>
      <c r="T751" s="5"/>
      <c r="U751" s="5"/>
      <c r="V751" s="5"/>
      <c r="W751" s="5"/>
      <c r="X751" s="5"/>
      <c r="Y751" s="5"/>
    </row>
    <row r="752" spans="1:25">
      <c r="A752" s="5"/>
      <c r="B752" s="5"/>
      <c r="C752" s="12"/>
      <c r="D752" s="12"/>
      <c r="E752" s="12"/>
      <c r="F752" s="5"/>
      <c r="G752" s="5"/>
      <c r="H752" s="5"/>
      <c r="I752" s="5"/>
      <c r="J752" s="5"/>
      <c r="K752" s="5"/>
      <c r="L752" s="5"/>
      <c r="M752" s="5"/>
      <c r="N752" s="5"/>
      <c r="O752" s="5"/>
      <c r="P752" s="5"/>
      <c r="Q752" s="5"/>
      <c r="R752" s="5"/>
      <c r="S752" s="5"/>
      <c r="T752" s="5"/>
      <c r="U752" s="5"/>
      <c r="V752" s="5"/>
      <c r="W752" s="5"/>
      <c r="X752" s="5"/>
      <c r="Y752" s="5"/>
    </row>
    <row r="753" spans="1:25">
      <c r="A753" s="5"/>
      <c r="B753" s="5"/>
      <c r="C753" s="12"/>
      <c r="D753" s="12"/>
      <c r="E753" s="12"/>
      <c r="F753" s="5"/>
      <c r="G753" s="5"/>
      <c r="H753" s="5"/>
      <c r="I753" s="5"/>
      <c r="J753" s="5"/>
      <c r="K753" s="5"/>
      <c r="L753" s="5"/>
      <c r="M753" s="5"/>
      <c r="N753" s="5"/>
      <c r="O753" s="5"/>
      <c r="P753" s="5"/>
      <c r="Q753" s="5"/>
      <c r="R753" s="5"/>
      <c r="S753" s="5"/>
      <c r="T753" s="5"/>
      <c r="U753" s="5"/>
      <c r="V753" s="5"/>
      <c r="W753" s="5"/>
      <c r="X753" s="5"/>
      <c r="Y753" s="5"/>
    </row>
    <row r="754" spans="1:25">
      <c r="A754" s="5"/>
      <c r="B754" s="5"/>
      <c r="C754" s="12"/>
      <c r="D754" s="12"/>
      <c r="E754" s="12"/>
      <c r="F754" s="5"/>
      <c r="G754" s="5"/>
      <c r="H754" s="5"/>
      <c r="I754" s="5"/>
      <c r="J754" s="5"/>
      <c r="K754" s="5"/>
      <c r="L754" s="5"/>
      <c r="M754" s="5"/>
      <c r="N754" s="5"/>
      <c r="O754" s="5"/>
      <c r="P754" s="5"/>
      <c r="Q754" s="5"/>
      <c r="R754" s="5"/>
      <c r="S754" s="5"/>
      <c r="T754" s="5"/>
      <c r="U754" s="5"/>
      <c r="V754" s="5"/>
      <c r="W754" s="5"/>
      <c r="X754" s="5"/>
      <c r="Y754" s="5"/>
    </row>
    <row r="755" spans="1:25">
      <c r="A755" s="5"/>
      <c r="B755" s="5"/>
      <c r="C755" s="12"/>
      <c r="D755" s="12"/>
      <c r="E755" s="12"/>
      <c r="F755" s="5"/>
      <c r="G755" s="5"/>
      <c r="H755" s="5"/>
      <c r="I755" s="5"/>
      <c r="J755" s="5"/>
      <c r="K755" s="5"/>
      <c r="L755" s="5"/>
      <c r="M755" s="5"/>
      <c r="N755" s="5"/>
      <c r="O755" s="5"/>
      <c r="P755" s="5"/>
      <c r="Q755" s="5"/>
      <c r="R755" s="5"/>
      <c r="S755" s="5"/>
      <c r="T755" s="5"/>
      <c r="U755" s="5"/>
      <c r="V755" s="5"/>
      <c r="W755" s="5"/>
      <c r="X755" s="5"/>
      <c r="Y755" s="5"/>
    </row>
    <row r="756" spans="1:25">
      <c r="A756" s="5"/>
      <c r="B756" s="5"/>
      <c r="C756" s="12"/>
      <c r="D756" s="12"/>
      <c r="E756" s="12"/>
      <c r="F756" s="5"/>
      <c r="G756" s="5"/>
      <c r="H756" s="5"/>
      <c r="I756" s="5"/>
      <c r="J756" s="5"/>
      <c r="K756" s="5"/>
      <c r="L756" s="5"/>
      <c r="M756" s="5"/>
      <c r="N756" s="5"/>
      <c r="O756" s="5"/>
      <c r="P756" s="5"/>
      <c r="Q756" s="5"/>
      <c r="R756" s="5"/>
      <c r="S756" s="5"/>
      <c r="T756" s="5"/>
      <c r="U756" s="5"/>
      <c r="V756" s="5"/>
      <c r="W756" s="5"/>
      <c r="X756" s="5"/>
      <c r="Y756" s="5"/>
    </row>
    <row r="757" spans="1:25">
      <c r="A757" s="5"/>
      <c r="B757" s="5"/>
      <c r="C757" s="12"/>
      <c r="D757" s="12"/>
      <c r="E757" s="12"/>
      <c r="F757" s="5"/>
      <c r="G757" s="5"/>
      <c r="H757" s="5"/>
      <c r="I757" s="5"/>
      <c r="J757" s="5"/>
      <c r="K757" s="5"/>
      <c r="L757" s="5"/>
      <c r="M757" s="5"/>
      <c r="N757" s="5"/>
      <c r="O757" s="5"/>
      <c r="P757" s="5"/>
      <c r="Q757" s="5"/>
      <c r="R757" s="5"/>
      <c r="S757" s="5"/>
      <c r="T757" s="5"/>
      <c r="U757" s="5"/>
      <c r="V757" s="5"/>
      <c r="W757" s="5"/>
      <c r="X757" s="5"/>
      <c r="Y757" s="5"/>
    </row>
    <row r="758" spans="1:25">
      <c r="A758" s="5"/>
      <c r="B758" s="5"/>
      <c r="C758" s="12"/>
      <c r="D758" s="12"/>
      <c r="E758" s="12"/>
      <c r="F758" s="5"/>
      <c r="G758" s="5"/>
      <c r="H758" s="5"/>
      <c r="I758" s="5"/>
      <c r="J758" s="5"/>
      <c r="K758" s="5"/>
      <c r="L758" s="5"/>
      <c r="M758" s="5"/>
      <c r="N758" s="5"/>
      <c r="O758" s="5"/>
      <c r="P758" s="5"/>
      <c r="Q758" s="5"/>
      <c r="R758" s="5"/>
      <c r="S758" s="5"/>
      <c r="T758" s="5"/>
      <c r="U758" s="5"/>
      <c r="V758" s="5"/>
      <c r="W758" s="5"/>
      <c r="X758" s="5"/>
      <c r="Y758" s="5"/>
    </row>
    <row r="759" spans="1:25">
      <c r="A759" s="5"/>
      <c r="B759" s="5"/>
      <c r="C759" s="12"/>
      <c r="D759" s="12"/>
      <c r="E759" s="12"/>
      <c r="F759" s="5"/>
      <c r="G759" s="5"/>
      <c r="H759" s="5"/>
      <c r="I759" s="5"/>
      <c r="J759" s="5"/>
      <c r="K759" s="5"/>
      <c r="L759" s="5"/>
      <c r="M759" s="5"/>
      <c r="N759" s="5"/>
      <c r="O759" s="5"/>
      <c r="P759" s="5"/>
      <c r="Q759" s="5"/>
      <c r="R759" s="5"/>
      <c r="S759" s="5"/>
      <c r="T759" s="5"/>
      <c r="U759" s="5"/>
      <c r="V759" s="5"/>
      <c r="W759" s="5"/>
      <c r="X759" s="5"/>
      <c r="Y759" s="5"/>
    </row>
    <row r="760" spans="1:25">
      <c r="A760" s="5"/>
      <c r="B760" s="5"/>
      <c r="C760" s="12"/>
      <c r="D760" s="12"/>
      <c r="E760" s="12"/>
      <c r="F760" s="5"/>
      <c r="G760" s="5"/>
      <c r="H760" s="5"/>
      <c r="I760" s="5"/>
      <c r="J760" s="5"/>
      <c r="K760" s="5"/>
      <c r="L760" s="5"/>
      <c r="M760" s="5"/>
      <c r="N760" s="5"/>
      <c r="O760" s="5"/>
      <c r="P760" s="5"/>
      <c r="Q760" s="5"/>
      <c r="R760" s="5"/>
      <c r="S760" s="5"/>
      <c r="T760" s="5"/>
      <c r="U760" s="5"/>
      <c r="V760" s="5"/>
      <c r="W760" s="5"/>
      <c r="X760" s="5"/>
      <c r="Y760" s="5"/>
    </row>
    <row r="761" spans="1:25">
      <c r="A761" s="5"/>
      <c r="B761" s="5"/>
      <c r="C761" s="12"/>
      <c r="D761" s="12"/>
      <c r="E761" s="12"/>
      <c r="F761" s="5"/>
      <c r="G761" s="5"/>
      <c r="H761" s="5"/>
      <c r="I761" s="5"/>
      <c r="J761" s="5"/>
      <c r="K761" s="5"/>
      <c r="L761" s="5"/>
      <c r="M761" s="5"/>
      <c r="N761" s="5"/>
      <c r="O761" s="5"/>
      <c r="P761" s="5"/>
      <c r="Q761" s="5"/>
      <c r="R761" s="5"/>
      <c r="S761" s="5"/>
      <c r="T761" s="5"/>
      <c r="U761" s="5"/>
      <c r="V761" s="5"/>
      <c r="W761" s="5"/>
      <c r="X761" s="5"/>
      <c r="Y761" s="5"/>
    </row>
    <row r="762" spans="1:25">
      <c r="A762" s="5"/>
      <c r="B762" s="5"/>
      <c r="C762" s="12"/>
      <c r="D762" s="12"/>
      <c r="E762" s="12"/>
      <c r="F762" s="5"/>
      <c r="G762" s="5"/>
      <c r="H762" s="5"/>
      <c r="I762" s="5"/>
      <c r="J762" s="5"/>
      <c r="K762" s="5"/>
      <c r="L762" s="5"/>
      <c r="M762" s="5"/>
      <c r="N762" s="5"/>
      <c r="O762" s="5"/>
      <c r="P762" s="5"/>
      <c r="Q762" s="5"/>
      <c r="R762" s="5"/>
      <c r="S762" s="5"/>
      <c r="T762" s="5"/>
      <c r="U762" s="5"/>
      <c r="V762" s="5"/>
      <c r="W762" s="5"/>
      <c r="X762" s="5"/>
      <c r="Y762" s="5"/>
    </row>
    <row r="763" spans="1:25">
      <c r="A763" s="5"/>
      <c r="B763" s="5"/>
      <c r="C763" s="12"/>
      <c r="D763" s="12"/>
      <c r="E763" s="12"/>
      <c r="F763" s="5"/>
      <c r="G763" s="5"/>
      <c r="H763" s="5"/>
      <c r="I763" s="5"/>
      <c r="J763" s="5"/>
      <c r="K763" s="5"/>
      <c r="L763" s="5"/>
      <c r="M763" s="5"/>
      <c r="N763" s="5"/>
      <c r="O763" s="5"/>
      <c r="P763" s="5"/>
      <c r="Q763" s="5"/>
      <c r="R763" s="5"/>
      <c r="S763" s="5"/>
      <c r="T763" s="5"/>
      <c r="U763" s="5"/>
      <c r="V763" s="5"/>
      <c r="W763" s="5"/>
      <c r="X763" s="5"/>
      <c r="Y763" s="5"/>
    </row>
    <row r="764" spans="1:25">
      <c r="A764" s="5"/>
      <c r="B764" s="5"/>
      <c r="C764" s="12"/>
      <c r="D764" s="12"/>
      <c r="E764" s="12"/>
      <c r="F764" s="5"/>
      <c r="G764" s="5"/>
      <c r="H764" s="5"/>
      <c r="I764" s="5"/>
      <c r="J764" s="5"/>
      <c r="K764" s="5"/>
      <c r="L764" s="5"/>
      <c r="M764" s="5"/>
      <c r="N764" s="5"/>
      <c r="O764" s="5"/>
      <c r="P764" s="5"/>
      <c r="Q764" s="5"/>
      <c r="R764" s="5"/>
      <c r="S764" s="5"/>
      <c r="T764" s="5"/>
      <c r="U764" s="5"/>
      <c r="V764" s="5"/>
      <c r="W764" s="5"/>
      <c r="X764" s="5"/>
      <c r="Y764" s="5"/>
    </row>
    <row r="765" spans="1:25">
      <c r="A765" s="5"/>
      <c r="B765" s="5"/>
      <c r="C765" s="12"/>
      <c r="D765" s="12"/>
      <c r="E765" s="12"/>
      <c r="F765" s="5"/>
      <c r="G765" s="5"/>
      <c r="H765" s="5"/>
      <c r="I765" s="5"/>
      <c r="J765" s="5"/>
      <c r="K765" s="5"/>
      <c r="L765" s="5"/>
      <c r="M765" s="5"/>
      <c r="N765" s="5"/>
      <c r="O765" s="5"/>
      <c r="P765" s="5"/>
      <c r="Q765" s="5"/>
      <c r="R765" s="5"/>
      <c r="S765" s="5"/>
      <c r="T765" s="5"/>
      <c r="U765" s="5"/>
      <c r="V765" s="5"/>
      <c r="W765" s="5"/>
      <c r="X765" s="5"/>
      <c r="Y765" s="5"/>
    </row>
    <row r="766" spans="1:25">
      <c r="A766" s="5"/>
      <c r="B766" s="5"/>
      <c r="C766" s="12"/>
      <c r="D766" s="12"/>
      <c r="E766" s="12"/>
      <c r="F766" s="5"/>
      <c r="G766" s="5"/>
      <c r="H766" s="5"/>
      <c r="I766" s="5"/>
      <c r="J766" s="5"/>
      <c r="K766" s="5"/>
      <c r="L766" s="5"/>
      <c r="M766" s="5"/>
      <c r="N766" s="5"/>
      <c r="O766" s="5"/>
      <c r="P766" s="5"/>
      <c r="Q766" s="5"/>
      <c r="R766" s="5"/>
      <c r="S766" s="5"/>
      <c r="T766" s="5"/>
      <c r="U766" s="5"/>
      <c r="V766" s="5"/>
      <c r="W766" s="5"/>
      <c r="X766" s="5"/>
      <c r="Y766" s="5"/>
    </row>
    <row r="767" spans="1:25">
      <c r="A767" s="5"/>
      <c r="B767" s="5"/>
      <c r="C767" s="12"/>
      <c r="D767" s="12"/>
      <c r="E767" s="12"/>
      <c r="F767" s="5"/>
      <c r="G767" s="5"/>
      <c r="H767" s="5"/>
      <c r="I767" s="5"/>
      <c r="J767" s="5"/>
      <c r="K767" s="5"/>
      <c r="L767" s="5"/>
      <c r="M767" s="5"/>
      <c r="N767" s="5"/>
      <c r="O767" s="5"/>
      <c r="P767" s="5"/>
      <c r="Q767" s="5"/>
      <c r="R767" s="5"/>
      <c r="S767" s="5"/>
      <c r="T767" s="5"/>
      <c r="U767" s="5"/>
      <c r="V767" s="5"/>
      <c r="W767" s="5"/>
      <c r="X767" s="5"/>
      <c r="Y767" s="5"/>
    </row>
    <row r="768" spans="1:25">
      <c r="A768" s="5"/>
      <c r="B768" s="5"/>
      <c r="C768" s="12"/>
      <c r="D768" s="12"/>
      <c r="E768" s="12"/>
      <c r="F768" s="5"/>
      <c r="G768" s="5"/>
      <c r="H768" s="5"/>
      <c r="I768" s="5"/>
      <c r="J768" s="5"/>
      <c r="K768" s="5"/>
      <c r="L768" s="5"/>
      <c r="M768" s="5"/>
      <c r="N768" s="5"/>
      <c r="O768" s="5"/>
      <c r="P768" s="5"/>
      <c r="Q768" s="5"/>
      <c r="R768" s="5"/>
      <c r="S768" s="5"/>
      <c r="T768" s="5"/>
      <c r="U768" s="5"/>
      <c r="V768" s="5"/>
      <c r="W768" s="5"/>
      <c r="X768" s="5"/>
      <c r="Y768" s="5"/>
    </row>
    <row r="769" spans="1:25">
      <c r="A769" s="5"/>
      <c r="B769" s="5"/>
      <c r="C769" s="12"/>
      <c r="D769" s="12"/>
      <c r="E769" s="12"/>
      <c r="F769" s="5"/>
      <c r="G769" s="5"/>
      <c r="H769" s="5"/>
      <c r="I769" s="5"/>
      <c r="J769" s="5"/>
      <c r="K769" s="5"/>
      <c r="L769" s="5"/>
      <c r="M769" s="5"/>
      <c r="N769" s="5"/>
      <c r="O769" s="5"/>
      <c r="P769" s="5"/>
      <c r="Q769" s="5"/>
      <c r="R769" s="5"/>
      <c r="S769" s="5"/>
      <c r="T769" s="5"/>
      <c r="U769" s="5"/>
      <c r="V769" s="5"/>
      <c r="W769" s="5"/>
      <c r="X769" s="5"/>
      <c r="Y769" s="5"/>
    </row>
    <row r="770" spans="1:25">
      <c r="A770" s="5"/>
      <c r="B770" s="5"/>
      <c r="C770" s="12"/>
      <c r="D770" s="12"/>
      <c r="E770" s="12"/>
      <c r="F770" s="5"/>
      <c r="G770" s="5"/>
      <c r="H770" s="5"/>
      <c r="I770" s="5"/>
      <c r="J770" s="5"/>
      <c r="K770" s="5"/>
      <c r="L770" s="5"/>
      <c r="M770" s="5"/>
      <c r="N770" s="5"/>
      <c r="O770" s="5"/>
      <c r="P770" s="5"/>
      <c r="Q770" s="5"/>
      <c r="R770" s="5"/>
      <c r="S770" s="5"/>
      <c r="T770" s="5"/>
      <c r="U770" s="5"/>
      <c r="V770" s="5"/>
      <c r="W770" s="5"/>
      <c r="X770" s="5"/>
      <c r="Y770" s="5"/>
    </row>
    <row r="771" spans="1:25">
      <c r="A771" s="5"/>
      <c r="B771" s="5"/>
      <c r="C771" s="12"/>
      <c r="D771" s="12"/>
      <c r="E771" s="12"/>
      <c r="F771" s="5"/>
      <c r="G771" s="5"/>
      <c r="H771" s="5"/>
      <c r="I771" s="5"/>
      <c r="J771" s="5"/>
      <c r="K771" s="5"/>
      <c r="L771" s="5"/>
      <c r="M771" s="5"/>
      <c r="N771" s="5"/>
      <c r="O771" s="5"/>
      <c r="P771" s="5"/>
      <c r="Q771" s="5"/>
      <c r="R771" s="5"/>
      <c r="S771" s="5"/>
      <c r="T771" s="5"/>
      <c r="U771" s="5"/>
      <c r="V771" s="5"/>
      <c r="W771" s="5"/>
      <c r="X771" s="5"/>
      <c r="Y771" s="5"/>
    </row>
    <row r="772" spans="1:25">
      <c r="A772" s="5"/>
      <c r="B772" s="5"/>
      <c r="C772" s="12"/>
      <c r="D772" s="12"/>
      <c r="E772" s="12"/>
      <c r="F772" s="5"/>
      <c r="G772" s="5"/>
      <c r="H772" s="5"/>
      <c r="I772" s="5"/>
      <c r="J772" s="5"/>
      <c r="K772" s="5"/>
      <c r="L772" s="5"/>
      <c r="M772" s="5"/>
      <c r="N772" s="5"/>
      <c r="O772" s="5"/>
      <c r="P772" s="5"/>
      <c r="Q772" s="5"/>
      <c r="R772" s="5"/>
      <c r="S772" s="5"/>
      <c r="T772" s="5"/>
      <c r="U772" s="5"/>
      <c r="V772" s="5"/>
      <c r="W772" s="5"/>
      <c r="X772" s="5"/>
      <c r="Y772" s="5"/>
    </row>
    <row r="773" spans="1:25">
      <c r="A773" s="5"/>
      <c r="B773" s="5"/>
      <c r="C773" s="12"/>
      <c r="D773" s="12"/>
      <c r="E773" s="12"/>
      <c r="F773" s="5"/>
      <c r="G773" s="5"/>
      <c r="H773" s="5"/>
      <c r="I773" s="5"/>
      <c r="J773" s="5"/>
      <c r="K773" s="5"/>
      <c r="L773" s="5"/>
      <c r="M773" s="5"/>
      <c r="N773" s="5"/>
      <c r="O773" s="5"/>
      <c r="P773" s="5"/>
      <c r="Q773" s="5"/>
      <c r="R773" s="5"/>
      <c r="S773" s="5"/>
      <c r="T773" s="5"/>
      <c r="U773" s="5"/>
      <c r="V773" s="5"/>
      <c r="W773" s="5"/>
      <c r="X773" s="5"/>
      <c r="Y773" s="5"/>
    </row>
    <row r="774" spans="1:25">
      <c r="A774" s="5"/>
      <c r="B774" s="5"/>
      <c r="C774" s="12"/>
      <c r="D774" s="12"/>
      <c r="E774" s="12"/>
      <c r="F774" s="5"/>
      <c r="G774" s="5"/>
      <c r="H774" s="5"/>
      <c r="I774" s="5"/>
      <c r="J774" s="5"/>
      <c r="K774" s="5"/>
      <c r="L774" s="5"/>
      <c r="M774" s="5"/>
      <c r="N774" s="5"/>
      <c r="O774" s="5"/>
      <c r="P774" s="5"/>
      <c r="Q774" s="5"/>
      <c r="R774" s="5"/>
      <c r="S774" s="5"/>
      <c r="T774" s="5"/>
      <c r="U774" s="5"/>
      <c r="V774" s="5"/>
      <c r="W774" s="5"/>
      <c r="X774" s="5"/>
      <c r="Y774" s="5"/>
    </row>
    <row r="775" spans="1:25">
      <c r="A775" s="5"/>
      <c r="B775" s="5"/>
      <c r="C775" s="12"/>
      <c r="D775" s="12"/>
      <c r="E775" s="12"/>
      <c r="F775" s="5"/>
      <c r="G775" s="5"/>
      <c r="H775" s="5"/>
      <c r="I775" s="5"/>
      <c r="J775" s="5"/>
      <c r="K775" s="5"/>
      <c r="L775" s="5"/>
      <c r="M775" s="5"/>
      <c r="N775" s="5"/>
      <c r="O775" s="5"/>
      <c r="P775" s="5"/>
      <c r="Q775" s="5"/>
      <c r="R775" s="5"/>
      <c r="S775" s="5"/>
      <c r="T775" s="5"/>
      <c r="U775" s="5"/>
      <c r="V775" s="5"/>
      <c r="W775" s="5"/>
      <c r="X775" s="5"/>
      <c r="Y775" s="5"/>
    </row>
    <row r="776" spans="1:25">
      <c r="A776" s="5"/>
      <c r="B776" s="5"/>
      <c r="C776" s="12"/>
      <c r="D776" s="12"/>
      <c r="E776" s="12"/>
      <c r="F776" s="5"/>
      <c r="G776" s="5"/>
      <c r="H776" s="5"/>
      <c r="I776" s="5"/>
      <c r="J776" s="5"/>
      <c r="K776" s="5"/>
      <c r="L776" s="5"/>
      <c r="M776" s="5"/>
      <c r="N776" s="5"/>
      <c r="O776" s="5"/>
      <c r="P776" s="5"/>
      <c r="Q776" s="5"/>
      <c r="R776" s="5"/>
      <c r="S776" s="5"/>
      <c r="T776" s="5"/>
      <c r="U776" s="5"/>
      <c r="V776" s="5"/>
      <c r="W776" s="5"/>
      <c r="X776" s="5"/>
      <c r="Y776" s="5"/>
    </row>
    <row r="777" spans="1:25">
      <c r="A777" s="5"/>
      <c r="B777" s="5"/>
      <c r="C777" s="12"/>
      <c r="D777" s="12"/>
      <c r="E777" s="12"/>
      <c r="F777" s="5"/>
      <c r="G777" s="5"/>
      <c r="H777" s="5"/>
      <c r="I777" s="5"/>
      <c r="J777" s="5"/>
      <c r="K777" s="5"/>
      <c r="L777" s="5"/>
      <c r="M777" s="5"/>
      <c r="N777" s="5"/>
      <c r="O777" s="5"/>
      <c r="P777" s="5"/>
      <c r="Q777" s="5"/>
      <c r="R777" s="5"/>
      <c r="S777" s="5"/>
      <c r="T777" s="5"/>
      <c r="U777" s="5"/>
      <c r="V777" s="5"/>
      <c r="W777" s="5"/>
      <c r="X777" s="5"/>
      <c r="Y777" s="5"/>
    </row>
    <row r="778" spans="1:25">
      <c r="A778" s="5"/>
      <c r="B778" s="5"/>
      <c r="C778" s="12"/>
      <c r="D778" s="12"/>
      <c r="E778" s="12"/>
      <c r="F778" s="5"/>
      <c r="G778" s="5"/>
      <c r="H778" s="5"/>
      <c r="I778" s="5"/>
      <c r="J778" s="5"/>
      <c r="K778" s="5"/>
      <c r="L778" s="5"/>
      <c r="M778" s="5"/>
      <c r="N778" s="5"/>
      <c r="O778" s="5"/>
      <c r="P778" s="5"/>
      <c r="Q778" s="5"/>
      <c r="R778" s="5"/>
      <c r="S778" s="5"/>
      <c r="T778" s="5"/>
      <c r="U778" s="5"/>
      <c r="V778" s="5"/>
      <c r="W778" s="5"/>
      <c r="X778" s="5"/>
      <c r="Y778" s="5"/>
    </row>
    <row r="779" spans="1:25">
      <c r="A779" s="5"/>
      <c r="B779" s="5"/>
      <c r="C779" s="12"/>
      <c r="D779" s="12"/>
      <c r="E779" s="12"/>
      <c r="F779" s="5"/>
      <c r="G779" s="5"/>
      <c r="H779" s="5"/>
      <c r="I779" s="5"/>
      <c r="J779" s="5"/>
      <c r="K779" s="5"/>
      <c r="L779" s="5"/>
      <c r="M779" s="5"/>
      <c r="N779" s="5"/>
      <c r="O779" s="5"/>
      <c r="P779" s="5"/>
      <c r="Q779" s="5"/>
      <c r="R779" s="5"/>
      <c r="S779" s="5"/>
      <c r="T779" s="5"/>
      <c r="U779" s="5"/>
      <c r="V779" s="5"/>
      <c r="W779" s="5"/>
      <c r="X779" s="5"/>
      <c r="Y779" s="5"/>
    </row>
    <row r="780" spans="1:25">
      <c r="A780" s="5"/>
      <c r="B780" s="5"/>
      <c r="C780" s="12"/>
      <c r="D780" s="12"/>
      <c r="E780" s="12"/>
      <c r="F780" s="5"/>
      <c r="G780" s="5"/>
      <c r="H780" s="5"/>
      <c r="I780" s="5"/>
      <c r="J780" s="5"/>
      <c r="K780" s="5"/>
      <c r="L780" s="5"/>
      <c r="M780" s="5"/>
      <c r="N780" s="5"/>
      <c r="O780" s="5"/>
      <c r="P780" s="5"/>
      <c r="Q780" s="5"/>
      <c r="R780" s="5"/>
      <c r="S780" s="5"/>
      <c r="T780" s="5"/>
      <c r="U780" s="5"/>
      <c r="V780" s="5"/>
      <c r="W780" s="5"/>
      <c r="X780" s="5"/>
      <c r="Y780" s="5"/>
    </row>
    <row r="781" spans="1:25">
      <c r="A781" s="5"/>
      <c r="B781" s="5"/>
      <c r="C781" s="12"/>
      <c r="D781" s="12"/>
      <c r="E781" s="12"/>
      <c r="F781" s="5"/>
      <c r="G781" s="5"/>
      <c r="H781" s="5"/>
      <c r="I781" s="5"/>
      <c r="J781" s="5"/>
      <c r="K781" s="5"/>
      <c r="L781" s="5"/>
      <c r="M781" s="5"/>
      <c r="N781" s="5"/>
      <c r="O781" s="5"/>
      <c r="P781" s="5"/>
      <c r="Q781" s="5"/>
      <c r="R781" s="5"/>
      <c r="S781" s="5"/>
      <c r="T781" s="5"/>
      <c r="U781" s="5"/>
      <c r="V781" s="5"/>
      <c r="W781" s="5"/>
      <c r="X781" s="5"/>
      <c r="Y781" s="5"/>
    </row>
    <row r="782" spans="1:25">
      <c r="A782" s="5"/>
      <c r="B782" s="5"/>
      <c r="C782" s="12"/>
      <c r="D782" s="12"/>
      <c r="E782" s="12"/>
      <c r="F782" s="5"/>
      <c r="G782" s="5"/>
      <c r="H782" s="5"/>
      <c r="I782" s="5"/>
      <c r="J782" s="5"/>
      <c r="K782" s="5"/>
      <c r="L782" s="5"/>
      <c r="M782" s="5"/>
      <c r="N782" s="5"/>
      <c r="O782" s="5"/>
      <c r="P782" s="5"/>
      <c r="Q782" s="5"/>
      <c r="R782" s="5"/>
      <c r="S782" s="5"/>
      <c r="T782" s="5"/>
      <c r="U782" s="5"/>
      <c r="V782" s="5"/>
      <c r="W782" s="5"/>
      <c r="X782" s="5"/>
      <c r="Y782" s="5"/>
    </row>
    <row r="783" spans="1:25">
      <c r="A783" s="5"/>
      <c r="B783" s="5"/>
      <c r="C783" s="12"/>
      <c r="D783" s="12"/>
      <c r="E783" s="12"/>
      <c r="F783" s="5"/>
      <c r="G783" s="5"/>
      <c r="H783" s="5"/>
      <c r="I783" s="5"/>
      <c r="J783" s="5"/>
      <c r="K783" s="5"/>
      <c r="L783" s="5"/>
      <c r="M783" s="5"/>
      <c r="N783" s="5"/>
      <c r="O783" s="5"/>
      <c r="P783" s="5"/>
      <c r="Q783" s="5"/>
      <c r="R783" s="5"/>
      <c r="S783" s="5"/>
      <c r="T783" s="5"/>
      <c r="U783" s="5"/>
      <c r="V783" s="5"/>
      <c r="W783" s="5"/>
      <c r="X783" s="5"/>
      <c r="Y783" s="5"/>
    </row>
    <row r="784" spans="1:25">
      <c r="A784" s="5"/>
      <c r="B784" s="5"/>
      <c r="C784" s="12"/>
      <c r="D784" s="12"/>
      <c r="E784" s="12"/>
      <c r="F784" s="5"/>
      <c r="G784" s="5"/>
      <c r="H784" s="5"/>
      <c r="I784" s="5"/>
      <c r="J784" s="5"/>
      <c r="K784" s="5"/>
      <c r="L784" s="5"/>
      <c r="M784" s="5"/>
      <c r="N784" s="5"/>
      <c r="O784" s="5"/>
      <c r="P784" s="5"/>
      <c r="Q784" s="5"/>
      <c r="R784" s="5"/>
      <c r="S784" s="5"/>
      <c r="T784" s="5"/>
      <c r="U784" s="5"/>
      <c r="V784" s="5"/>
      <c r="W784" s="5"/>
      <c r="X784" s="5"/>
      <c r="Y784" s="5"/>
    </row>
    <row r="785" spans="1:25">
      <c r="A785" s="5"/>
      <c r="B785" s="5"/>
      <c r="C785" s="12"/>
      <c r="D785" s="12"/>
      <c r="E785" s="12"/>
      <c r="F785" s="5"/>
      <c r="G785" s="5"/>
      <c r="H785" s="5"/>
      <c r="I785" s="5"/>
      <c r="J785" s="5"/>
      <c r="K785" s="5"/>
      <c r="L785" s="5"/>
      <c r="M785" s="5"/>
      <c r="N785" s="5"/>
      <c r="O785" s="5"/>
      <c r="P785" s="5"/>
      <c r="Q785" s="5"/>
      <c r="R785" s="5"/>
      <c r="S785" s="5"/>
      <c r="T785" s="5"/>
      <c r="U785" s="5"/>
      <c r="V785" s="5"/>
      <c r="W785" s="5"/>
      <c r="X785" s="5"/>
      <c r="Y785" s="5"/>
    </row>
    <row r="786" spans="1:25">
      <c r="A786" s="5"/>
      <c r="B786" s="5"/>
      <c r="C786" s="12"/>
      <c r="D786" s="12"/>
      <c r="E786" s="12"/>
      <c r="F786" s="5"/>
      <c r="G786" s="5"/>
      <c r="H786" s="5"/>
      <c r="I786" s="5"/>
      <c r="J786" s="5"/>
      <c r="K786" s="5"/>
      <c r="L786" s="5"/>
      <c r="M786" s="5"/>
      <c r="N786" s="5"/>
      <c r="O786" s="5"/>
      <c r="P786" s="5"/>
      <c r="Q786" s="5"/>
      <c r="R786" s="5"/>
      <c r="S786" s="5"/>
      <c r="T786" s="5"/>
      <c r="U786" s="5"/>
      <c r="V786" s="5"/>
      <c r="W786" s="5"/>
      <c r="X786" s="5"/>
      <c r="Y786" s="5"/>
    </row>
    <row r="787" spans="1:25">
      <c r="A787" s="5"/>
      <c r="B787" s="5"/>
      <c r="C787" s="12"/>
      <c r="D787" s="12"/>
      <c r="E787" s="12"/>
      <c r="F787" s="5"/>
      <c r="G787" s="5"/>
      <c r="H787" s="5"/>
      <c r="I787" s="5"/>
      <c r="J787" s="5"/>
      <c r="K787" s="5"/>
      <c r="L787" s="5"/>
      <c r="M787" s="5"/>
      <c r="N787" s="5"/>
      <c r="O787" s="5"/>
      <c r="P787" s="5"/>
      <c r="Q787" s="5"/>
      <c r="R787" s="5"/>
      <c r="S787" s="5"/>
      <c r="T787" s="5"/>
      <c r="U787" s="5"/>
      <c r="V787" s="5"/>
      <c r="W787" s="5"/>
      <c r="X787" s="5"/>
      <c r="Y787" s="5"/>
    </row>
    <row r="788" spans="1:25">
      <c r="A788" s="5"/>
      <c r="B788" s="5"/>
      <c r="C788" s="12"/>
      <c r="D788" s="12"/>
      <c r="E788" s="12"/>
      <c r="F788" s="5"/>
      <c r="G788" s="5"/>
      <c r="H788" s="5"/>
      <c r="I788" s="5"/>
      <c r="J788" s="5"/>
      <c r="K788" s="5"/>
      <c r="L788" s="5"/>
      <c r="M788" s="5"/>
      <c r="N788" s="5"/>
      <c r="O788" s="5"/>
      <c r="P788" s="5"/>
      <c r="Q788" s="5"/>
      <c r="R788" s="5"/>
      <c r="S788" s="5"/>
      <c r="T788" s="5"/>
      <c r="U788" s="5"/>
      <c r="V788" s="5"/>
      <c r="W788" s="5"/>
      <c r="X788" s="5"/>
      <c r="Y788" s="5"/>
    </row>
    <row r="789" spans="1:25">
      <c r="A789" s="5"/>
      <c r="B789" s="5"/>
      <c r="C789" s="12"/>
      <c r="D789" s="12"/>
      <c r="E789" s="12"/>
      <c r="F789" s="5"/>
      <c r="G789" s="5"/>
      <c r="H789" s="5"/>
      <c r="I789" s="5"/>
      <c r="J789" s="5"/>
      <c r="K789" s="5"/>
      <c r="L789" s="5"/>
      <c r="M789" s="5"/>
      <c r="N789" s="5"/>
      <c r="O789" s="5"/>
      <c r="P789" s="5"/>
      <c r="Q789" s="5"/>
      <c r="R789" s="5"/>
      <c r="S789" s="5"/>
      <c r="T789" s="5"/>
      <c r="U789" s="5"/>
      <c r="V789" s="5"/>
      <c r="W789" s="5"/>
      <c r="X789" s="5"/>
      <c r="Y789" s="5"/>
    </row>
    <row r="790" spans="1:25">
      <c r="A790" s="5"/>
      <c r="B790" s="5"/>
      <c r="C790" s="12"/>
      <c r="D790" s="12"/>
      <c r="E790" s="12"/>
      <c r="F790" s="5"/>
      <c r="G790" s="5"/>
      <c r="H790" s="5"/>
      <c r="I790" s="5"/>
      <c r="J790" s="5"/>
      <c r="K790" s="5"/>
      <c r="L790" s="5"/>
      <c r="M790" s="5"/>
      <c r="N790" s="5"/>
      <c r="O790" s="5"/>
      <c r="P790" s="5"/>
      <c r="Q790" s="5"/>
      <c r="R790" s="5"/>
      <c r="S790" s="5"/>
      <c r="T790" s="5"/>
      <c r="U790" s="5"/>
      <c r="V790" s="5"/>
      <c r="W790" s="5"/>
      <c r="X790" s="5"/>
      <c r="Y790" s="5"/>
    </row>
    <row r="791" spans="1:25">
      <c r="A791" s="5"/>
      <c r="B791" s="5"/>
      <c r="C791" s="12"/>
      <c r="D791" s="12"/>
      <c r="E791" s="12"/>
      <c r="F791" s="5"/>
      <c r="G791" s="5"/>
      <c r="H791" s="5"/>
      <c r="I791" s="5"/>
      <c r="J791" s="5"/>
      <c r="K791" s="5"/>
      <c r="L791" s="5"/>
      <c r="M791" s="5"/>
      <c r="N791" s="5"/>
      <c r="O791" s="5"/>
      <c r="P791" s="5"/>
      <c r="Q791" s="5"/>
      <c r="R791" s="5"/>
      <c r="S791" s="5"/>
      <c r="T791" s="5"/>
      <c r="U791" s="5"/>
      <c r="V791" s="5"/>
      <c r="W791" s="5"/>
      <c r="X791" s="5"/>
      <c r="Y791" s="5"/>
    </row>
    <row r="792" spans="1:25">
      <c r="A792" s="5"/>
      <c r="B792" s="5"/>
      <c r="C792" s="12"/>
      <c r="D792" s="12"/>
      <c r="E792" s="12"/>
      <c r="F792" s="5"/>
      <c r="G792" s="5"/>
      <c r="H792" s="5"/>
      <c r="I792" s="5"/>
      <c r="J792" s="5"/>
      <c r="K792" s="5"/>
      <c r="L792" s="5"/>
      <c r="M792" s="5"/>
      <c r="N792" s="5"/>
      <c r="O792" s="5"/>
      <c r="P792" s="5"/>
      <c r="Q792" s="5"/>
      <c r="R792" s="5"/>
      <c r="S792" s="5"/>
      <c r="T792" s="5"/>
      <c r="U792" s="5"/>
      <c r="V792" s="5"/>
      <c r="W792" s="5"/>
      <c r="X792" s="5"/>
      <c r="Y792" s="5"/>
    </row>
    <row r="793" spans="1:25">
      <c r="A793" s="5"/>
      <c r="B793" s="5"/>
      <c r="C793" s="12"/>
      <c r="D793" s="12"/>
      <c r="E793" s="12"/>
      <c r="F793" s="5"/>
      <c r="G793" s="5"/>
      <c r="H793" s="5"/>
      <c r="I793" s="5"/>
      <c r="J793" s="5"/>
      <c r="K793" s="5"/>
      <c r="L793" s="5"/>
      <c r="M793" s="5"/>
      <c r="N793" s="5"/>
      <c r="O793" s="5"/>
      <c r="P793" s="5"/>
      <c r="Q793" s="5"/>
      <c r="R793" s="5"/>
      <c r="S793" s="5"/>
      <c r="T793" s="5"/>
      <c r="U793" s="5"/>
      <c r="V793" s="5"/>
      <c r="W793" s="5"/>
      <c r="X793" s="5"/>
      <c r="Y793" s="5"/>
    </row>
    <row r="794" spans="1:25">
      <c r="A794" s="5"/>
      <c r="B794" s="5"/>
      <c r="C794" s="12"/>
      <c r="D794" s="12"/>
      <c r="E794" s="12"/>
      <c r="F794" s="5"/>
      <c r="G794" s="5"/>
      <c r="H794" s="5"/>
      <c r="I794" s="5"/>
      <c r="J794" s="5"/>
      <c r="K794" s="5"/>
      <c r="L794" s="5"/>
      <c r="M794" s="5"/>
      <c r="N794" s="5"/>
      <c r="O794" s="5"/>
      <c r="P794" s="5"/>
      <c r="Q794" s="5"/>
      <c r="R794" s="5"/>
      <c r="S794" s="5"/>
      <c r="T794" s="5"/>
      <c r="U794" s="5"/>
      <c r="V794" s="5"/>
      <c r="W794" s="5"/>
      <c r="X794" s="5"/>
      <c r="Y794" s="5"/>
    </row>
    <row r="795" spans="1:25">
      <c r="A795" s="5"/>
      <c r="B795" s="5"/>
      <c r="C795" s="12"/>
      <c r="D795" s="12"/>
      <c r="E795" s="12"/>
      <c r="F795" s="5"/>
      <c r="G795" s="5"/>
      <c r="H795" s="5"/>
      <c r="I795" s="5"/>
      <c r="J795" s="5"/>
      <c r="K795" s="5"/>
      <c r="L795" s="5"/>
      <c r="M795" s="5"/>
      <c r="N795" s="5"/>
      <c r="O795" s="5"/>
      <c r="P795" s="5"/>
      <c r="Q795" s="5"/>
      <c r="R795" s="5"/>
      <c r="S795" s="5"/>
      <c r="T795" s="5"/>
      <c r="U795" s="5"/>
      <c r="V795" s="5"/>
      <c r="W795" s="5"/>
      <c r="X795" s="5"/>
      <c r="Y795" s="5"/>
    </row>
    <row r="796" spans="1:25">
      <c r="A796" s="5"/>
      <c r="B796" s="5"/>
      <c r="C796" s="12"/>
      <c r="D796" s="12"/>
      <c r="E796" s="12"/>
      <c r="F796" s="5"/>
      <c r="G796" s="5"/>
      <c r="H796" s="5"/>
      <c r="I796" s="5"/>
      <c r="J796" s="5"/>
      <c r="K796" s="5"/>
      <c r="L796" s="5"/>
      <c r="M796" s="5"/>
      <c r="N796" s="5"/>
      <c r="O796" s="5"/>
      <c r="P796" s="5"/>
      <c r="Q796" s="5"/>
      <c r="R796" s="5"/>
      <c r="S796" s="5"/>
      <c r="T796" s="5"/>
      <c r="U796" s="5"/>
      <c r="V796" s="5"/>
      <c r="W796" s="5"/>
      <c r="X796" s="5"/>
      <c r="Y796" s="5"/>
    </row>
    <row r="797" spans="1:25">
      <c r="A797" s="5"/>
      <c r="B797" s="5"/>
      <c r="C797" s="12"/>
      <c r="D797" s="12"/>
      <c r="E797" s="12"/>
      <c r="F797" s="5"/>
      <c r="G797" s="5"/>
      <c r="H797" s="5"/>
      <c r="I797" s="5"/>
      <c r="J797" s="5"/>
      <c r="K797" s="5"/>
      <c r="L797" s="5"/>
      <c r="M797" s="5"/>
      <c r="N797" s="5"/>
      <c r="O797" s="5"/>
      <c r="P797" s="5"/>
      <c r="Q797" s="5"/>
      <c r="R797" s="5"/>
      <c r="S797" s="5"/>
      <c r="T797" s="5"/>
      <c r="U797" s="5"/>
      <c r="V797" s="5"/>
      <c r="W797" s="5"/>
      <c r="X797" s="5"/>
      <c r="Y797" s="5"/>
    </row>
    <row r="798" spans="1:25">
      <c r="A798" s="5"/>
      <c r="B798" s="5"/>
      <c r="C798" s="12"/>
      <c r="D798" s="12"/>
      <c r="E798" s="12"/>
      <c r="F798" s="5"/>
      <c r="G798" s="5"/>
      <c r="H798" s="5"/>
      <c r="I798" s="5"/>
      <c r="J798" s="5"/>
      <c r="K798" s="5"/>
      <c r="L798" s="5"/>
      <c r="M798" s="5"/>
      <c r="N798" s="5"/>
      <c r="O798" s="5"/>
      <c r="P798" s="5"/>
      <c r="Q798" s="5"/>
      <c r="R798" s="5"/>
      <c r="S798" s="5"/>
      <c r="T798" s="5"/>
      <c r="U798" s="5"/>
      <c r="V798" s="5"/>
      <c r="W798" s="5"/>
      <c r="X798" s="5"/>
      <c r="Y798" s="5"/>
    </row>
    <row r="799" spans="1:25">
      <c r="A799" s="5"/>
      <c r="B799" s="5"/>
      <c r="C799" s="12"/>
      <c r="D799" s="12"/>
      <c r="E799" s="12"/>
      <c r="F799" s="5"/>
      <c r="G799" s="5"/>
      <c r="H799" s="5"/>
      <c r="I799" s="5"/>
      <c r="J799" s="5"/>
      <c r="K799" s="5"/>
      <c r="L799" s="5"/>
      <c r="M799" s="5"/>
      <c r="N799" s="5"/>
      <c r="O799" s="5"/>
      <c r="P799" s="5"/>
      <c r="Q799" s="5"/>
      <c r="R799" s="5"/>
      <c r="S799" s="5"/>
      <c r="T799" s="5"/>
      <c r="U799" s="5"/>
      <c r="V799" s="5"/>
      <c r="W799" s="5"/>
      <c r="X799" s="5"/>
      <c r="Y799" s="5"/>
    </row>
    <row r="800" spans="1:25">
      <c r="A800" s="5"/>
      <c r="B800" s="5"/>
      <c r="C800" s="12"/>
      <c r="D800" s="12"/>
      <c r="E800" s="12"/>
      <c r="F800" s="5"/>
      <c r="G800" s="5"/>
      <c r="H800" s="5"/>
      <c r="I800" s="5"/>
      <c r="J800" s="5"/>
      <c r="K800" s="5"/>
      <c r="L800" s="5"/>
      <c r="M800" s="5"/>
      <c r="N800" s="5"/>
      <c r="O800" s="5"/>
      <c r="P800" s="5"/>
      <c r="Q800" s="5"/>
      <c r="R800" s="5"/>
      <c r="S800" s="5"/>
      <c r="T800" s="5"/>
      <c r="U800" s="5"/>
      <c r="V800" s="5"/>
      <c r="W800" s="5"/>
      <c r="X800" s="5"/>
      <c r="Y800" s="5"/>
    </row>
    <row r="801" spans="1:25">
      <c r="A801" s="5"/>
      <c r="B801" s="5"/>
      <c r="C801" s="12"/>
      <c r="D801" s="12"/>
      <c r="E801" s="12"/>
      <c r="F801" s="5"/>
      <c r="G801" s="5"/>
      <c r="H801" s="5"/>
      <c r="I801" s="5"/>
      <c r="J801" s="5"/>
      <c r="K801" s="5"/>
      <c r="L801" s="5"/>
      <c r="M801" s="5"/>
      <c r="N801" s="5"/>
      <c r="O801" s="5"/>
      <c r="P801" s="5"/>
      <c r="Q801" s="5"/>
      <c r="R801" s="5"/>
      <c r="S801" s="5"/>
      <c r="T801" s="5"/>
      <c r="U801" s="5"/>
      <c r="V801" s="5"/>
      <c r="W801" s="5"/>
      <c r="X801" s="5"/>
      <c r="Y801" s="5"/>
    </row>
    <row r="802" spans="1:25">
      <c r="A802" s="5"/>
      <c r="B802" s="5"/>
      <c r="C802" s="12"/>
      <c r="D802" s="12"/>
      <c r="E802" s="12"/>
      <c r="F802" s="5"/>
      <c r="G802" s="5"/>
      <c r="H802" s="5"/>
      <c r="I802" s="5"/>
      <c r="J802" s="5"/>
      <c r="K802" s="5"/>
      <c r="L802" s="5"/>
      <c r="M802" s="5"/>
      <c r="N802" s="5"/>
      <c r="O802" s="5"/>
      <c r="P802" s="5"/>
      <c r="Q802" s="5"/>
      <c r="R802" s="5"/>
      <c r="S802" s="5"/>
      <c r="T802" s="5"/>
      <c r="U802" s="5"/>
      <c r="V802" s="5"/>
      <c r="W802" s="5"/>
      <c r="X802" s="5"/>
      <c r="Y802" s="5"/>
    </row>
    <row r="803" spans="1:25">
      <c r="A803" s="5"/>
      <c r="B803" s="5"/>
      <c r="C803" s="12"/>
      <c r="D803" s="12"/>
      <c r="E803" s="12"/>
      <c r="F803" s="5"/>
      <c r="G803" s="5"/>
      <c r="H803" s="5"/>
      <c r="I803" s="5"/>
      <c r="J803" s="5"/>
      <c r="K803" s="5"/>
      <c r="L803" s="5"/>
      <c r="M803" s="5"/>
      <c r="N803" s="5"/>
      <c r="O803" s="5"/>
      <c r="P803" s="5"/>
      <c r="Q803" s="5"/>
      <c r="R803" s="5"/>
      <c r="S803" s="5"/>
      <c r="T803" s="5"/>
      <c r="U803" s="5"/>
      <c r="V803" s="5"/>
      <c r="W803" s="5"/>
      <c r="X803" s="5"/>
      <c r="Y803" s="5"/>
    </row>
    <row r="804" spans="1:25">
      <c r="A804" s="5"/>
      <c r="B804" s="5"/>
      <c r="C804" s="12"/>
      <c r="D804" s="12"/>
      <c r="E804" s="12"/>
      <c r="F804" s="5"/>
      <c r="G804" s="5"/>
      <c r="H804" s="5"/>
      <c r="I804" s="5"/>
      <c r="J804" s="5"/>
      <c r="K804" s="5"/>
      <c r="L804" s="5"/>
      <c r="M804" s="5"/>
      <c r="N804" s="5"/>
      <c r="O804" s="5"/>
      <c r="P804" s="5"/>
      <c r="Q804" s="5"/>
      <c r="R804" s="5"/>
      <c r="S804" s="5"/>
      <c r="T804" s="5"/>
      <c r="U804" s="5"/>
      <c r="V804" s="5"/>
      <c r="W804" s="5"/>
      <c r="X804" s="5"/>
      <c r="Y804" s="5"/>
    </row>
    <row r="805" spans="1:25">
      <c r="A805" s="5"/>
      <c r="B805" s="5"/>
      <c r="C805" s="12"/>
      <c r="D805" s="12"/>
      <c r="E805" s="12"/>
      <c r="F805" s="5"/>
      <c r="G805" s="5"/>
      <c r="H805" s="5"/>
      <c r="I805" s="5"/>
      <c r="J805" s="5"/>
      <c r="K805" s="5"/>
      <c r="L805" s="5"/>
      <c r="M805" s="5"/>
      <c r="N805" s="5"/>
      <c r="O805" s="5"/>
      <c r="P805" s="5"/>
      <c r="Q805" s="5"/>
      <c r="R805" s="5"/>
      <c r="S805" s="5"/>
      <c r="T805" s="5"/>
      <c r="U805" s="5"/>
      <c r="V805" s="5"/>
      <c r="W805" s="5"/>
      <c r="X805" s="5"/>
      <c r="Y805" s="5"/>
    </row>
    <row r="806" spans="1:25">
      <c r="A806" s="5"/>
      <c r="B806" s="5"/>
      <c r="C806" s="12"/>
      <c r="D806" s="12"/>
      <c r="E806" s="12"/>
      <c r="F806" s="5"/>
      <c r="G806" s="5"/>
      <c r="H806" s="5"/>
      <c r="I806" s="5"/>
      <c r="J806" s="5"/>
      <c r="K806" s="5"/>
      <c r="L806" s="5"/>
      <c r="M806" s="5"/>
      <c r="N806" s="5"/>
      <c r="O806" s="5"/>
      <c r="P806" s="5"/>
      <c r="Q806" s="5"/>
      <c r="R806" s="5"/>
      <c r="S806" s="5"/>
      <c r="T806" s="5"/>
      <c r="U806" s="5"/>
      <c r="V806" s="5"/>
      <c r="W806" s="5"/>
      <c r="X806" s="5"/>
      <c r="Y806" s="5"/>
    </row>
    <row r="807" spans="1:25">
      <c r="A807" s="5"/>
      <c r="B807" s="5"/>
      <c r="C807" s="12"/>
      <c r="D807" s="12"/>
      <c r="E807" s="12"/>
      <c r="F807" s="5"/>
      <c r="G807" s="5"/>
      <c r="H807" s="5"/>
      <c r="I807" s="5"/>
      <c r="J807" s="5"/>
      <c r="K807" s="5"/>
      <c r="L807" s="5"/>
      <c r="M807" s="5"/>
      <c r="N807" s="5"/>
      <c r="O807" s="5"/>
      <c r="P807" s="5"/>
      <c r="Q807" s="5"/>
      <c r="R807" s="5"/>
      <c r="S807" s="5"/>
      <c r="T807" s="5"/>
      <c r="U807" s="5"/>
      <c r="V807" s="5"/>
      <c r="W807" s="5"/>
      <c r="X807" s="5"/>
      <c r="Y807" s="5"/>
    </row>
    <row r="808" spans="1:25">
      <c r="A808" s="5"/>
      <c r="B808" s="5"/>
      <c r="C808" s="12"/>
      <c r="D808" s="12"/>
      <c r="E808" s="12"/>
      <c r="F808" s="5"/>
      <c r="G808" s="5"/>
      <c r="H808" s="5"/>
      <c r="I808" s="5"/>
      <c r="J808" s="5"/>
      <c r="K808" s="5"/>
      <c r="L808" s="5"/>
      <c r="M808" s="5"/>
      <c r="N808" s="5"/>
      <c r="O808" s="5"/>
      <c r="P808" s="5"/>
      <c r="Q808" s="5"/>
      <c r="R808" s="5"/>
      <c r="S808" s="5"/>
      <c r="T808" s="5"/>
      <c r="U808" s="5"/>
      <c r="V808" s="5"/>
      <c r="W808" s="5"/>
      <c r="X808" s="5"/>
      <c r="Y808" s="5"/>
    </row>
    <row r="809" spans="1:25">
      <c r="A809" s="5"/>
      <c r="B809" s="5"/>
      <c r="C809" s="12"/>
      <c r="D809" s="12"/>
      <c r="E809" s="12"/>
      <c r="F809" s="5"/>
      <c r="G809" s="5"/>
      <c r="H809" s="5"/>
      <c r="I809" s="5"/>
      <c r="J809" s="5"/>
      <c r="K809" s="5"/>
      <c r="L809" s="5"/>
      <c r="M809" s="5"/>
      <c r="N809" s="5"/>
      <c r="O809" s="5"/>
      <c r="P809" s="5"/>
      <c r="Q809" s="5"/>
      <c r="R809" s="5"/>
      <c r="S809" s="5"/>
      <c r="T809" s="5"/>
      <c r="U809" s="5"/>
      <c r="V809" s="5"/>
      <c r="W809" s="5"/>
      <c r="X809" s="5"/>
      <c r="Y809" s="5"/>
    </row>
    <row r="810" spans="1:25">
      <c r="A810" s="5"/>
      <c r="B810" s="5"/>
      <c r="C810" s="12"/>
      <c r="D810" s="12"/>
      <c r="E810" s="12"/>
      <c r="F810" s="5"/>
      <c r="G810" s="5"/>
      <c r="H810" s="5"/>
      <c r="I810" s="5"/>
      <c r="J810" s="5"/>
      <c r="K810" s="5"/>
      <c r="L810" s="5"/>
      <c r="M810" s="5"/>
      <c r="N810" s="5"/>
      <c r="O810" s="5"/>
      <c r="P810" s="5"/>
      <c r="Q810" s="5"/>
      <c r="R810" s="5"/>
      <c r="S810" s="5"/>
      <c r="T810" s="5"/>
      <c r="U810" s="5"/>
      <c r="V810" s="5"/>
      <c r="W810" s="5"/>
      <c r="X810" s="5"/>
      <c r="Y810" s="5"/>
    </row>
    <row r="811" spans="1:25">
      <c r="A811" s="5"/>
      <c r="B811" s="5"/>
      <c r="C811" s="12"/>
      <c r="D811" s="12"/>
      <c r="E811" s="12"/>
      <c r="F811" s="5"/>
      <c r="G811" s="5"/>
      <c r="H811" s="5"/>
      <c r="I811" s="5"/>
      <c r="J811" s="5"/>
      <c r="K811" s="5"/>
      <c r="L811" s="5"/>
      <c r="M811" s="5"/>
      <c r="N811" s="5"/>
      <c r="O811" s="5"/>
      <c r="P811" s="5"/>
      <c r="Q811" s="5"/>
      <c r="R811" s="5"/>
      <c r="S811" s="5"/>
      <c r="T811" s="5"/>
      <c r="U811" s="5"/>
      <c r="V811" s="5"/>
      <c r="W811" s="5"/>
      <c r="X811" s="5"/>
      <c r="Y811" s="5"/>
    </row>
    <row r="812" spans="1:25">
      <c r="A812" s="5"/>
      <c r="B812" s="5"/>
      <c r="C812" s="12"/>
      <c r="D812" s="12"/>
      <c r="E812" s="12"/>
      <c r="F812" s="5"/>
      <c r="G812" s="5"/>
      <c r="H812" s="5"/>
      <c r="I812" s="5"/>
      <c r="J812" s="5"/>
      <c r="K812" s="5"/>
      <c r="L812" s="5"/>
      <c r="M812" s="5"/>
      <c r="N812" s="5"/>
      <c r="O812" s="5"/>
      <c r="P812" s="5"/>
      <c r="Q812" s="5"/>
      <c r="R812" s="5"/>
      <c r="S812" s="5"/>
      <c r="T812" s="5"/>
      <c r="U812" s="5"/>
      <c r="V812" s="5"/>
      <c r="W812" s="5"/>
      <c r="X812" s="5"/>
      <c r="Y812" s="5"/>
    </row>
    <row r="813" spans="1:25">
      <c r="A813" s="5"/>
      <c r="B813" s="5"/>
      <c r="C813" s="12"/>
      <c r="D813" s="12"/>
      <c r="E813" s="12"/>
      <c r="F813" s="5"/>
      <c r="G813" s="5"/>
      <c r="H813" s="5"/>
      <c r="I813" s="5"/>
      <c r="J813" s="5"/>
      <c r="K813" s="5"/>
      <c r="L813" s="5"/>
      <c r="M813" s="5"/>
      <c r="N813" s="5"/>
      <c r="O813" s="5"/>
      <c r="P813" s="5"/>
      <c r="Q813" s="5"/>
      <c r="R813" s="5"/>
      <c r="S813" s="5"/>
      <c r="T813" s="5"/>
      <c r="U813" s="5"/>
      <c r="V813" s="5"/>
      <c r="W813" s="5"/>
      <c r="X813" s="5"/>
      <c r="Y813" s="5"/>
    </row>
    <row r="814" spans="1:25">
      <c r="A814" s="5"/>
      <c r="B814" s="5"/>
      <c r="C814" s="12"/>
      <c r="D814" s="12"/>
      <c r="E814" s="12"/>
      <c r="F814" s="5"/>
      <c r="G814" s="5"/>
      <c r="H814" s="5"/>
      <c r="I814" s="5"/>
      <c r="J814" s="5"/>
      <c r="K814" s="5"/>
      <c r="L814" s="5"/>
      <c r="M814" s="5"/>
      <c r="N814" s="5"/>
      <c r="O814" s="5"/>
      <c r="P814" s="5"/>
      <c r="Q814" s="5"/>
      <c r="R814" s="5"/>
      <c r="S814" s="5"/>
      <c r="T814" s="5"/>
      <c r="U814" s="5"/>
      <c r="V814" s="5"/>
      <c r="W814" s="5"/>
      <c r="X814" s="5"/>
      <c r="Y814" s="5"/>
    </row>
    <row r="815" spans="1:25">
      <c r="A815" s="5"/>
      <c r="B815" s="5"/>
      <c r="C815" s="12"/>
      <c r="D815" s="12"/>
      <c r="E815" s="12"/>
      <c r="F815" s="5"/>
      <c r="G815" s="5"/>
      <c r="H815" s="5"/>
      <c r="I815" s="5"/>
      <c r="J815" s="5"/>
      <c r="K815" s="5"/>
      <c r="L815" s="5"/>
      <c r="M815" s="5"/>
      <c r="N815" s="5"/>
      <c r="O815" s="5"/>
      <c r="P815" s="5"/>
      <c r="Q815" s="5"/>
      <c r="R815" s="5"/>
      <c r="S815" s="5"/>
      <c r="T815" s="5"/>
      <c r="U815" s="5"/>
      <c r="V815" s="5"/>
      <c r="W815" s="5"/>
      <c r="X815" s="5"/>
      <c r="Y815" s="5"/>
    </row>
    <row r="816" spans="1:25">
      <c r="A816" s="5"/>
      <c r="B816" s="5"/>
      <c r="C816" s="12"/>
      <c r="D816" s="12"/>
      <c r="E816" s="12"/>
      <c r="F816" s="5"/>
      <c r="G816" s="5"/>
      <c r="H816" s="5"/>
      <c r="I816" s="5"/>
      <c r="J816" s="5"/>
      <c r="K816" s="5"/>
      <c r="L816" s="5"/>
      <c r="M816" s="5"/>
      <c r="N816" s="5"/>
      <c r="O816" s="5"/>
      <c r="P816" s="5"/>
      <c r="Q816" s="5"/>
      <c r="R816" s="5"/>
      <c r="S816" s="5"/>
      <c r="T816" s="5"/>
      <c r="U816" s="5"/>
      <c r="V816" s="5"/>
      <c r="W816" s="5"/>
      <c r="X816" s="5"/>
      <c r="Y816" s="5"/>
    </row>
    <row r="817" spans="1:25">
      <c r="A817" s="5"/>
      <c r="B817" s="5"/>
      <c r="C817" s="12"/>
      <c r="D817" s="12"/>
      <c r="E817" s="12"/>
      <c r="F817" s="5"/>
      <c r="G817" s="5"/>
      <c r="H817" s="5"/>
      <c r="I817" s="5"/>
      <c r="J817" s="5"/>
      <c r="K817" s="5"/>
      <c r="L817" s="5"/>
      <c r="M817" s="5"/>
      <c r="N817" s="5"/>
      <c r="O817" s="5"/>
      <c r="P817" s="5"/>
      <c r="Q817" s="5"/>
      <c r="R817" s="5"/>
      <c r="S817" s="5"/>
      <c r="T817" s="5"/>
      <c r="U817" s="5"/>
      <c r="V817" s="5"/>
      <c r="W817" s="5"/>
      <c r="X817" s="5"/>
      <c r="Y817" s="5"/>
    </row>
    <row r="818" spans="1:25">
      <c r="A818" s="5"/>
      <c r="B818" s="5"/>
      <c r="C818" s="12"/>
      <c r="D818" s="12"/>
      <c r="E818" s="12"/>
      <c r="F818" s="5"/>
      <c r="G818" s="5"/>
      <c r="H818" s="5"/>
      <c r="I818" s="5"/>
      <c r="J818" s="5"/>
      <c r="K818" s="5"/>
      <c r="L818" s="5"/>
      <c r="M818" s="5"/>
      <c r="N818" s="5"/>
      <c r="O818" s="5"/>
      <c r="P818" s="5"/>
      <c r="Q818" s="5"/>
      <c r="R818" s="5"/>
      <c r="S818" s="5"/>
      <c r="T818" s="5"/>
      <c r="U818" s="5"/>
      <c r="V818" s="5"/>
      <c r="W818" s="5"/>
      <c r="X818" s="5"/>
      <c r="Y818" s="5"/>
    </row>
    <row r="819" spans="1:25">
      <c r="A819" s="5"/>
      <c r="B819" s="5"/>
      <c r="C819" s="12"/>
      <c r="D819" s="12"/>
      <c r="E819" s="12"/>
      <c r="F819" s="5"/>
      <c r="G819" s="5"/>
      <c r="H819" s="5"/>
      <c r="I819" s="5"/>
      <c r="J819" s="5"/>
      <c r="K819" s="5"/>
      <c r="L819" s="5"/>
      <c r="M819" s="5"/>
      <c r="N819" s="5"/>
      <c r="O819" s="5"/>
      <c r="P819" s="5"/>
      <c r="Q819" s="5"/>
      <c r="R819" s="5"/>
      <c r="S819" s="5"/>
      <c r="T819" s="5"/>
      <c r="U819" s="5"/>
      <c r="V819" s="5"/>
      <c r="W819" s="5"/>
      <c r="X819" s="5"/>
      <c r="Y819" s="5"/>
    </row>
    <row r="820" spans="1:25">
      <c r="A820" s="5"/>
      <c r="B820" s="5"/>
      <c r="C820" s="12"/>
      <c r="D820" s="12"/>
      <c r="E820" s="12"/>
      <c r="F820" s="5"/>
      <c r="G820" s="5"/>
      <c r="H820" s="5"/>
      <c r="I820" s="5"/>
      <c r="J820" s="5"/>
      <c r="K820" s="5"/>
      <c r="L820" s="5"/>
      <c r="M820" s="5"/>
      <c r="N820" s="5"/>
      <c r="O820" s="5"/>
      <c r="P820" s="5"/>
      <c r="Q820" s="5"/>
      <c r="R820" s="5"/>
      <c r="S820" s="5"/>
      <c r="T820" s="5"/>
      <c r="U820" s="5"/>
      <c r="V820" s="5"/>
      <c r="W820" s="5"/>
      <c r="X820" s="5"/>
      <c r="Y820" s="5"/>
    </row>
    <row r="821" spans="1:25">
      <c r="A821" s="5"/>
      <c r="B821" s="5"/>
      <c r="C821" s="12"/>
      <c r="D821" s="12"/>
      <c r="E821" s="12"/>
      <c r="F821" s="5"/>
      <c r="G821" s="5"/>
      <c r="H821" s="5"/>
      <c r="I821" s="5"/>
      <c r="J821" s="5"/>
      <c r="K821" s="5"/>
      <c r="L821" s="5"/>
      <c r="M821" s="5"/>
      <c r="N821" s="5"/>
      <c r="O821" s="5"/>
      <c r="P821" s="5"/>
      <c r="Q821" s="5"/>
      <c r="R821" s="5"/>
      <c r="S821" s="5"/>
      <c r="T821" s="5"/>
      <c r="U821" s="5"/>
      <c r="V821" s="5"/>
      <c r="W821" s="5"/>
      <c r="X821" s="5"/>
      <c r="Y821" s="5"/>
    </row>
    <row r="822" spans="1:25">
      <c r="A822" s="5"/>
      <c r="B822" s="5"/>
      <c r="C822" s="12"/>
      <c r="D822" s="12"/>
      <c r="E822" s="12"/>
      <c r="F822" s="5"/>
      <c r="G822" s="5"/>
      <c r="H822" s="5"/>
      <c r="I822" s="5"/>
      <c r="J822" s="5"/>
      <c r="K822" s="5"/>
      <c r="L822" s="5"/>
      <c r="M822" s="5"/>
      <c r="N822" s="5"/>
      <c r="O822" s="5"/>
      <c r="P822" s="5"/>
      <c r="Q822" s="5"/>
      <c r="R822" s="5"/>
      <c r="S822" s="5"/>
      <c r="T822" s="5"/>
      <c r="U822" s="5"/>
      <c r="V822" s="5"/>
      <c r="W822" s="5"/>
      <c r="X822" s="5"/>
      <c r="Y822" s="5"/>
    </row>
    <row r="823" spans="1:25">
      <c r="A823" s="5"/>
      <c r="B823" s="5"/>
      <c r="C823" s="12"/>
      <c r="D823" s="12"/>
      <c r="E823" s="12"/>
      <c r="F823" s="5"/>
      <c r="G823" s="5"/>
      <c r="H823" s="5"/>
      <c r="I823" s="5"/>
      <c r="J823" s="5"/>
      <c r="K823" s="5"/>
      <c r="L823" s="5"/>
      <c r="M823" s="5"/>
      <c r="N823" s="5"/>
      <c r="O823" s="5"/>
      <c r="P823" s="5"/>
      <c r="Q823" s="5"/>
      <c r="R823" s="5"/>
      <c r="S823" s="5"/>
      <c r="T823" s="5"/>
      <c r="U823" s="5"/>
      <c r="V823" s="5"/>
      <c r="W823" s="5"/>
      <c r="X823" s="5"/>
      <c r="Y823" s="5"/>
    </row>
    <row r="824" spans="1:25">
      <c r="A824" s="5"/>
      <c r="B824" s="5"/>
      <c r="C824" s="12"/>
      <c r="D824" s="12"/>
      <c r="E824" s="12"/>
      <c r="F824" s="5"/>
      <c r="G824" s="5"/>
      <c r="H824" s="5"/>
      <c r="I824" s="5"/>
      <c r="J824" s="5"/>
      <c r="K824" s="5"/>
      <c r="L824" s="5"/>
      <c r="M824" s="5"/>
      <c r="N824" s="5"/>
      <c r="O824" s="5"/>
      <c r="P824" s="5"/>
      <c r="Q824" s="5"/>
      <c r="R824" s="5"/>
      <c r="S824" s="5"/>
      <c r="T824" s="5"/>
      <c r="U824" s="5"/>
      <c r="V824" s="5"/>
      <c r="W824" s="5"/>
      <c r="X824" s="5"/>
      <c r="Y824" s="5"/>
    </row>
    <row r="825" spans="1:25">
      <c r="A825" s="5"/>
      <c r="B825" s="5"/>
      <c r="C825" s="12"/>
      <c r="D825" s="12"/>
      <c r="E825" s="12"/>
      <c r="F825" s="5"/>
      <c r="G825" s="5"/>
      <c r="H825" s="5"/>
      <c r="I825" s="5"/>
      <c r="J825" s="5"/>
      <c r="K825" s="5"/>
      <c r="L825" s="5"/>
      <c r="M825" s="5"/>
      <c r="N825" s="5"/>
      <c r="O825" s="5"/>
      <c r="P825" s="5"/>
      <c r="Q825" s="5"/>
      <c r="R825" s="5"/>
      <c r="S825" s="5"/>
      <c r="T825" s="5"/>
      <c r="U825" s="5"/>
      <c r="V825" s="5"/>
      <c r="W825" s="5"/>
      <c r="X825" s="5"/>
      <c r="Y825" s="5"/>
    </row>
    <row r="826" spans="1:25">
      <c r="A826" s="5"/>
      <c r="B826" s="5"/>
      <c r="C826" s="12"/>
      <c r="D826" s="12"/>
      <c r="E826" s="12"/>
      <c r="F826" s="5"/>
      <c r="G826" s="5"/>
      <c r="H826" s="5"/>
      <c r="I826" s="5"/>
      <c r="J826" s="5"/>
      <c r="K826" s="5"/>
      <c r="L826" s="5"/>
      <c r="M826" s="5"/>
      <c r="N826" s="5"/>
      <c r="O826" s="5"/>
      <c r="P826" s="5"/>
      <c r="Q826" s="5"/>
      <c r="R826" s="5"/>
      <c r="S826" s="5"/>
      <c r="T826" s="5"/>
      <c r="U826" s="5"/>
      <c r="V826" s="5"/>
      <c r="W826" s="5"/>
      <c r="X826" s="5"/>
      <c r="Y826" s="5"/>
    </row>
    <row r="827" spans="1:25">
      <c r="A827" s="5"/>
      <c r="B827" s="5"/>
      <c r="C827" s="12"/>
      <c r="D827" s="12"/>
      <c r="E827" s="12"/>
      <c r="F827" s="5"/>
      <c r="G827" s="5"/>
      <c r="H827" s="5"/>
      <c r="I827" s="5"/>
      <c r="J827" s="5"/>
      <c r="K827" s="5"/>
      <c r="L827" s="5"/>
      <c r="M827" s="5"/>
      <c r="N827" s="5"/>
      <c r="O827" s="5"/>
      <c r="P827" s="5"/>
      <c r="Q827" s="5"/>
      <c r="R827" s="5"/>
      <c r="S827" s="5"/>
      <c r="T827" s="5"/>
      <c r="U827" s="5"/>
      <c r="V827" s="5"/>
      <c r="W827" s="5"/>
      <c r="X827" s="5"/>
      <c r="Y827" s="5"/>
    </row>
    <row r="828" spans="1:25">
      <c r="A828" s="5"/>
      <c r="B828" s="5"/>
      <c r="C828" s="12"/>
      <c r="D828" s="12"/>
      <c r="E828" s="12"/>
      <c r="F828" s="5"/>
      <c r="G828" s="5"/>
      <c r="H828" s="5"/>
      <c r="I828" s="5"/>
      <c r="J828" s="5"/>
      <c r="K828" s="5"/>
      <c r="L828" s="5"/>
      <c r="M828" s="5"/>
      <c r="N828" s="5"/>
      <c r="O828" s="5"/>
      <c r="P828" s="5"/>
      <c r="Q828" s="5"/>
      <c r="R828" s="5"/>
      <c r="S828" s="5"/>
      <c r="T828" s="5"/>
      <c r="U828" s="5"/>
      <c r="V828" s="5"/>
      <c r="W828" s="5"/>
      <c r="X828" s="5"/>
      <c r="Y828" s="5"/>
    </row>
    <row r="829" spans="1:25">
      <c r="A829" s="5"/>
      <c r="B829" s="5"/>
      <c r="C829" s="12"/>
      <c r="D829" s="12"/>
      <c r="E829" s="12"/>
      <c r="F829" s="5"/>
      <c r="G829" s="5"/>
      <c r="H829" s="5"/>
      <c r="I829" s="5"/>
      <c r="J829" s="5"/>
      <c r="K829" s="5"/>
      <c r="L829" s="5"/>
      <c r="M829" s="5"/>
      <c r="N829" s="5"/>
      <c r="O829" s="5"/>
      <c r="P829" s="5"/>
      <c r="Q829" s="5"/>
      <c r="R829" s="5"/>
      <c r="S829" s="5"/>
      <c r="T829" s="5"/>
      <c r="U829" s="5"/>
      <c r="V829" s="5"/>
      <c r="W829" s="5"/>
      <c r="X829" s="5"/>
      <c r="Y829" s="5"/>
    </row>
    <row r="830" spans="1:25">
      <c r="A830" s="5"/>
      <c r="B830" s="5"/>
      <c r="C830" s="12"/>
      <c r="D830" s="12"/>
      <c r="E830" s="12"/>
      <c r="F830" s="5"/>
      <c r="G830" s="5"/>
      <c r="H830" s="5"/>
      <c r="I830" s="5"/>
      <c r="J830" s="5"/>
      <c r="K830" s="5"/>
      <c r="L830" s="5"/>
      <c r="M830" s="5"/>
      <c r="N830" s="5"/>
      <c r="O830" s="5"/>
      <c r="P830" s="5"/>
      <c r="Q830" s="5"/>
      <c r="R830" s="5"/>
      <c r="S830" s="5"/>
      <c r="T830" s="5"/>
      <c r="U830" s="5"/>
      <c r="V830" s="5"/>
      <c r="W830" s="5"/>
      <c r="X830" s="5"/>
      <c r="Y830" s="5"/>
    </row>
    <row r="831" spans="1:25">
      <c r="A831" s="5"/>
      <c r="B831" s="5"/>
      <c r="C831" s="12"/>
      <c r="D831" s="12"/>
      <c r="E831" s="12"/>
      <c r="F831" s="5"/>
      <c r="G831" s="5"/>
      <c r="H831" s="5"/>
      <c r="I831" s="5"/>
      <c r="J831" s="5"/>
      <c r="K831" s="5"/>
      <c r="L831" s="5"/>
      <c r="M831" s="5"/>
      <c r="N831" s="5"/>
      <c r="O831" s="5"/>
      <c r="P831" s="5"/>
      <c r="Q831" s="5"/>
      <c r="R831" s="5"/>
      <c r="S831" s="5"/>
      <c r="T831" s="5"/>
      <c r="U831" s="5"/>
      <c r="V831" s="5"/>
      <c r="W831" s="5"/>
      <c r="X831" s="5"/>
      <c r="Y831" s="5"/>
    </row>
    <row r="832" spans="1:25">
      <c r="A832" s="5"/>
      <c r="B832" s="5"/>
      <c r="C832" s="12"/>
      <c r="D832" s="12"/>
      <c r="E832" s="12"/>
      <c r="F832" s="5"/>
      <c r="G832" s="5"/>
      <c r="H832" s="5"/>
      <c r="I832" s="5"/>
      <c r="J832" s="5"/>
      <c r="K832" s="5"/>
      <c r="L832" s="5"/>
      <c r="M832" s="5"/>
      <c r="N832" s="5"/>
      <c r="O832" s="5"/>
      <c r="P832" s="5"/>
      <c r="Q832" s="5"/>
      <c r="R832" s="5"/>
      <c r="S832" s="5"/>
      <c r="T832" s="5"/>
      <c r="U832" s="5"/>
      <c r="V832" s="5"/>
      <c r="W832" s="5"/>
      <c r="X832" s="5"/>
      <c r="Y832" s="5"/>
    </row>
    <row r="833" spans="1:25">
      <c r="A833" s="5"/>
      <c r="B833" s="5"/>
      <c r="C833" s="12"/>
      <c r="D833" s="12"/>
      <c r="E833" s="12"/>
      <c r="F833" s="5"/>
      <c r="G833" s="5"/>
      <c r="H833" s="5"/>
      <c r="I833" s="5"/>
      <c r="J833" s="5"/>
      <c r="K833" s="5"/>
      <c r="L833" s="5"/>
      <c r="M833" s="5"/>
      <c r="N833" s="5"/>
      <c r="O833" s="5"/>
      <c r="P833" s="5"/>
      <c r="Q833" s="5"/>
      <c r="R833" s="5"/>
      <c r="S833" s="5"/>
      <c r="T833" s="5"/>
      <c r="U833" s="5"/>
      <c r="V833" s="5"/>
      <c r="W833" s="5"/>
      <c r="X833" s="5"/>
      <c r="Y833" s="5"/>
    </row>
    <row r="834" spans="1:25">
      <c r="A834" s="5"/>
      <c r="B834" s="5"/>
      <c r="C834" s="12"/>
      <c r="D834" s="12"/>
      <c r="E834" s="12"/>
      <c r="F834" s="5"/>
      <c r="G834" s="5"/>
      <c r="H834" s="5"/>
      <c r="I834" s="5"/>
      <c r="J834" s="5"/>
      <c r="K834" s="5"/>
      <c r="L834" s="5"/>
      <c r="M834" s="5"/>
      <c r="N834" s="5"/>
      <c r="O834" s="5"/>
      <c r="P834" s="5"/>
      <c r="Q834" s="5"/>
      <c r="R834" s="5"/>
      <c r="S834" s="5"/>
      <c r="T834" s="5"/>
      <c r="U834" s="5"/>
      <c r="V834" s="5"/>
      <c r="W834" s="5"/>
      <c r="X834" s="5"/>
      <c r="Y834" s="5"/>
    </row>
    <row r="835" spans="1:25">
      <c r="A835" s="5"/>
      <c r="B835" s="5"/>
      <c r="C835" s="12"/>
      <c r="D835" s="12"/>
      <c r="E835" s="12"/>
      <c r="F835" s="5"/>
      <c r="G835" s="5"/>
      <c r="H835" s="5"/>
      <c r="I835" s="5"/>
      <c r="J835" s="5"/>
      <c r="K835" s="5"/>
      <c r="L835" s="5"/>
      <c r="M835" s="5"/>
      <c r="N835" s="5"/>
      <c r="O835" s="5"/>
      <c r="P835" s="5"/>
      <c r="Q835" s="5"/>
      <c r="R835" s="5"/>
      <c r="S835" s="5"/>
      <c r="T835" s="5"/>
      <c r="U835" s="5"/>
      <c r="V835" s="5"/>
      <c r="W835" s="5"/>
      <c r="X835" s="5"/>
      <c r="Y835" s="5"/>
    </row>
    <row r="836" spans="1:25">
      <c r="A836" s="5"/>
      <c r="B836" s="5"/>
      <c r="C836" s="12"/>
      <c r="D836" s="12"/>
      <c r="E836" s="12"/>
      <c r="F836" s="5"/>
      <c r="G836" s="5"/>
      <c r="H836" s="5"/>
      <c r="I836" s="5"/>
      <c r="J836" s="5"/>
      <c r="K836" s="5"/>
      <c r="L836" s="5"/>
      <c r="M836" s="5"/>
      <c r="N836" s="5"/>
      <c r="O836" s="5"/>
      <c r="P836" s="5"/>
      <c r="Q836" s="5"/>
      <c r="R836" s="5"/>
      <c r="S836" s="5"/>
      <c r="T836" s="5"/>
      <c r="U836" s="5"/>
      <c r="V836" s="5"/>
      <c r="W836" s="5"/>
      <c r="X836" s="5"/>
      <c r="Y836" s="5"/>
    </row>
    <row r="837" spans="1:25">
      <c r="A837" s="5"/>
      <c r="B837" s="5"/>
      <c r="C837" s="12"/>
      <c r="D837" s="12"/>
      <c r="E837" s="12"/>
      <c r="F837" s="5"/>
      <c r="G837" s="5"/>
      <c r="H837" s="5"/>
      <c r="I837" s="5"/>
      <c r="J837" s="5"/>
      <c r="K837" s="5"/>
      <c r="L837" s="5"/>
      <c r="M837" s="5"/>
      <c r="N837" s="5"/>
      <c r="O837" s="5"/>
      <c r="P837" s="5"/>
      <c r="Q837" s="5"/>
      <c r="R837" s="5"/>
      <c r="S837" s="5"/>
      <c r="T837" s="5"/>
      <c r="U837" s="5"/>
      <c r="V837" s="5"/>
      <c r="W837" s="5"/>
      <c r="X837" s="5"/>
      <c r="Y837" s="5"/>
    </row>
    <row r="838" spans="1:25">
      <c r="A838" s="5"/>
      <c r="B838" s="5"/>
      <c r="C838" s="12"/>
      <c r="D838" s="12"/>
      <c r="E838" s="12"/>
      <c r="F838" s="5"/>
      <c r="G838" s="5"/>
      <c r="H838" s="5"/>
      <c r="I838" s="5"/>
      <c r="J838" s="5"/>
      <c r="K838" s="5"/>
      <c r="L838" s="5"/>
      <c r="M838" s="5"/>
      <c r="N838" s="5"/>
      <c r="O838" s="5"/>
      <c r="P838" s="5"/>
      <c r="Q838" s="5"/>
      <c r="R838" s="5"/>
      <c r="S838" s="5"/>
      <c r="T838" s="5"/>
      <c r="U838" s="5"/>
      <c r="V838" s="5"/>
      <c r="W838" s="5"/>
      <c r="X838" s="5"/>
      <c r="Y838" s="5"/>
    </row>
    <row r="839" spans="1:25">
      <c r="A839" s="5"/>
      <c r="B839" s="5"/>
      <c r="C839" s="12"/>
      <c r="D839" s="12"/>
      <c r="E839" s="12"/>
      <c r="F839" s="5"/>
      <c r="G839" s="5"/>
      <c r="H839" s="5"/>
      <c r="I839" s="5"/>
      <c r="J839" s="5"/>
      <c r="K839" s="5"/>
      <c r="L839" s="5"/>
      <c r="M839" s="5"/>
      <c r="N839" s="5"/>
      <c r="O839" s="5"/>
      <c r="P839" s="5"/>
      <c r="Q839" s="5"/>
      <c r="R839" s="5"/>
      <c r="S839" s="5"/>
      <c r="T839" s="5"/>
      <c r="U839" s="5"/>
      <c r="V839" s="5"/>
      <c r="W839" s="5"/>
      <c r="X839" s="5"/>
      <c r="Y839" s="5"/>
    </row>
    <row r="840" spans="1:25">
      <c r="A840" s="5"/>
      <c r="B840" s="5"/>
      <c r="C840" s="12"/>
      <c r="D840" s="12"/>
      <c r="E840" s="12"/>
      <c r="F840" s="5"/>
      <c r="G840" s="5"/>
      <c r="H840" s="5"/>
      <c r="I840" s="5"/>
      <c r="J840" s="5"/>
      <c r="K840" s="5"/>
      <c r="L840" s="5"/>
      <c r="M840" s="5"/>
      <c r="N840" s="5"/>
      <c r="O840" s="5"/>
      <c r="P840" s="5"/>
      <c r="Q840" s="5"/>
      <c r="R840" s="5"/>
      <c r="S840" s="5"/>
      <c r="T840" s="5"/>
      <c r="U840" s="5"/>
      <c r="V840" s="5"/>
      <c r="W840" s="5"/>
      <c r="X840" s="5"/>
      <c r="Y840" s="5"/>
    </row>
    <row r="841" spans="1:25">
      <c r="A841" s="5"/>
      <c r="B841" s="5"/>
      <c r="C841" s="12"/>
      <c r="D841" s="12"/>
      <c r="E841" s="12"/>
      <c r="F841" s="5"/>
      <c r="G841" s="5"/>
      <c r="H841" s="5"/>
      <c r="I841" s="5"/>
      <c r="J841" s="5"/>
      <c r="K841" s="5"/>
      <c r="L841" s="5"/>
      <c r="M841" s="5"/>
      <c r="N841" s="5"/>
      <c r="O841" s="5"/>
      <c r="P841" s="5"/>
      <c r="Q841" s="5"/>
      <c r="R841" s="5"/>
      <c r="S841" s="5"/>
      <c r="T841" s="5"/>
      <c r="U841" s="5"/>
      <c r="V841" s="5"/>
      <c r="W841" s="5"/>
      <c r="X841" s="5"/>
      <c r="Y841" s="5"/>
    </row>
    <row r="842" spans="1:25">
      <c r="A842" s="5"/>
      <c r="B842" s="5"/>
      <c r="C842" s="12"/>
      <c r="D842" s="12"/>
      <c r="E842" s="12"/>
      <c r="F842" s="5"/>
      <c r="G842" s="5"/>
      <c r="H842" s="5"/>
      <c r="I842" s="5"/>
      <c r="J842" s="5"/>
      <c r="K842" s="5"/>
      <c r="L842" s="5"/>
      <c r="M842" s="5"/>
      <c r="N842" s="5"/>
      <c r="O842" s="5"/>
      <c r="P842" s="5"/>
      <c r="Q842" s="5"/>
      <c r="R842" s="5"/>
      <c r="S842" s="5"/>
      <c r="T842" s="5"/>
      <c r="U842" s="5"/>
      <c r="V842" s="5"/>
      <c r="W842" s="5"/>
      <c r="X842" s="5"/>
      <c r="Y842" s="5"/>
    </row>
    <row r="843" spans="1:25">
      <c r="A843" s="5"/>
      <c r="B843" s="5"/>
      <c r="C843" s="12"/>
      <c r="D843" s="12"/>
      <c r="E843" s="12"/>
      <c r="F843" s="5"/>
      <c r="G843" s="5"/>
      <c r="H843" s="5"/>
      <c r="I843" s="5"/>
      <c r="J843" s="5"/>
      <c r="K843" s="5"/>
      <c r="L843" s="5"/>
      <c r="M843" s="5"/>
      <c r="N843" s="5"/>
      <c r="O843" s="5"/>
      <c r="P843" s="5"/>
      <c r="Q843" s="5"/>
      <c r="R843" s="5"/>
      <c r="S843" s="5"/>
      <c r="T843" s="5"/>
      <c r="U843" s="5"/>
      <c r="V843" s="5"/>
      <c r="W843" s="5"/>
      <c r="X843" s="5"/>
      <c r="Y843" s="5"/>
    </row>
    <row r="844" spans="1:25">
      <c r="A844" s="5"/>
      <c r="B844" s="5"/>
      <c r="C844" s="12"/>
      <c r="D844" s="12"/>
      <c r="E844" s="12"/>
      <c r="F844" s="5"/>
      <c r="G844" s="5"/>
      <c r="H844" s="5"/>
      <c r="I844" s="5"/>
      <c r="J844" s="5"/>
      <c r="K844" s="5"/>
      <c r="L844" s="5"/>
      <c r="M844" s="5"/>
      <c r="N844" s="5"/>
      <c r="O844" s="5"/>
      <c r="P844" s="5"/>
      <c r="Q844" s="5"/>
      <c r="R844" s="5"/>
      <c r="S844" s="5"/>
      <c r="T844" s="5"/>
      <c r="U844" s="5"/>
      <c r="V844" s="5"/>
      <c r="W844" s="5"/>
      <c r="X844" s="5"/>
      <c r="Y844" s="5"/>
    </row>
    <row r="845" spans="1:25">
      <c r="A845" s="5"/>
      <c r="B845" s="5"/>
      <c r="C845" s="12"/>
      <c r="D845" s="12"/>
      <c r="E845" s="12"/>
      <c r="F845" s="5"/>
      <c r="G845" s="5"/>
      <c r="H845" s="5"/>
      <c r="I845" s="5"/>
      <c r="J845" s="5"/>
      <c r="K845" s="5"/>
      <c r="L845" s="5"/>
      <c r="M845" s="5"/>
      <c r="N845" s="5"/>
      <c r="O845" s="5"/>
      <c r="P845" s="5"/>
      <c r="Q845" s="5"/>
      <c r="R845" s="5"/>
      <c r="S845" s="5"/>
      <c r="T845" s="5"/>
      <c r="U845" s="5"/>
      <c r="V845" s="5"/>
      <c r="W845" s="5"/>
      <c r="X845" s="5"/>
      <c r="Y845" s="5"/>
    </row>
    <row r="846" spans="1:25">
      <c r="A846" s="5"/>
      <c r="B846" s="5"/>
      <c r="C846" s="12"/>
      <c r="D846" s="12"/>
      <c r="E846" s="12"/>
      <c r="F846" s="5"/>
      <c r="G846" s="5"/>
      <c r="H846" s="5"/>
      <c r="I846" s="5"/>
      <c r="J846" s="5"/>
      <c r="K846" s="5"/>
      <c r="L846" s="5"/>
      <c r="M846" s="5"/>
      <c r="N846" s="5"/>
      <c r="O846" s="5"/>
      <c r="P846" s="5"/>
      <c r="Q846" s="5"/>
      <c r="R846" s="5"/>
      <c r="S846" s="5"/>
      <c r="T846" s="5"/>
      <c r="U846" s="5"/>
      <c r="V846" s="5"/>
      <c r="W846" s="5"/>
      <c r="X846" s="5"/>
      <c r="Y846" s="5"/>
    </row>
    <row r="847" spans="1:25">
      <c r="A847" s="5"/>
      <c r="B847" s="5"/>
      <c r="C847" s="12"/>
      <c r="D847" s="12"/>
      <c r="E847" s="12"/>
      <c r="F847" s="5"/>
      <c r="G847" s="5"/>
      <c r="H847" s="5"/>
      <c r="I847" s="5"/>
      <c r="J847" s="5"/>
      <c r="K847" s="5"/>
      <c r="L847" s="5"/>
      <c r="M847" s="5"/>
      <c r="N847" s="5"/>
      <c r="O847" s="5"/>
      <c r="P847" s="5"/>
      <c r="Q847" s="5"/>
      <c r="R847" s="5"/>
      <c r="S847" s="5"/>
      <c r="T847" s="5"/>
      <c r="U847" s="5"/>
      <c r="V847" s="5"/>
      <c r="W847" s="5"/>
      <c r="X847" s="5"/>
      <c r="Y847" s="5"/>
    </row>
    <row r="848" spans="1:25">
      <c r="A848" s="5"/>
      <c r="B848" s="5"/>
      <c r="C848" s="12"/>
      <c r="D848" s="12"/>
      <c r="E848" s="12"/>
      <c r="F848" s="5"/>
      <c r="G848" s="5"/>
      <c r="H848" s="5"/>
      <c r="I848" s="5"/>
      <c r="J848" s="5"/>
      <c r="K848" s="5"/>
      <c r="L848" s="5"/>
      <c r="M848" s="5"/>
      <c r="N848" s="5"/>
      <c r="O848" s="5"/>
      <c r="P848" s="5"/>
      <c r="Q848" s="5"/>
      <c r="R848" s="5"/>
      <c r="S848" s="5"/>
      <c r="T848" s="5"/>
      <c r="U848" s="5"/>
      <c r="V848" s="5"/>
      <c r="W848" s="5"/>
      <c r="X848" s="5"/>
      <c r="Y848" s="5"/>
    </row>
    <row r="849" spans="1:25">
      <c r="A849" s="5"/>
      <c r="B849" s="5"/>
      <c r="C849" s="12"/>
      <c r="D849" s="12"/>
      <c r="E849" s="12"/>
      <c r="F849" s="5"/>
      <c r="G849" s="5"/>
      <c r="H849" s="5"/>
      <c r="I849" s="5"/>
      <c r="J849" s="5"/>
      <c r="K849" s="5"/>
      <c r="L849" s="5"/>
      <c r="M849" s="5"/>
      <c r="N849" s="5"/>
      <c r="O849" s="5"/>
      <c r="P849" s="5"/>
      <c r="Q849" s="5"/>
      <c r="R849" s="5"/>
      <c r="S849" s="5"/>
      <c r="T849" s="5"/>
      <c r="U849" s="5"/>
      <c r="V849" s="5"/>
      <c r="W849" s="5"/>
      <c r="X849" s="5"/>
      <c r="Y849" s="5"/>
    </row>
    <row r="850" spans="1:25">
      <c r="A850" s="5"/>
      <c r="B850" s="5"/>
      <c r="C850" s="12"/>
      <c r="D850" s="12"/>
      <c r="E850" s="12"/>
      <c r="F850" s="5"/>
      <c r="G850" s="5"/>
      <c r="H850" s="5"/>
      <c r="I850" s="5"/>
      <c r="J850" s="5"/>
      <c r="K850" s="5"/>
      <c r="L850" s="5"/>
      <c r="M850" s="5"/>
      <c r="N850" s="5"/>
      <c r="O850" s="5"/>
      <c r="P850" s="5"/>
      <c r="Q850" s="5"/>
      <c r="R850" s="5"/>
      <c r="S850" s="5"/>
      <c r="T850" s="5"/>
      <c r="U850" s="5"/>
      <c r="V850" s="5"/>
      <c r="W850" s="5"/>
      <c r="X850" s="5"/>
      <c r="Y850" s="5"/>
    </row>
    <row r="851" spans="1:25">
      <c r="A851" s="5"/>
      <c r="B851" s="5"/>
      <c r="C851" s="12"/>
      <c r="D851" s="12"/>
      <c r="E851" s="12"/>
      <c r="F851" s="5"/>
      <c r="G851" s="5"/>
      <c r="H851" s="5"/>
      <c r="I851" s="5"/>
      <c r="J851" s="5"/>
      <c r="K851" s="5"/>
      <c r="L851" s="5"/>
      <c r="M851" s="5"/>
      <c r="N851" s="5"/>
      <c r="O851" s="5"/>
      <c r="P851" s="5"/>
      <c r="Q851" s="5"/>
      <c r="R851" s="5"/>
      <c r="S851" s="5"/>
      <c r="T851" s="5"/>
      <c r="U851" s="5"/>
      <c r="V851" s="5"/>
      <c r="W851" s="5"/>
      <c r="X851" s="5"/>
      <c r="Y851" s="5"/>
    </row>
    <row r="852" spans="1:25">
      <c r="A852" s="5"/>
      <c r="B852" s="5"/>
      <c r="C852" s="12"/>
      <c r="D852" s="12"/>
      <c r="E852" s="12"/>
      <c r="F852" s="5"/>
      <c r="G852" s="5"/>
      <c r="H852" s="5"/>
      <c r="I852" s="5"/>
      <c r="J852" s="5"/>
      <c r="K852" s="5"/>
      <c r="L852" s="5"/>
      <c r="M852" s="5"/>
      <c r="N852" s="5"/>
      <c r="O852" s="5"/>
      <c r="P852" s="5"/>
      <c r="Q852" s="5"/>
      <c r="R852" s="5"/>
      <c r="S852" s="5"/>
      <c r="T852" s="5"/>
      <c r="U852" s="5"/>
      <c r="V852" s="5"/>
      <c r="W852" s="5"/>
      <c r="X852" s="5"/>
      <c r="Y852" s="5"/>
    </row>
    <row r="853" spans="1:25">
      <c r="A853" s="5"/>
      <c r="B853" s="5"/>
      <c r="C853" s="12"/>
      <c r="D853" s="12"/>
      <c r="E853" s="12"/>
      <c r="F853" s="5"/>
      <c r="G853" s="5"/>
      <c r="H853" s="5"/>
      <c r="I853" s="5"/>
      <c r="J853" s="5"/>
      <c r="K853" s="5"/>
      <c r="L853" s="5"/>
      <c r="M853" s="5"/>
      <c r="N853" s="5"/>
      <c r="O853" s="5"/>
      <c r="P853" s="5"/>
      <c r="Q853" s="5"/>
      <c r="R853" s="5"/>
      <c r="S853" s="5"/>
      <c r="T853" s="5"/>
      <c r="U853" s="5"/>
      <c r="V853" s="5"/>
      <c r="W853" s="5"/>
      <c r="X853" s="5"/>
      <c r="Y853" s="5"/>
    </row>
    <row r="854" spans="1:25">
      <c r="A854" s="5"/>
      <c r="B854" s="5"/>
      <c r="C854" s="12"/>
      <c r="D854" s="12"/>
      <c r="E854" s="12"/>
      <c r="F854" s="5"/>
      <c r="G854" s="5"/>
      <c r="H854" s="5"/>
      <c r="I854" s="5"/>
      <c r="J854" s="5"/>
      <c r="K854" s="5"/>
      <c r="L854" s="5"/>
      <c r="M854" s="5"/>
      <c r="N854" s="5"/>
      <c r="O854" s="5"/>
      <c r="P854" s="5"/>
      <c r="Q854" s="5"/>
      <c r="R854" s="5"/>
      <c r="S854" s="5"/>
      <c r="T854" s="5"/>
      <c r="U854" s="5"/>
      <c r="V854" s="5"/>
      <c r="W854" s="5"/>
      <c r="X854" s="5"/>
      <c r="Y854" s="5"/>
    </row>
    <row r="855" spans="1:25">
      <c r="A855" s="5"/>
      <c r="B855" s="5"/>
      <c r="C855" s="12"/>
      <c r="D855" s="12"/>
      <c r="E855" s="12"/>
      <c r="F855" s="5"/>
      <c r="G855" s="5"/>
      <c r="H855" s="5"/>
      <c r="I855" s="5"/>
      <c r="J855" s="5"/>
      <c r="K855" s="5"/>
      <c r="L855" s="5"/>
      <c r="M855" s="5"/>
      <c r="N855" s="5"/>
      <c r="O855" s="5"/>
      <c r="P855" s="5"/>
      <c r="Q855" s="5"/>
      <c r="R855" s="5"/>
      <c r="S855" s="5"/>
      <c r="T855" s="5"/>
      <c r="U855" s="5"/>
      <c r="V855" s="5"/>
      <c r="W855" s="5"/>
      <c r="X855" s="5"/>
      <c r="Y855" s="5"/>
    </row>
    <row r="856" spans="1:25">
      <c r="A856" s="5"/>
      <c r="B856" s="5"/>
      <c r="C856" s="12"/>
      <c r="D856" s="12"/>
      <c r="E856" s="12"/>
      <c r="F856" s="5"/>
      <c r="G856" s="5"/>
      <c r="H856" s="5"/>
      <c r="I856" s="5"/>
      <c r="J856" s="5"/>
      <c r="K856" s="5"/>
      <c r="L856" s="5"/>
      <c r="M856" s="5"/>
      <c r="N856" s="5"/>
      <c r="O856" s="5"/>
      <c r="P856" s="5"/>
      <c r="Q856" s="5"/>
      <c r="R856" s="5"/>
      <c r="S856" s="5"/>
      <c r="T856" s="5"/>
      <c r="U856" s="5"/>
      <c r="V856" s="5"/>
      <c r="W856" s="5"/>
      <c r="X856" s="5"/>
      <c r="Y856" s="5"/>
    </row>
    <row r="857" spans="1:25">
      <c r="A857" s="5"/>
      <c r="B857" s="5"/>
      <c r="C857" s="12"/>
      <c r="D857" s="12"/>
      <c r="E857" s="12"/>
      <c r="F857" s="5"/>
      <c r="G857" s="5"/>
      <c r="H857" s="5"/>
      <c r="I857" s="5"/>
      <c r="J857" s="5"/>
      <c r="K857" s="5"/>
      <c r="L857" s="5"/>
      <c r="M857" s="5"/>
      <c r="N857" s="5"/>
      <c r="O857" s="5"/>
      <c r="P857" s="5"/>
      <c r="Q857" s="5"/>
      <c r="R857" s="5"/>
      <c r="S857" s="5"/>
      <c r="T857" s="5"/>
      <c r="U857" s="5"/>
      <c r="V857" s="5"/>
      <c r="W857" s="5"/>
      <c r="X857" s="5"/>
      <c r="Y857" s="5"/>
    </row>
    <row r="858" spans="1:25">
      <c r="A858" s="5"/>
      <c r="B858" s="5"/>
      <c r="C858" s="12"/>
      <c r="D858" s="12"/>
      <c r="E858" s="12"/>
      <c r="F858" s="5"/>
      <c r="G858" s="5"/>
      <c r="H858" s="5"/>
      <c r="I858" s="5"/>
      <c r="J858" s="5"/>
      <c r="K858" s="5"/>
      <c r="L858" s="5"/>
      <c r="M858" s="5"/>
      <c r="N858" s="5"/>
      <c r="O858" s="5"/>
      <c r="P858" s="5"/>
      <c r="Q858" s="5"/>
      <c r="R858" s="5"/>
      <c r="S858" s="5"/>
      <c r="T858" s="5"/>
      <c r="U858" s="5"/>
      <c r="V858" s="5"/>
      <c r="W858" s="5"/>
      <c r="X858" s="5"/>
      <c r="Y858" s="5"/>
    </row>
    <row r="859" spans="1:25">
      <c r="A859" s="5"/>
      <c r="B859" s="5"/>
      <c r="C859" s="12"/>
      <c r="D859" s="12"/>
      <c r="E859" s="12"/>
      <c r="F859" s="5"/>
      <c r="G859" s="5"/>
      <c r="H859" s="5"/>
      <c r="I859" s="5"/>
      <c r="J859" s="5"/>
      <c r="K859" s="5"/>
      <c r="L859" s="5"/>
      <c r="M859" s="5"/>
      <c r="N859" s="5"/>
      <c r="O859" s="5"/>
      <c r="P859" s="5"/>
      <c r="Q859" s="5"/>
      <c r="R859" s="5"/>
      <c r="S859" s="5"/>
      <c r="T859" s="5"/>
      <c r="U859" s="5"/>
      <c r="V859" s="5"/>
      <c r="W859" s="5"/>
      <c r="X859" s="5"/>
      <c r="Y859" s="5"/>
    </row>
    <row r="860" spans="1:25">
      <c r="A860" s="5"/>
      <c r="B860" s="5"/>
      <c r="C860" s="12"/>
      <c r="D860" s="12"/>
      <c r="E860" s="12"/>
      <c r="F860" s="5"/>
      <c r="G860" s="5"/>
      <c r="H860" s="5"/>
      <c r="I860" s="5"/>
      <c r="J860" s="5"/>
      <c r="K860" s="5"/>
      <c r="L860" s="5"/>
      <c r="M860" s="5"/>
      <c r="N860" s="5"/>
      <c r="O860" s="5"/>
      <c r="P860" s="5"/>
      <c r="Q860" s="5"/>
      <c r="R860" s="5"/>
      <c r="S860" s="5"/>
      <c r="T860" s="5"/>
      <c r="U860" s="5"/>
      <c r="V860" s="5"/>
      <c r="W860" s="5"/>
      <c r="X860" s="5"/>
      <c r="Y860" s="5"/>
    </row>
    <row r="861" spans="1:25">
      <c r="A861" s="5"/>
      <c r="B861" s="5"/>
      <c r="C861" s="12"/>
      <c r="D861" s="12"/>
      <c r="E861" s="12"/>
      <c r="F861" s="5"/>
      <c r="G861" s="5"/>
      <c r="H861" s="5"/>
      <c r="I861" s="5"/>
      <c r="J861" s="5"/>
      <c r="K861" s="5"/>
      <c r="L861" s="5"/>
      <c r="M861" s="5"/>
      <c r="N861" s="5"/>
      <c r="O861" s="5"/>
      <c r="P861" s="5"/>
      <c r="Q861" s="5"/>
      <c r="R861" s="5"/>
      <c r="S861" s="5"/>
      <c r="T861" s="5"/>
      <c r="U861" s="5"/>
      <c r="V861" s="5"/>
      <c r="W861" s="5"/>
      <c r="X861" s="5"/>
      <c r="Y861" s="5"/>
    </row>
    <row r="862" spans="1:25">
      <c r="A862" s="5"/>
      <c r="B862" s="5"/>
      <c r="C862" s="12"/>
      <c r="D862" s="12"/>
      <c r="E862" s="12"/>
      <c r="F862" s="5"/>
      <c r="G862" s="5"/>
      <c r="H862" s="5"/>
      <c r="I862" s="5"/>
      <c r="J862" s="5"/>
      <c r="K862" s="5"/>
      <c r="L862" s="5"/>
      <c r="M862" s="5"/>
      <c r="N862" s="5"/>
      <c r="O862" s="5"/>
      <c r="P862" s="5"/>
      <c r="Q862" s="5"/>
      <c r="R862" s="5"/>
      <c r="S862" s="5"/>
      <c r="T862" s="5"/>
      <c r="U862" s="5"/>
      <c r="V862" s="5"/>
      <c r="W862" s="5"/>
      <c r="X862" s="5"/>
      <c r="Y862" s="5"/>
    </row>
    <row r="863" spans="1:25">
      <c r="A863" s="5"/>
      <c r="B863" s="5"/>
      <c r="C863" s="12"/>
      <c r="D863" s="12"/>
      <c r="E863" s="12"/>
      <c r="F863" s="5"/>
      <c r="G863" s="5"/>
      <c r="H863" s="5"/>
      <c r="I863" s="5"/>
      <c r="J863" s="5"/>
      <c r="K863" s="5"/>
      <c r="L863" s="5"/>
      <c r="M863" s="5"/>
      <c r="N863" s="5"/>
      <c r="O863" s="5"/>
      <c r="P863" s="5"/>
      <c r="Q863" s="5"/>
      <c r="R863" s="5"/>
      <c r="S863" s="5"/>
      <c r="T863" s="5"/>
      <c r="U863" s="5"/>
      <c r="V863" s="5"/>
      <c r="W863" s="5"/>
      <c r="X863" s="5"/>
      <c r="Y863" s="5"/>
    </row>
    <row r="864" spans="1:25">
      <c r="A864" s="5"/>
      <c r="B864" s="5"/>
      <c r="C864" s="12"/>
      <c r="D864" s="12"/>
      <c r="E864" s="12"/>
      <c r="F864" s="5"/>
      <c r="G864" s="5"/>
      <c r="H864" s="5"/>
      <c r="I864" s="5"/>
      <c r="J864" s="5"/>
      <c r="K864" s="5"/>
      <c r="L864" s="5"/>
      <c r="M864" s="5"/>
      <c r="N864" s="5"/>
      <c r="O864" s="5"/>
      <c r="P864" s="5"/>
      <c r="Q864" s="5"/>
      <c r="R864" s="5"/>
      <c r="S864" s="5"/>
      <c r="T864" s="5"/>
      <c r="U864" s="5"/>
      <c r="V864" s="5"/>
      <c r="W864" s="5"/>
      <c r="X864" s="5"/>
      <c r="Y864" s="5"/>
    </row>
    <row r="865" spans="1:25">
      <c r="A865" s="5"/>
      <c r="B865" s="5"/>
      <c r="C865" s="12"/>
      <c r="D865" s="12"/>
      <c r="E865" s="12"/>
      <c r="F865" s="5"/>
      <c r="G865" s="5"/>
      <c r="H865" s="5"/>
      <c r="I865" s="5"/>
      <c r="J865" s="5"/>
      <c r="K865" s="5"/>
      <c r="L865" s="5"/>
      <c r="M865" s="5"/>
      <c r="N865" s="5"/>
      <c r="O865" s="5"/>
      <c r="P865" s="5"/>
      <c r="Q865" s="5"/>
      <c r="R865" s="5"/>
      <c r="S865" s="5"/>
      <c r="T865" s="5"/>
      <c r="U865" s="5"/>
      <c r="V865" s="5"/>
      <c r="W865" s="5"/>
      <c r="X865" s="5"/>
      <c r="Y865" s="5"/>
    </row>
    <row r="866" spans="1:25">
      <c r="A866" s="5"/>
      <c r="B866" s="5"/>
      <c r="C866" s="12"/>
      <c r="D866" s="12"/>
      <c r="E866" s="12"/>
      <c r="F866" s="5"/>
      <c r="G866" s="5"/>
      <c r="H866" s="5"/>
      <c r="I866" s="5"/>
      <c r="J866" s="5"/>
      <c r="K866" s="5"/>
      <c r="L866" s="5"/>
      <c r="M866" s="5"/>
      <c r="N866" s="5"/>
      <c r="O866" s="5"/>
      <c r="P866" s="5"/>
      <c r="Q866" s="5"/>
      <c r="R866" s="5"/>
      <c r="S866" s="5"/>
      <c r="T866" s="5"/>
      <c r="U866" s="5"/>
      <c r="V866" s="5"/>
      <c r="W866" s="5"/>
      <c r="X866" s="5"/>
      <c r="Y866" s="5"/>
    </row>
    <row r="867" spans="1:25">
      <c r="A867" s="5"/>
      <c r="B867" s="5"/>
      <c r="C867" s="12"/>
      <c r="D867" s="12"/>
      <c r="E867" s="12"/>
      <c r="F867" s="5"/>
      <c r="G867" s="5"/>
      <c r="H867" s="5"/>
      <c r="I867" s="5"/>
      <c r="J867" s="5"/>
      <c r="K867" s="5"/>
      <c r="L867" s="5"/>
      <c r="M867" s="5"/>
      <c r="N867" s="5"/>
      <c r="O867" s="5"/>
      <c r="P867" s="5"/>
      <c r="Q867" s="5"/>
      <c r="R867" s="5"/>
      <c r="S867" s="5"/>
      <c r="T867" s="5"/>
      <c r="U867" s="5"/>
      <c r="V867" s="5"/>
      <c r="W867" s="5"/>
      <c r="X867" s="5"/>
      <c r="Y867" s="5"/>
    </row>
    <row r="868" spans="1:25">
      <c r="A868" s="5"/>
      <c r="B868" s="5"/>
      <c r="C868" s="12"/>
      <c r="D868" s="12"/>
      <c r="E868" s="12"/>
      <c r="F868" s="5"/>
      <c r="G868" s="5"/>
      <c r="H868" s="5"/>
      <c r="I868" s="5"/>
      <c r="J868" s="5"/>
      <c r="K868" s="5"/>
      <c r="L868" s="5"/>
      <c r="M868" s="5"/>
      <c r="N868" s="5"/>
      <c r="O868" s="5"/>
      <c r="P868" s="5"/>
      <c r="Q868" s="5"/>
      <c r="R868" s="5"/>
      <c r="S868" s="5"/>
      <c r="T868" s="5"/>
      <c r="U868" s="5"/>
      <c r="V868" s="5"/>
      <c r="W868" s="5"/>
      <c r="X868" s="5"/>
      <c r="Y868" s="5"/>
    </row>
    <row r="869" spans="1:25">
      <c r="A869" s="5"/>
      <c r="B869" s="5"/>
      <c r="C869" s="12"/>
      <c r="D869" s="12"/>
      <c r="E869" s="12"/>
      <c r="F869" s="5"/>
      <c r="G869" s="5"/>
      <c r="H869" s="5"/>
      <c r="I869" s="5"/>
      <c r="J869" s="5"/>
      <c r="K869" s="5"/>
      <c r="L869" s="5"/>
      <c r="M869" s="5"/>
      <c r="N869" s="5"/>
      <c r="O869" s="5"/>
      <c r="P869" s="5"/>
      <c r="Q869" s="5"/>
      <c r="R869" s="5"/>
      <c r="S869" s="5"/>
      <c r="T869" s="5"/>
      <c r="U869" s="5"/>
      <c r="V869" s="5"/>
      <c r="W869" s="5"/>
      <c r="X869" s="5"/>
      <c r="Y869" s="5"/>
    </row>
    <row r="870" spans="1:25">
      <c r="A870" s="5"/>
      <c r="B870" s="5"/>
      <c r="C870" s="12"/>
      <c r="D870" s="12"/>
      <c r="E870" s="12"/>
      <c r="F870" s="5"/>
      <c r="G870" s="5"/>
      <c r="H870" s="5"/>
      <c r="I870" s="5"/>
      <c r="J870" s="5"/>
      <c r="K870" s="5"/>
      <c r="L870" s="5"/>
      <c r="M870" s="5"/>
      <c r="N870" s="5"/>
      <c r="O870" s="5"/>
      <c r="P870" s="5"/>
      <c r="Q870" s="5"/>
      <c r="R870" s="5"/>
      <c r="S870" s="5"/>
      <c r="T870" s="5"/>
      <c r="U870" s="5"/>
      <c r="V870" s="5"/>
      <c r="W870" s="5"/>
      <c r="X870" s="5"/>
      <c r="Y870" s="5"/>
    </row>
    <row r="871" spans="1:25">
      <c r="A871" s="5"/>
      <c r="B871" s="5"/>
      <c r="C871" s="12"/>
      <c r="D871" s="12"/>
      <c r="E871" s="12"/>
      <c r="F871" s="5"/>
      <c r="G871" s="5"/>
      <c r="H871" s="5"/>
      <c r="I871" s="5"/>
      <c r="J871" s="5"/>
      <c r="K871" s="5"/>
      <c r="L871" s="5"/>
      <c r="M871" s="5"/>
      <c r="N871" s="5"/>
      <c r="O871" s="5"/>
      <c r="P871" s="5"/>
      <c r="Q871" s="5"/>
      <c r="R871" s="5"/>
      <c r="S871" s="5"/>
      <c r="T871" s="5"/>
      <c r="U871" s="5"/>
      <c r="V871" s="5"/>
      <c r="W871" s="5"/>
      <c r="X871" s="5"/>
      <c r="Y871" s="5"/>
    </row>
    <row r="872" spans="1:25">
      <c r="A872" s="5"/>
      <c r="B872" s="5"/>
      <c r="C872" s="12"/>
      <c r="D872" s="12"/>
      <c r="E872" s="12"/>
      <c r="F872" s="5"/>
      <c r="G872" s="5"/>
      <c r="H872" s="5"/>
      <c r="I872" s="5"/>
      <c r="J872" s="5"/>
      <c r="K872" s="5"/>
      <c r="L872" s="5"/>
      <c r="M872" s="5"/>
      <c r="N872" s="5"/>
      <c r="O872" s="5"/>
      <c r="P872" s="5"/>
      <c r="Q872" s="5"/>
      <c r="R872" s="5"/>
      <c r="S872" s="5"/>
      <c r="T872" s="5"/>
      <c r="U872" s="5"/>
      <c r="V872" s="5"/>
      <c r="W872" s="5"/>
      <c r="X872" s="5"/>
      <c r="Y872" s="5"/>
    </row>
    <row r="873" spans="1:25">
      <c r="A873" s="5"/>
      <c r="B873" s="5"/>
      <c r="C873" s="12"/>
      <c r="D873" s="12"/>
      <c r="E873" s="12"/>
      <c r="F873" s="5"/>
      <c r="G873" s="5"/>
      <c r="H873" s="5"/>
      <c r="I873" s="5"/>
      <c r="J873" s="5"/>
      <c r="K873" s="5"/>
      <c r="L873" s="5"/>
      <c r="M873" s="5"/>
      <c r="N873" s="5"/>
      <c r="O873" s="5"/>
      <c r="P873" s="5"/>
      <c r="Q873" s="5"/>
      <c r="R873" s="5"/>
      <c r="S873" s="5"/>
      <c r="T873" s="5"/>
      <c r="U873" s="5"/>
      <c r="V873" s="5"/>
      <c r="W873" s="5"/>
      <c r="X873" s="5"/>
      <c r="Y873" s="5"/>
    </row>
    <row r="874" spans="1:25">
      <c r="A874" s="5"/>
      <c r="B874" s="5"/>
      <c r="C874" s="12"/>
      <c r="D874" s="12"/>
      <c r="E874" s="12"/>
      <c r="F874" s="5"/>
      <c r="G874" s="5"/>
      <c r="H874" s="5"/>
      <c r="I874" s="5"/>
      <c r="J874" s="5"/>
      <c r="K874" s="5"/>
      <c r="L874" s="5"/>
      <c r="M874" s="5"/>
      <c r="N874" s="5"/>
      <c r="O874" s="5"/>
      <c r="P874" s="5"/>
      <c r="Q874" s="5"/>
      <c r="R874" s="5"/>
      <c r="S874" s="5"/>
      <c r="T874" s="5"/>
      <c r="U874" s="5"/>
      <c r="V874" s="5"/>
      <c r="W874" s="5"/>
      <c r="X874" s="5"/>
      <c r="Y874" s="5"/>
    </row>
    <row r="875" spans="1:25">
      <c r="A875" s="5"/>
      <c r="B875" s="5"/>
      <c r="C875" s="12"/>
      <c r="D875" s="12"/>
      <c r="E875" s="12"/>
      <c r="F875" s="5"/>
      <c r="G875" s="5"/>
      <c r="H875" s="5"/>
      <c r="I875" s="5"/>
      <c r="J875" s="5"/>
      <c r="K875" s="5"/>
      <c r="L875" s="5"/>
      <c r="M875" s="5"/>
      <c r="N875" s="5"/>
      <c r="O875" s="5"/>
      <c r="P875" s="5"/>
      <c r="Q875" s="5"/>
      <c r="R875" s="5"/>
      <c r="S875" s="5"/>
      <c r="T875" s="5"/>
      <c r="U875" s="5"/>
      <c r="V875" s="5"/>
      <c r="W875" s="5"/>
      <c r="X875" s="5"/>
      <c r="Y875" s="5"/>
    </row>
    <row r="876" spans="1:25">
      <c r="A876" s="5"/>
      <c r="B876" s="5"/>
      <c r="C876" s="12"/>
      <c r="D876" s="12"/>
      <c r="E876" s="12"/>
      <c r="F876" s="5"/>
      <c r="G876" s="5"/>
      <c r="H876" s="5"/>
      <c r="I876" s="5"/>
      <c r="J876" s="5"/>
      <c r="K876" s="5"/>
      <c r="L876" s="5"/>
      <c r="M876" s="5"/>
      <c r="N876" s="5"/>
      <c r="O876" s="5"/>
      <c r="P876" s="5"/>
      <c r="Q876" s="5"/>
      <c r="R876" s="5"/>
      <c r="S876" s="5"/>
      <c r="T876" s="5"/>
      <c r="U876" s="5"/>
      <c r="V876" s="5"/>
      <c r="W876" s="5"/>
      <c r="X876" s="5"/>
      <c r="Y876" s="5"/>
    </row>
    <row r="877" spans="1:25">
      <c r="A877" s="5"/>
      <c r="B877" s="5"/>
      <c r="C877" s="12"/>
      <c r="D877" s="12"/>
      <c r="E877" s="12"/>
      <c r="F877" s="5"/>
      <c r="G877" s="5"/>
      <c r="H877" s="5"/>
      <c r="I877" s="5"/>
      <c r="J877" s="5"/>
      <c r="K877" s="5"/>
      <c r="L877" s="5"/>
      <c r="M877" s="5"/>
      <c r="N877" s="5"/>
      <c r="O877" s="5"/>
      <c r="P877" s="5"/>
      <c r="Q877" s="5"/>
      <c r="R877" s="5"/>
      <c r="S877" s="5"/>
      <c r="T877" s="5"/>
      <c r="U877" s="5"/>
      <c r="V877" s="5"/>
      <c r="W877" s="5"/>
      <c r="X877" s="5"/>
      <c r="Y877" s="5"/>
    </row>
    <row r="878" spans="1:25">
      <c r="A878" s="5"/>
      <c r="B878" s="5"/>
      <c r="C878" s="12"/>
      <c r="D878" s="12"/>
      <c r="E878" s="12"/>
      <c r="F878" s="5"/>
      <c r="G878" s="5"/>
      <c r="H878" s="5"/>
      <c r="I878" s="5"/>
      <c r="J878" s="5"/>
      <c r="K878" s="5"/>
      <c r="L878" s="5"/>
      <c r="M878" s="5"/>
      <c r="N878" s="5"/>
      <c r="O878" s="5"/>
      <c r="P878" s="5"/>
      <c r="Q878" s="5"/>
      <c r="R878" s="5"/>
      <c r="S878" s="5"/>
      <c r="T878" s="5"/>
      <c r="U878" s="5"/>
      <c r="V878" s="5"/>
      <c r="W878" s="5"/>
      <c r="X878" s="5"/>
      <c r="Y878" s="5"/>
    </row>
    <row r="879" spans="1:25">
      <c r="A879" s="5"/>
      <c r="B879" s="5"/>
      <c r="C879" s="12"/>
      <c r="D879" s="12"/>
      <c r="E879" s="12"/>
      <c r="F879" s="5"/>
      <c r="G879" s="5"/>
      <c r="H879" s="5"/>
      <c r="I879" s="5"/>
      <c r="J879" s="5"/>
      <c r="K879" s="5"/>
      <c r="L879" s="5"/>
      <c r="M879" s="5"/>
      <c r="N879" s="5"/>
      <c r="O879" s="5"/>
      <c r="P879" s="5"/>
      <c r="Q879" s="5"/>
      <c r="R879" s="5"/>
      <c r="S879" s="5"/>
      <c r="T879" s="5"/>
      <c r="U879" s="5"/>
      <c r="V879" s="5"/>
      <c r="W879" s="5"/>
      <c r="X879" s="5"/>
      <c r="Y879" s="5"/>
    </row>
    <row r="880" spans="1:25">
      <c r="A880" s="5"/>
      <c r="B880" s="5"/>
      <c r="C880" s="12"/>
      <c r="D880" s="12"/>
      <c r="E880" s="12"/>
      <c r="F880" s="5"/>
      <c r="G880" s="5"/>
      <c r="H880" s="5"/>
      <c r="I880" s="5"/>
      <c r="J880" s="5"/>
      <c r="K880" s="5"/>
      <c r="L880" s="5"/>
      <c r="M880" s="5"/>
      <c r="N880" s="5"/>
      <c r="O880" s="5"/>
      <c r="P880" s="5"/>
      <c r="Q880" s="5"/>
      <c r="R880" s="5"/>
      <c r="S880" s="5"/>
      <c r="T880" s="5"/>
      <c r="U880" s="5"/>
      <c r="V880" s="5"/>
      <c r="W880" s="5"/>
      <c r="X880" s="5"/>
      <c r="Y880" s="5"/>
    </row>
    <row r="881" spans="1:25">
      <c r="A881" s="5"/>
      <c r="B881" s="5"/>
      <c r="C881" s="12"/>
      <c r="D881" s="12"/>
      <c r="E881" s="12"/>
      <c r="F881" s="5"/>
      <c r="G881" s="5"/>
      <c r="H881" s="5"/>
      <c r="I881" s="5"/>
      <c r="J881" s="5"/>
      <c r="K881" s="5"/>
      <c r="L881" s="5"/>
      <c r="M881" s="5"/>
      <c r="N881" s="5"/>
      <c r="O881" s="5"/>
      <c r="P881" s="5"/>
      <c r="Q881" s="5"/>
      <c r="R881" s="5"/>
      <c r="S881" s="5"/>
      <c r="T881" s="5"/>
      <c r="U881" s="5"/>
      <c r="V881" s="5"/>
      <c r="W881" s="5"/>
      <c r="X881" s="5"/>
      <c r="Y881" s="5"/>
    </row>
    <row r="882" spans="1:25">
      <c r="A882" s="5"/>
      <c r="B882" s="5"/>
      <c r="C882" s="12"/>
      <c r="D882" s="12"/>
      <c r="E882" s="12"/>
      <c r="F882" s="5"/>
      <c r="G882" s="5"/>
      <c r="H882" s="5"/>
      <c r="I882" s="5"/>
      <c r="J882" s="5"/>
      <c r="K882" s="5"/>
      <c r="L882" s="5"/>
      <c r="M882" s="5"/>
      <c r="N882" s="5"/>
      <c r="O882" s="5"/>
      <c r="P882" s="5"/>
      <c r="Q882" s="5"/>
      <c r="R882" s="5"/>
      <c r="S882" s="5"/>
      <c r="T882" s="5"/>
      <c r="U882" s="5"/>
      <c r="V882" s="5"/>
      <c r="W882" s="5"/>
      <c r="X882" s="5"/>
      <c r="Y882" s="5"/>
    </row>
    <row r="883" spans="1:25">
      <c r="A883" s="5"/>
      <c r="B883" s="5"/>
      <c r="C883" s="12"/>
      <c r="D883" s="12"/>
      <c r="E883" s="12"/>
      <c r="F883" s="5"/>
      <c r="G883" s="5"/>
      <c r="H883" s="5"/>
      <c r="I883" s="5"/>
      <c r="J883" s="5"/>
      <c r="K883" s="5"/>
      <c r="L883" s="5"/>
      <c r="M883" s="5"/>
      <c r="N883" s="5"/>
      <c r="O883" s="5"/>
      <c r="P883" s="5"/>
      <c r="Q883" s="5"/>
      <c r="R883" s="5"/>
      <c r="S883" s="5"/>
      <c r="T883" s="5"/>
      <c r="U883" s="5"/>
      <c r="V883" s="5"/>
      <c r="W883" s="5"/>
      <c r="X883" s="5"/>
      <c r="Y883" s="5"/>
    </row>
    <row r="884" spans="1:25">
      <c r="A884" s="5"/>
      <c r="B884" s="5"/>
      <c r="C884" s="12"/>
      <c r="D884" s="12"/>
      <c r="E884" s="12"/>
      <c r="F884" s="5"/>
      <c r="G884" s="5"/>
      <c r="H884" s="5"/>
      <c r="I884" s="5"/>
      <c r="J884" s="5"/>
      <c r="K884" s="5"/>
      <c r="L884" s="5"/>
      <c r="M884" s="5"/>
      <c r="N884" s="5"/>
      <c r="O884" s="5"/>
      <c r="P884" s="5"/>
      <c r="Q884" s="5"/>
      <c r="R884" s="5"/>
      <c r="S884" s="5"/>
      <c r="T884" s="5"/>
      <c r="U884" s="5"/>
      <c r="V884" s="5"/>
      <c r="W884" s="5"/>
      <c r="X884" s="5"/>
      <c r="Y884" s="5"/>
    </row>
    <row r="885" spans="1:25">
      <c r="A885" s="5"/>
      <c r="B885" s="5"/>
      <c r="C885" s="12"/>
      <c r="D885" s="12"/>
      <c r="E885" s="12"/>
      <c r="F885" s="5"/>
      <c r="G885" s="5"/>
      <c r="H885" s="5"/>
      <c r="I885" s="5"/>
      <c r="J885" s="5"/>
      <c r="K885" s="5"/>
      <c r="L885" s="5"/>
      <c r="M885" s="5"/>
      <c r="N885" s="5"/>
      <c r="O885" s="5"/>
      <c r="P885" s="5"/>
      <c r="Q885" s="5"/>
      <c r="R885" s="5"/>
      <c r="S885" s="5"/>
      <c r="T885" s="5"/>
      <c r="U885" s="5"/>
      <c r="V885" s="5"/>
      <c r="W885" s="5"/>
      <c r="X885" s="5"/>
      <c r="Y885" s="5"/>
    </row>
    <row r="886" spans="1:25">
      <c r="A886" s="5"/>
      <c r="B886" s="5"/>
      <c r="C886" s="12"/>
      <c r="D886" s="12"/>
      <c r="E886" s="12"/>
      <c r="F886" s="5"/>
      <c r="G886" s="5"/>
      <c r="H886" s="5"/>
      <c r="I886" s="5"/>
      <c r="J886" s="5"/>
      <c r="K886" s="5"/>
      <c r="L886" s="5"/>
      <c r="M886" s="5"/>
      <c r="N886" s="5"/>
      <c r="O886" s="5"/>
      <c r="P886" s="5"/>
      <c r="Q886" s="5"/>
      <c r="R886" s="5"/>
      <c r="S886" s="5"/>
      <c r="T886" s="5"/>
      <c r="U886" s="5"/>
      <c r="V886" s="5"/>
      <c r="W886" s="5"/>
      <c r="X886" s="5"/>
      <c r="Y886" s="5"/>
    </row>
    <row r="887" spans="1:25">
      <c r="A887" s="5"/>
      <c r="B887" s="5"/>
      <c r="C887" s="12"/>
      <c r="D887" s="12"/>
      <c r="E887" s="12"/>
      <c r="F887" s="5"/>
      <c r="G887" s="5"/>
      <c r="H887" s="5"/>
      <c r="I887" s="5"/>
      <c r="J887" s="5"/>
      <c r="K887" s="5"/>
      <c r="L887" s="5"/>
      <c r="M887" s="5"/>
      <c r="N887" s="5"/>
      <c r="O887" s="5"/>
      <c r="P887" s="5"/>
      <c r="Q887" s="5"/>
      <c r="R887" s="5"/>
      <c r="S887" s="5"/>
      <c r="T887" s="5"/>
      <c r="U887" s="5"/>
      <c r="V887" s="5"/>
      <c r="W887" s="5"/>
      <c r="X887" s="5"/>
      <c r="Y887" s="5"/>
    </row>
    <row r="888" spans="1:25">
      <c r="A888" s="5"/>
      <c r="B888" s="5"/>
      <c r="C888" s="12"/>
      <c r="D888" s="12"/>
      <c r="E888" s="12"/>
      <c r="F888" s="5"/>
      <c r="G888" s="5"/>
      <c r="H888" s="5"/>
      <c r="I888" s="5"/>
      <c r="J888" s="5"/>
      <c r="K888" s="5"/>
      <c r="L888" s="5"/>
      <c r="M888" s="5"/>
      <c r="N888" s="5"/>
      <c r="O888" s="5"/>
      <c r="P888" s="5"/>
      <c r="Q888" s="5"/>
      <c r="R888" s="5"/>
      <c r="S888" s="5"/>
      <c r="T888" s="5"/>
      <c r="U888" s="5"/>
      <c r="V888" s="5"/>
      <c r="W888" s="5"/>
      <c r="X888" s="5"/>
      <c r="Y888" s="5"/>
    </row>
    <row r="889" spans="1:25">
      <c r="A889" s="5"/>
      <c r="B889" s="5"/>
      <c r="C889" s="12"/>
      <c r="D889" s="12"/>
      <c r="E889" s="12"/>
      <c r="F889" s="5"/>
      <c r="G889" s="5"/>
      <c r="H889" s="5"/>
      <c r="I889" s="5"/>
      <c r="J889" s="5"/>
      <c r="K889" s="5"/>
      <c r="L889" s="5"/>
      <c r="M889" s="5"/>
      <c r="N889" s="5"/>
      <c r="O889" s="5"/>
      <c r="P889" s="5"/>
      <c r="Q889" s="5"/>
      <c r="R889" s="5"/>
      <c r="S889" s="5"/>
      <c r="T889" s="5"/>
      <c r="U889" s="5"/>
      <c r="V889" s="5"/>
      <c r="W889" s="5"/>
      <c r="X889" s="5"/>
      <c r="Y889" s="5"/>
    </row>
    <row r="890" spans="1:25">
      <c r="A890" s="5"/>
      <c r="B890" s="5"/>
      <c r="C890" s="12"/>
      <c r="D890" s="12"/>
      <c r="E890" s="12"/>
      <c r="F890" s="5"/>
      <c r="G890" s="5"/>
      <c r="H890" s="5"/>
      <c r="I890" s="5"/>
      <c r="J890" s="5"/>
      <c r="K890" s="5"/>
      <c r="L890" s="5"/>
      <c r="M890" s="5"/>
      <c r="N890" s="5"/>
      <c r="O890" s="5"/>
      <c r="P890" s="5"/>
      <c r="Q890" s="5"/>
      <c r="R890" s="5"/>
      <c r="S890" s="5"/>
      <c r="T890" s="5"/>
      <c r="U890" s="5"/>
      <c r="V890" s="5"/>
      <c r="W890" s="5"/>
      <c r="X890" s="5"/>
      <c r="Y890" s="5"/>
    </row>
    <row r="891" spans="1:25">
      <c r="A891" s="5"/>
      <c r="B891" s="5"/>
      <c r="C891" s="12"/>
      <c r="D891" s="12"/>
      <c r="E891" s="12"/>
      <c r="F891" s="5"/>
      <c r="G891" s="5"/>
      <c r="H891" s="5"/>
      <c r="I891" s="5"/>
      <c r="J891" s="5"/>
      <c r="K891" s="5"/>
      <c r="L891" s="5"/>
      <c r="M891" s="5"/>
      <c r="N891" s="5"/>
      <c r="O891" s="5"/>
      <c r="P891" s="5"/>
      <c r="Q891" s="5"/>
      <c r="R891" s="5"/>
      <c r="S891" s="5"/>
      <c r="T891" s="5"/>
      <c r="U891" s="5"/>
      <c r="V891" s="5"/>
      <c r="W891" s="5"/>
      <c r="X891" s="5"/>
      <c r="Y891" s="5"/>
    </row>
    <row r="892" spans="1:25">
      <c r="A892" s="5"/>
      <c r="B892" s="5"/>
      <c r="C892" s="12"/>
      <c r="D892" s="12"/>
      <c r="E892" s="12"/>
      <c r="F892" s="5"/>
      <c r="G892" s="5"/>
      <c r="H892" s="5"/>
      <c r="I892" s="5"/>
      <c r="J892" s="5"/>
      <c r="K892" s="5"/>
      <c r="L892" s="5"/>
      <c r="M892" s="5"/>
      <c r="N892" s="5"/>
      <c r="O892" s="5"/>
      <c r="P892" s="5"/>
      <c r="Q892" s="5"/>
      <c r="R892" s="5"/>
      <c r="S892" s="5"/>
      <c r="T892" s="5"/>
      <c r="U892" s="5"/>
      <c r="V892" s="5"/>
      <c r="W892" s="5"/>
      <c r="X892" s="5"/>
      <c r="Y892" s="5"/>
    </row>
    <row r="893" spans="1:25">
      <c r="A893" s="5"/>
      <c r="B893" s="5"/>
      <c r="C893" s="12"/>
      <c r="D893" s="12"/>
      <c r="E893" s="12"/>
      <c r="F893" s="5"/>
      <c r="G893" s="5"/>
      <c r="H893" s="5"/>
      <c r="I893" s="5"/>
      <c r="J893" s="5"/>
      <c r="K893" s="5"/>
      <c r="L893" s="5"/>
      <c r="M893" s="5"/>
      <c r="N893" s="5"/>
      <c r="O893" s="5"/>
      <c r="P893" s="5"/>
      <c r="Q893" s="5"/>
      <c r="R893" s="5"/>
      <c r="S893" s="5"/>
      <c r="T893" s="5"/>
      <c r="U893" s="5"/>
      <c r="V893" s="5"/>
      <c r="W893" s="5"/>
      <c r="X893" s="5"/>
      <c r="Y893" s="5"/>
    </row>
    <row r="894" spans="1:25">
      <c r="A894" s="5"/>
      <c r="B894" s="5"/>
      <c r="C894" s="12"/>
      <c r="D894" s="12"/>
      <c r="E894" s="12"/>
      <c r="F894" s="5"/>
      <c r="G894" s="5"/>
      <c r="H894" s="5"/>
      <c r="I894" s="5"/>
      <c r="J894" s="5"/>
      <c r="K894" s="5"/>
      <c r="L894" s="5"/>
      <c r="M894" s="5"/>
      <c r="N894" s="5"/>
      <c r="O894" s="5"/>
      <c r="P894" s="5"/>
      <c r="Q894" s="5"/>
      <c r="R894" s="5"/>
      <c r="S894" s="5"/>
      <c r="T894" s="5"/>
      <c r="U894" s="5"/>
      <c r="V894" s="5"/>
      <c r="W894" s="5"/>
      <c r="X894" s="5"/>
      <c r="Y894" s="5"/>
    </row>
    <row r="895" spans="1:25">
      <c r="A895" s="5"/>
      <c r="B895" s="5"/>
      <c r="C895" s="12"/>
      <c r="D895" s="12"/>
      <c r="E895" s="12"/>
      <c r="F895" s="5"/>
      <c r="G895" s="5"/>
      <c r="H895" s="5"/>
      <c r="I895" s="5"/>
      <c r="J895" s="5"/>
      <c r="K895" s="5"/>
      <c r="L895" s="5"/>
      <c r="M895" s="5"/>
      <c r="N895" s="5"/>
      <c r="O895" s="5"/>
      <c r="P895" s="5"/>
      <c r="Q895" s="5"/>
      <c r="R895" s="5"/>
      <c r="S895" s="5"/>
      <c r="T895" s="5"/>
      <c r="U895" s="5"/>
      <c r="V895" s="5"/>
      <c r="W895" s="5"/>
      <c r="X895" s="5"/>
      <c r="Y895" s="5"/>
    </row>
    <row r="896" spans="1:25">
      <c r="A896" s="5"/>
      <c r="B896" s="5"/>
      <c r="C896" s="12"/>
      <c r="D896" s="12"/>
      <c r="E896" s="12"/>
      <c r="F896" s="5"/>
      <c r="G896" s="5"/>
      <c r="H896" s="5"/>
      <c r="I896" s="5"/>
      <c r="J896" s="5"/>
      <c r="K896" s="5"/>
      <c r="L896" s="5"/>
      <c r="M896" s="5"/>
      <c r="N896" s="5"/>
      <c r="O896" s="5"/>
      <c r="P896" s="5"/>
      <c r="Q896" s="5"/>
      <c r="R896" s="5"/>
      <c r="S896" s="5"/>
      <c r="T896" s="5"/>
      <c r="U896" s="5"/>
      <c r="V896" s="5"/>
      <c r="W896" s="5"/>
      <c r="X896" s="5"/>
      <c r="Y896" s="5"/>
    </row>
    <row r="897" spans="1:25">
      <c r="A897" s="5"/>
      <c r="B897" s="5"/>
      <c r="C897" s="12"/>
      <c r="D897" s="12"/>
      <c r="E897" s="12"/>
      <c r="F897" s="5"/>
      <c r="G897" s="5"/>
      <c r="H897" s="5"/>
      <c r="I897" s="5"/>
      <c r="J897" s="5"/>
      <c r="K897" s="5"/>
      <c r="L897" s="5"/>
      <c r="M897" s="5"/>
      <c r="N897" s="5"/>
      <c r="O897" s="5"/>
      <c r="P897" s="5"/>
      <c r="Q897" s="5"/>
      <c r="R897" s="5"/>
      <c r="S897" s="5"/>
      <c r="T897" s="5"/>
      <c r="U897" s="5"/>
      <c r="V897" s="5"/>
      <c r="W897" s="5"/>
      <c r="X897" s="5"/>
      <c r="Y897" s="5"/>
    </row>
    <row r="898" spans="1:25">
      <c r="A898" s="5"/>
      <c r="B898" s="5"/>
      <c r="C898" s="12"/>
      <c r="D898" s="12"/>
      <c r="E898" s="12"/>
      <c r="F898" s="5"/>
      <c r="G898" s="5"/>
      <c r="H898" s="5"/>
      <c r="I898" s="5"/>
      <c r="J898" s="5"/>
      <c r="K898" s="5"/>
      <c r="L898" s="5"/>
      <c r="M898" s="5"/>
      <c r="N898" s="5"/>
      <c r="O898" s="5"/>
      <c r="P898" s="5"/>
      <c r="Q898" s="5"/>
      <c r="R898" s="5"/>
      <c r="S898" s="5"/>
      <c r="T898" s="5"/>
      <c r="U898" s="5"/>
      <c r="V898" s="5"/>
      <c r="W898" s="5"/>
      <c r="X898" s="5"/>
      <c r="Y898" s="5"/>
    </row>
    <row r="899" spans="1:25">
      <c r="A899" s="5"/>
      <c r="B899" s="5"/>
      <c r="C899" s="12"/>
      <c r="D899" s="12"/>
      <c r="E899" s="12"/>
      <c r="F899" s="5"/>
      <c r="G899" s="5"/>
      <c r="H899" s="5"/>
      <c r="I899" s="5"/>
      <c r="J899" s="5"/>
      <c r="K899" s="5"/>
      <c r="L899" s="5"/>
      <c r="M899" s="5"/>
      <c r="N899" s="5"/>
      <c r="O899" s="5"/>
      <c r="P899" s="5"/>
      <c r="Q899" s="5"/>
      <c r="R899" s="5"/>
      <c r="S899" s="5"/>
      <c r="T899" s="5"/>
      <c r="U899" s="5"/>
      <c r="V899" s="5"/>
      <c r="W899" s="5"/>
      <c r="X899" s="5"/>
      <c r="Y899" s="5"/>
    </row>
    <row r="900" spans="1:25">
      <c r="A900" s="5"/>
      <c r="B900" s="5"/>
      <c r="C900" s="12"/>
      <c r="D900" s="12"/>
      <c r="E900" s="12"/>
      <c r="F900" s="5"/>
      <c r="G900" s="5"/>
      <c r="H900" s="5"/>
      <c r="I900" s="5"/>
      <c r="J900" s="5"/>
      <c r="K900" s="5"/>
      <c r="L900" s="5"/>
      <c r="M900" s="5"/>
      <c r="N900" s="5"/>
      <c r="O900" s="5"/>
      <c r="P900" s="5"/>
      <c r="Q900" s="5"/>
      <c r="R900" s="5"/>
      <c r="S900" s="5"/>
      <c r="T900" s="5"/>
      <c r="U900" s="5"/>
      <c r="V900" s="5"/>
      <c r="W900" s="5"/>
      <c r="X900" s="5"/>
      <c r="Y900" s="5"/>
    </row>
    <row r="901" spans="1:25">
      <c r="A901" s="5"/>
      <c r="B901" s="5"/>
      <c r="C901" s="12"/>
      <c r="D901" s="12"/>
      <c r="E901" s="12"/>
      <c r="F901" s="5"/>
      <c r="G901" s="5"/>
      <c r="H901" s="5"/>
      <c r="I901" s="5"/>
      <c r="J901" s="5"/>
      <c r="K901" s="5"/>
      <c r="L901" s="5"/>
      <c r="M901" s="5"/>
      <c r="N901" s="5"/>
      <c r="O901" s="5"/>
      <c r="P901" s="5"/>
      <c r="Q901" s="5"/>
      <c r="R901" s="5"/>
      <c r="S901" s="5"/>
      <c r="T901" s="5"/>
      <c r="U901" s="5"/>
      <c r="V901" s="5"/>
      <c r="W901" s="5"/>
      <c r="X901" s="5"/>
      <c r="Y901" s="5"/>
    </row>
    <row r="902" spans="1:25">
      <c r="A902" s="5"/>
      <c r="B902" s="5"/>
      <c r="C902" s="12"/>
      <c r="D902" s="12"/>
      <c r="E902" s="12"/>
      <c r="F902" s="5"/>
      <c r="G902" s="5"/>
      <c r="H902" s="5"/>
      <c r="I902" s="5"/>
      <c r="J902" s="5"/>
      <c r="K902" s="5"/>
      <c r="L902" s="5"/>
      <c r="M902" s="5"/>
      <c r="N902" s="5"/>
      <c r="O902" s="5"/>
      <c r="P902" s="5"/>
      <c r="Q902" s="5"/>
      <c r="R902" s="5"/>
      <c r="S902" s="5"/>
      <c r="T902" s="5"/>
      <c r="U902" s="5"/>
      <c r="V902" s="5"/>
      <c r="W902" s="5"/>
      <c r="X902" s="5"/>
      <c r="Y902" s="5"/>
    </row>
    <row r="903" spans="1:25">
      <c r="A903" s="5"/>
      <c r="B903" s="5"/>
      <c r="C903" s="12"/>
      <c r="D903" s="12"/>
      <c r="E903" s="12"/>
      <c r="F903" s="5"/>
      <c r="G903" s="5"/>
      <c r="H903" s="5"/>
      <c r="I903" s="5"/>
      <c r="J903" s="5"/>
      <c r="K903" s="5"/>
      <c r="L903" s="5"/>
      <c r="M903" s="5"/>
      <c r="N903" s="5"/>
      <c r="O903" s="5"/>
      <c r="P903" s="5"/>
      <c r="Q903" s="5"/>
      <c r="R903" s="5"/>
      <c r="S903" s="5"/>
      <c r="T903" s="5"/>
      <c r="U903" s="5"/>
      <c r="V903" s="5"/>
      <c r="W903" s="5"/>
      <c r="X903" s="5"/>
      <c r="Y903" s="5"/>
    </row>
    <row r="904" spans="1:25">
      <c r="A904" s="5"/>
      <c r="B904" s="5"/>
      <c r="C904" s="12"/>
      <c r="D904" s="12"/>
      <c r="E904" s="12"/>
      <c r="F904" s="5"/>
      <c r="G904" s="5"/>
      <c r="H904" s="5"/>
      <c r="I904" s="5"/>
      <c r="J904" s="5"/>
      <c r="K904" s="5"/>
      <c r="L904" s="5"/>
      <c r="M904" s="5"/>
      <c r="N904" s="5"/>
      <c r="O904" s="5"/>
      <c r="P904" s="5"/>
      <c r="Q904" s="5"/>
      <c r="R904" s="5"/>
      <c r="S904" s="5"/>
      <c r="T904" s="5"/>
      <c r="U904" s="5"/>
      <c r="V904" s="5"/>
      <c r="W904" s="5"/>
      <c r="X904" s="5"/>
      <c r="Y904" s="5"/>
    </row>
    <row r="905" spans="1:25">
      <c r="A905" s="5"/>
      <c r="B905" s="5"/>
      <c r="C905" s="12"/>
      <c r="D905" s="12"/>
      <c r="E905" s="12"/>
      <c r="F905" s="5"/>
      <c r="G905" s="5"/>
      <c r="H905" s="5"/>
      <c r="I905" s="5"/>
      <c r="J905" s="5"/>
      <c r="K905" s="5"/>
      <c r="L905" s="5"/>
      <c r="M905" s="5"/>
      <c r="N905" s="5"/>
      <c r="O905" s="5"/>
      <c r="P905" s="5"/>
      <c r="Q905" s="5"/>
      <c r="R905" s="5"/>
      <c r="S905" s="5"/>
      <c r="T905" s="5"/>
      <c r="U905" s="5"/>
      <c r="V905" s="5"/>
      <c r="W905" s="5"/>
      <c r="X905" s="5"/>
      <c r="Y905" s="5"/>
    </row>
    <row r="906" spans="1:25">
      <c r="A906" s="5"/>
      <c r="B906" s="5"/>
      <c r="C906" s="12"/>
      <c r="D906" s="12"/>
      <c r="E906" s="12"/>
      <c r="F906" s="5"/>
      <c r="G906" s="5"/>
      <c r="H906" s="5"/>
      <c r="I906" s="5"/>
      <c r="J906" s="5"/>
      <c r="K906" s="5"/>
      <c r="L906" s="5"/>
      <c r="M906" s="5"/>
      <c r="N906" s="5"/>
      <c r="O906" s="5"/>
      <c r="P906" s="5"/>
      <c r="Q906" s="5"/>
      <c r="R906" s="5"/>
      <c r="S906" s="5"/>
      <c r="T906" s="5"/>
      <c r="U906" s="5"/>
      <c r="V906" s="5"/>
      <c r="W906" s="5"/>
      <c r="X906" s="5"/>
      <c r="Y906" s="5"/>
    </row>
    <row r="907" spans="1:25">
      <c r="A907" s="5"/>
      <c r="B907" s="5"/>
      <c r="C907" s="12"/>
      <c r="D907" s="12"/>
      <c r="E907" s="12"/>
      <c r="F907" s="5"/>
      <c r="G907" s="5"/>
      <c r="H907" s="5"/>
      <c r="I907" s="5"/>
      <c r="J907" s="5"/>
      <c r="K907" s="5"/>
      <c r="L907" s="5"/>
      <c r="M907" s="5"/>
      <c r="N907" s="5"/>
      <c r="O907" s="5"/>
      <c r="P907" s="5"/>
      <c r="Q907" s="5"/>
      <c r="R907" s="5"/>
      <c r="S907" s="5"/>
      <c r="T907" s="5"/>
      <c r="U907" s="5"/>
      <c r="V907" s="5"/>
      <c r="W907" s="5"/>
      <c r="X907" s="5"/>
      <c r="Y907" s="5"/>
    </row>
    <row r="908" spans="1:25">
      <c r="A908" s="5"/>
      <c r="B908" s="5"/>
      <c r="C908" s="12"/>
      <c r="D908" s="12"/>
      <c r="E908" s="12"/>
      <c r="F908" s="5"/>
      <c r="G908" s="5"/>
      <c r="H908" s="5"/>
      <c r="I908" s="5"/>
      <c r="J908" s="5"/>
      <c r="K908" s="5"/>
      <c r="L908" s="5"/>
      <c r="M908" s="5"/>
      <c r="N908" s="5"/>
      <c r="O908" s="5"/>
      <c r="P908" s="5"/>
      <c r="Q908" s="5"/>
      <c r="R908" s="5"/>
      <c r="S908" s="5"/>
      <c r="T908" s="5"/>
      <c r="U908" s="5"/>
      <c r="V908" s="5"/>
      <c r="W908" s="5"/>
      <c r="X908" s="5"/>
      <c r="Y908" s="5"/>
    </row>
    <row r="909" spans="1:25">
      <c r="A909" s="5"/>
      <c r="B909" s="5"/>
      <c r="C909" s="12"/>
      <c r="D909" s="12"/>
      <c r="E909" s="12"/>
      <c r="F909" s="5"/>
      <c r="G909" s="5"/>
      <c r="H909" s="5"/>
      <c r="I909" s="5"/>
      <c r="J909" s="5"/>
      <c r="K909" s="5"/>
      <c r="L909" s="5"/>
      <c r="M909" s="5"/>
      <c r="N909" s="5"/>
      <c r="O909" s="5"/>
      <c r="P909" s="5"/>
      <c r="Q909" s="5"/>
      <c r="R909" s="5"/>
      <c r="S909" s="5"/>
      <c r="T909" s="5"/>
      <c r="U909" s="5"/>
      <c r="V909" s="5"/>
      <c r="W909" s="5"/>
      <c r="X909" s="5"/>
      <c r="Y909" s="5"/>
    </row>
    <row r="910" spans="1:25">
      <c r="A910" s="5"/>
      <c r="B910" s="5"/>
      <c r="C910" s="12"/>
      <c r="D910" s="12"/>
      <c r="E910" s="12"/>
      <c r="F910" s="5"/>
      <c r="G910" s="5"/>
      <c r="H910" s="5"/>
      <c r="I910" s="5"/>
      <c r="J910" s="5"/>
      <c r="K910" s="5"/>
      <c r="L910" s="5"/>
      <c r="M910" s="5"/>
      <c r="N910" s="5"/>
      <c r="O910" s="5"/>
      <c r="P910" s="5"/>
      <c r="Q910" s="5"/>
      <c r="R910" s="5"/>
      <c r="S910" s="5"/>
      <c r="T910" s="5"/>
      <c r="U910" s="5"/>
      <c r="V910" s="5"/>
      <c r="W910" s="5"/>
      <c r="X910" s="5"/>
      <c r="Y910" s="5"/>
    </row>
    <row r="911" spans="1:25">
      <c r="A911" s="5"/>
      <c r="B911" s="5"/>
      <c r="C911" s="12"/>
      <c r="D911" s="12"/>
      <c r="E911" s="12"/>
      <c r="F911" s="5"/>
      <c r="G911" s="5"/>
      <c r="H911" s="5"/>
      <c r="I911" s="5"/>
      <c r="J911" s="5"/>
      <c r="K911" s="5"/>
      <c r="L911" s="5"/>
      <c r="M911" s="5"/>
      <c r="N911" s="5"/>
      <c r="O911" s="5"/>
      <c r="P911" s="5"/>
      <c r="Q911" s="5"/>
      <c r="R911" s="5"/>
      <c r="S911" s="5"/>
      <c r="T911" s="5"/>
      <c r="U911" s="5"/>
      <c r="V911" s="5"/>
      <c r="W911" s="5"/>
      <c r="X911" s="5"/>
      <c r="Y911" s="5"/>
    </row>
    <row r="912" spans="1:25">
      <c r="A912" s="5"/>
      <c r="B912" s="5"/>
      <c r="C912" s="12"/>
      <c r="D912" s="12"/>
      <c r="E912" s="12"/>
      <c r="F912" s="5"/>
      <c r="G912" s="5"/>
      <c r="H912" s="5"/>
      <c r="I912" s="5"/>
      <c r="J912" s="5"/>
      <c r="K912" s="5"/>
      <c r="L912" s="5"/>
      <c r="M912" s="5"/>
      <c r="N912" s="5"/>
      <c r="O912" s="5"/>
      <c r="P912" s="5"/>
      <c r="Q912" s="5"/>
      <c r="R912" s="5"/>
      <c r="S912" s="5"/>
      <c r="T912" s="5"/>
      <c r="U912" s="5"/>
      <c r="V912" s="5"/>
      <c r="W912" s="5"/>
      <c r="X912" s="5"/>
      <c r="Y912" s="5"/>
    </row>
    <row r="913" spans="1:25">
      <c r="A913" s="5"/>
      <c r="B913" s="5"/>
      <c r="C913" s="12"/>
      <c r="D913" s="12"/>
      <c r="E913" s="12"/>
      <c r="F913" s="5"/>
      <c r="G913" s="5"/>
      <c r="H913" s="5"/>
      <c r="I913" s="5"/>
      <c r="J913" s="5"/>
      <c r="K913" s="5"/>
      <c r="L913" s="5"/>
      <c r="M913" s="5"/>
      <c r="N913" s="5"/>
      <c r="O913" s="5"/>
      <c r="P913" s="5"/>
      <c r="Q913" s="5"/>
      <c r="R913" s="5"/>
      <c r="S913" s="5"/>
      <c r="T913" s="5"/>
      <c r="U913" s="5"/>
      <c r="V913" s="5"/>
      <c r="W913" s="5"/>
      <c r="X913" s="5"/>
      <c r="Y913" s="5"/>
    </row>
    <row r="914" spans="1:25">
      <c r="A914" s="5"/>
      <c r="B914" s="5"/>
      <c r="C914" s="12"/>
      <c r="D914" s="12"/>
      <c r="E914" s="12"/>
      <c r="F914" s="5"/>
      <c r="G914" s="5"/>
      <c r="H914" s="5"/>
      <c r="I914" s="5"/>
      <c r="J914" s="5"/>
      <c r="K914" s="5"/>
      <c r="L914" s="5"/>
      <c r="M914" s="5"/>
      <c r="N914" s="5"/>
      <c r="O914" s="5"/>
      <c r="P914" s="5"/>
      <c r="Q914" s="5"/>
      <c r="R914" s="5"/>
      <c r="S914" s="5"/>
      <c r="T914" s="5"/>
      <c r="U914" s="5"/>
      <c r="V914" s="5"/>
      <c r="W914" s="5"/>
      <c r="X914" s="5"/>
      <c r="Y914" s="5"/>
    </row>
    <row r="915" spans="1:25">
      <c r="A915" s="5"/>
      <c r="B915" s="5"/>
      <c r="C915" s="12"/>
      <c r="D915" s="12"/>
      <c r="E915" s="12"/>
      <c r="F915" s="5"/>
      <c r="G915" s="5"/>
      <c r="H915" s="5"/>
      <c r="I915" s="5"/>
      <c r="J915" s="5"/>
      <c r="K915" s="5"/>
      <c r="L915" s="5"/>
      <c r="M915" s="5"/>
      <c r="N915" s="5"/>
      <c r="O915" s="5"/>
      <c r="P915" s="5"/>
      <c r="Q915" s="5"/>
      <c r="R915" s="5"/>
      <c r="S915" s="5"/>
      <c r="T915" s="5"/>
      <c r="U915" s="5"/>
      <c r="V915" s="5"/>
      <c r="W915" s="5"/>
      <c r="X915" s="5"/>
      <c r="Y915" s="5"/>
    </row>
    <row r="916" spans="1:25">
      <c r="A916" s="5"/>
      <c r="B916" s="5"/>
      <c r="C916" s="12"/>
      <c r="D916" s="12"/>
      <c r="E916" s="12"/>
      <c r="F916" s="5"/>
      <c r="G916" s="5"/>
      <c r="H916" s="5"/>
      <c r="I916" s="5"/>
      <c r="J916" s="5"/>
      <c r="K916" s="5"/>
      <c r="L916" s="5"/>
      <c r="M916" s="5"/>
      <c r="N916" s="5"/>
      <c r="O916" s="5"/>
      <c r="P916" s="5"/>
      <c r="Q916" s="5"/>
      <c r="R916" s="5"/>
      <c r="S916" s="5"/>
      <c r="T916" s="5"/>
      <c r="U916" s="5"/>
      <c r="V916" s="5"/>
      <c r="W916" s="5"/>
      <c r="X916" s="5"/>
      <c r="Y916" s="5"/>
    </row>
    <row r="917" spans="1:25">
      <c r="A917" s="5"/>
      <c r="B917" s="5"/>
      <c r="C917" s="12"/>
      <c r="D917" s="12"/>
      <c r="E917" s="12"/>
      <c r="F917" s="5"/>
      <c r="G917" s="5"/>
      <c r="H917" s="5"/>
      <c r="I917" s="5"/>
      <c r="J917" s="5"/>
      <c r="K917" s="5"/>
      <c r="L917" s="5"/>
      <c r="M917" s="5"/>
      <c r="N917" s="5"/>
      <c r="O917" s="5"/>
      <c r="P917" s="5"/>
      <c r="Q917" s="5"/>
      <c r="R917" s="5"/>
      <c r="S917" s="5"/>
      <c r="T917" s="5"/>
      <c r="U917" s="5"/>
      <c r="V917" s="5"/>
      <c r="W917" s="5"/>
      <c r="X917" s="5"/>
      <c r="Y917" s="5"/>
    </row>
    <row r="918" spans="1:25">
      <c r="A918" s="5"/>
      <c r="B918" s="5"/>
      <c r="C918" s="12"/>
      <c r="D918" s="12"/>
      <c r="E918" s="12"/>
      <c r="F918" s="5"/>
      <c r="G918" s="5"/>
      <c r="H918" s="5"/>
      <c r="I918" s="5"/>
      <c r="J918" s="5"/>
      <c r="K918" s="5"/>
      <c r="L918" s="5"/>
      <c r="M918" s="5"/>
      <c r="N918" s="5"/>
      <c r="O918" s="5"/>
      <c r="P918" s="5"/>
      <c r="Q918" s="5"/>
      <c r="R918" s="5"/>
      <c r="S918" s="5"/>
      <c r="T918" s="5"/>
      <c r="U918" s="5"/>
      <c r="V918" s="5"/>
      <c r="W918" s="5"/>
      <c r="X918" s="5"/>
      <c r="Y918" s="5"/>
    </row>
    <row r="919" spans="1:25">
      <c r="A919" s="5"/>
      <c r="B919" s="5"/>
      <c r="C919" s="12"/>
      <c r="D919" s="12"/>
      <c r="E919" s="12"/>
      <c r="F919" s="5"/>
      <c r="G919" s="5"/>
      <c r="H919" s="5"/>
      <c r="I919" s="5"/>
      <c r="J919" s="5"/>
      <c r="K919" s="5"/>
      <c r="L919" s="5"/>
      <c r="M919" s="5"/>
      <c r="N919" s="5"/>
      <c r="O919" s="5"/>
      <c r="P919" s="5"/>
      <c r="Q919" s="5"/>
      <c r="R919" s="5"/>
      <c r="S919" s="5"/>
      <c r="T919" s="5"/>
      <c r="U919" s="5"/>
      <c r="V919" s="5"/>
      <c r="W919" s="5"/>
      <c r="X919" s="5"/>
      <c r="Y919" s="5"/>
    </row>
    <row r="920" spans="1:25">
      <c r="A920" s="5"/>
      <c r="B920" s="5"/>
      <c r="C920" s="12"/>
      <c r="D920" s="12"/>
      <c r="E920" s="12"/>
      <c r="F920" s="5"/>
      <c r="G920" s="5"/>
      <c r="H920" s="5"/>
      <c r="I920" s="5"/>
      <c r="J920" s="5"/>
      <c r="K920" s="5"/>
      <c r="L920" s="5"/>
      <c r="M920" s="5"/>
      <c r="N920" s="5"/>
      <c r="O920" s="5"/>
      <c r="P920" s="5"/>
      <c r="Q920" s="5"/>
      <c r="R920" s="5"/>
      <c r="S920" s="5"/>
      <c r="T920" s="5"/>
      <c r="U920" s="5"/>
      <c r="V920" s="5"/>
      <c r="W920" s="5"/>
      <c r="X920" s="5"/>
      <c r="Y920" s="5"/>
    </row>
    <row r="921" spans="1:25">
      <c r="A921" s="5"/>
      <c r="B921" s="5"/>
      <c r="C921" s="12"/>
      <c r="D921" s="12"/>
      <c r="E921" s="12"/>
      <c r="F921" s="5"/>
      <c r="G921" s="5"/>
      <c r="H921" s="5"/>
      <c r="I921" s="5"/>
      <c r="J921" s="5"/>
      <c r="K921" s="5"/>
      <c r="L921" s="5"/>
      <c r="M921" s="5"/>
      <c r="N921" s="5"/>
      <c r="O921" s="5"/>
      <c r="P921" s="5"/>
      <c r="Q921" s="5"/>
      <c r="R921" s="5"/>
      <c r="S921" s="5"/>
      <c r="T921" s="5"/>
      <c r="U921" s="5"/>
      <c r="V921" s="5"/>
      <c r="W921" s="5"/>
      <c r="X921" s="5"/>
      <c r="Y921" s="5"/>
    </row>
    <row r="922" spans="1:25">
      <c r="A922" s="5"/>
      <c r="B922" s="5"/>
      <c r="C922" s="12"/>
      <c r="D922" s="12"/>
      <c r="E922" s="12"/>
      <c r="F922" s="5"/>
      <c r="G922" s="5"/>
      <c r="H922" s="5"/>
      <c r="I922" s="5"/>
      <c r="J922" s="5"/>
      <c r="K922" s="5"/>
      <c r="L922" s="5"/>
      <c r="M922" s="5"/>
      <c r="N922" s="5"/>
      <c r="O922" s="5"/>
      <c r="P922" s="5"/>
      <c r="Q922" s="5"/>
      <c r="R922" s="5"/>
      <c r="S922" s="5"/>
      <c r="T922" s="5"/>
      <c r="U922" s="5"/>
      <c r="V922" s="5"/>
      <c r="W922" s="5"/>
      <c r="X922" s="5"/>
      <c r="Y922" s="5"/>
    </row>
    <row r="923" spans="1:25">
      <c r="A923" s="5"/>
      <c r="B923" s="5"/>
      <c r="C923" s="12"/>
      <c r="D923" s="12"/>
      <c r="E923" s="12"/>
      <c r="F923" s="5"/>
      <c r="G923" s="5"/>
      <c r="H923" s="5"/>
      <c r="I923" s="5"/>
      <c r="J923" s="5"/>
      <c r="K923" s="5"/>
      <c r="L923" s="5"/>
      <c r="M923" s="5"/>
      <c r="N923" s="5"/>
      <c r="O923" s="5"/>
      <c r="P923" s="5"/>
      <c r="Q923" s="5"/>
      <c r="R923" s="5"/>
      <c r="S923" s="5"/>
      <c r="T923" s="5"/>
      <c r="U923" s="5"/>
      <c r="V923" s="5"/>
      <c r="W923" s="5"/>
      <c r="X923" s="5"/>
      <c r="Y923" s="5"/>
    </row>
    <row r="924" spans="1:25">
      <c r="A924" s="5"/>
      <c r="B924" s="5"/>
      <c r="C924" s="12"/>
      <c r="D924" s="12"/>
      <c r="E924" s="12"/>
      <c r="F924" s="5"/>
      <c r="G924" s="5"/>
      <c r="H924" s="5"/>
      <c r="I924" s="5"/>
      <c r="J924" s="5"/>
      <c r="K924" s="5"/>
      <c r="L924" s="5"/>
      <c r="M924" s="5"/>
      <c r="N924" s="5"/>
      <c r="O924" s="5"/>
      <c r="P924" s="5"/>
      <c r="Q924" s="5"/>
      <c r="R924" s="5"/>
      <c r="S924" s="5"/>
      <c r="T924" s="5"/>
      <c r="U924" s="5"/>
      <c r="V924" s="5"/>
      <c r="W924" s="5"/>
      <c r="X924" s="5"/>
      <c r="Y924" s="5"/>
    </row>
    <row r="925" spans="1:25">
      <c r="A925" s="5"/>
      <c r="B925" s="5"/>
      <c r="C925" s="12"/>
      <c r="D925" s="12"/>
      <c r="E925" s="12"/>
      <c r="F925" s="5"/>
      <c r="G925" s="5"/>
      <c r="H925" s="5"/>
      <c r="I925" s="5"/>
      <c r="J925" s="5"/>
      <c r="K925" s="5"/>
      <c r="L925" s="5"/>
      <c r="M925" s="5"/>
      <c r="N925" s="5"/>
      <c r="O925" s="5"/>
      <c r="P925" s="5"/>
      <c r="Q925" s="5"/>
      <c r="R925" s="5"/>
      <c r="S925" s="5"/>
      <c r="T925" s="5"/>
      <c r="U925" s="5"/>
      <c r="V925" s="5"/>
      <c r="W925" s="5"/>
      <c r="X925" s="5"/>
      <c r="Y925" s="5"/>
    </row>
    <row r="926" spans="1:25">
      <c r="A926" s="5"/>
      <c r="B926" s="5"/>
      <c r="C926" s="12"/>
      <c r="D926" s="12"/>
      <c r="E926" s="12"/>
      <c r="F926" s="5"/>
      <c r="G926" s="5"/>
      <c r="H926" s="5"/>
      <c r="I926" s="5"/>
      <c r="J926" s="5"/>
      <c r="K926" s="5"/>
      <c r="L926" s="5"/>
      <c r="M926" s="5"/>
      <c r="N926" s="5"/>
      <c r="O926" s="5"/>
      <c r="P926" s="5"/>
      <c r="Q926" s="5"/>
      <c r="R926" s="5"/>
      <c r="S926" s="5"/>
      <c r="T926" s="5"/>
      <c r="U926" s="5"/>
      <c r="V926" s="5"/>
      <c r="W926" s="5"/>
      <c r="X926" s="5"/>
      <c r="Y926" s="5"/>
    </row>
    <row r="927" spans="1:25">
      <c r="A927" s="5"/>
      <c r="B927" s="5"/>
      <c r="C927" s="12"/>
      <c r="D927" s="12"/>
      <c r="E927" s="12"/>
      <c r="F927" s="5"/>
      <c r="G927" s="5"/>
      <c r="H927" s="5"/>
      <c r="I927" s="5"/>
      <c r="J927" s="5"/>
      <c r="K927" s="5"/>
      <c r="L927" s="5"/>
      <c r="M927" s="5"/>
      <c r="N927" s="5"/>
      <c r="O927" s="5"/>
      <c r="P927" s="5"/>
      <c r="Q927" s="5"/>
      <c r="R927" s="5"/>
      <c r="S927" s="5"/>
      <c r="T927" s="5"/>
      <c r="U927" s="5"/>
      <c r="V927" s="5"/>
      <c r="W927" s="5"/>
      <c r="X927" s="5"/>
      <c r="Y927" s="5"/>
    </row>
    <row r="928" spans="1:25">
      <c r="A928" s="5"/>
      <c r="B928" s="5"/>
      <c r="C928" s="12"/>
      <c r="D928" s="12"/>
      <c r="E928" s="12"/>
      <c r="F928" s="5"/>
      <c r="G928" s="5"/>
      <c r="H928" s="5"/>
      <c r="I928" s="5"/>
      <c r="J928" s="5"/>
      <c r="K928" s="5"/>
      <c r="L928" s="5"/>
      <c r="M928" s="5"/>
      <c r="N928" s="5"/>
      <c r="O928" s="5"/>
      <c r="P928" s="5"/>
      <c r="Q928" s="5"/>
      <c r="R928" s="5"/>
      <c r="S928" s="5"/>
      <c r="T928" s="5"/>
      <c r="U928" s="5"/>
      <c r="V928" s="5"/>
      <c r="W928" s="5"/>
      <c r="X928" s="5"/>
      <c r="Y928" s="5"/>
    </row>
    <row r="929" spans="1:25">
      <c r="A929" s="5"/>
      <c r="B929" s="5"/>
      <c r="C929" s="12"/>
      <c r="D929" s="12"/>
      <c r="E929" s="12"/>
      <c r="F929" s="5"/>
      <c r="G929" s="5"/>
      <c r="H929" s="5"/>
      <c r="I929" s="5"/>
      <c r="J929" s="5"/>
      <c r="K929" s="5"/>
      <c r="L929" s="5"/>
      <c r="M929" s="5"/>
      <c r="N929" s="5"/>
      <c r="O929" s="5"/>
      <c r="P929" s="5"/>
      <c r="Q929" s="5"/>
      <c r="R929" s="5"/>
      <c r="S929" s="5"/>
      <c r="T929" s="5"/>
      <c r="U929" s="5"/>
      <c r="V929" s="5"/>
      <c r="W929" s="5"/>
      <c r="X929" s="5"/>
      <c r="Y929" s="5"/>
    </row>
    <row r="930" spans="1:25">
      <c r="A930" s="5"/>
      <c r="B930" s="5"/>
      <c r="C930" s="12"/>
      <c r="D930" s="12"/>
      <c r="E930" s="12"/>
      <c r="F930" s="5"/>
      <c r="G930" s="5"/>
      <c r="H930" s="5"/>
      <c r="I930" s="5"/>
      <c r="J930" s="5"/>
      <c r="K930" s="5"/>
      <c r="L930" s="5"/>
      <c r="M930" s="5"/>
      <c r="N930" s="5"/>
      <c r="O930" s="5"/>
      <c r="P930" s="5"/>
      <c r="Q930" s="5"/>
      <c r="R930" s="5"/>
      <c r="S930" s="5"/>
      <c r="T930" s="5"/>
      <c r="U930" s="5"/>
      <c r="V930" s="5"/>
      <c r="W930" s="5"/>
      <c r="X930" s="5"/>
      <c r="Y930" s="5"/>
    </row>
    <row r="931" spans="1:25">
      <c r="A931" s="5"/>
      <c r="B931" s="5"/>
      <c r="C931" s="12"/>
      <c r="D931" s="12"/>
      <c r="E931" s="12"/>
      <c r="F931" s="5"/>
      <c r="G931" s="5"/>
      <c r="H931" s="5"/>
      <c r="I931" s="5"/>
      <c r="J931" s="5"/>
      <c r="K931" s="5"/>
      <c r="L931" s="5"/>
      <c r="M931" s="5"/>
      <c r="N931" s="5"/>
      <c r="O931" s="5"/>
      <c r="P931" s="5"/>
      <c r="Q931" s="5"/>
      <c r="R931" s="5"/>
      <c r="S931" s="5"/>
      <c r="T931" s="5"/>
      <c r="U931" s="5"/>
      <c r="V931" s="5"/>
      <c r="W931" s="5"/>
      <c r="X931" s="5"/>
      <c r="Y931" s="5"/>
    </row>
    <row r="932" spans="1:25">
      <c r="A932" s="5"/>
      <c r="B932" s="5"/>
      <c r="C932" s="12"/>
      <c r="D932" s="12"/>
      <c r="E932" s="12"/>
      <c r="F932" s="5"/>
      <c r="G932" s="5"/>
      <c r="H932" s="5"/>
      <c r="I932" s="5"/>
      <c r="J932" s="5"/>
      <c r="K932" s="5"/>
      <c r="L932" s="5"/>
      <c r="M932" s="5"/>
      <c r="N932" s="5"/>
      <c r="O932" s="5"/>
      <c r="P932" s="5"/>
      <c r="Q932" s="5"/>
      <c r="R932" s="5"/>
      <c r="S932" s="5"/>
      <c r="T932" s="5"/>
      <c r="U932" s="5"/>
      <c r="V932" s="5"/>
      <c r="W932" s="5"/>
      <c r="X932" s="5"/>
      <c r="Y932" s="5"/>
    </row>
    <row r="933" spans="1:25">
      <c r="A933" s="5"/>
      <c r="B933" s="5"/>
      <c r="C933" s="12"/>
      <c r="D933" s="12"/>
      <c r="E933" s="12"/>
      <c r="F933" s="5"/>
      <c r="G933" s="5"/>
      <c r="H933" s="5"/>
      <c r="I933" s="5"/>
      <c r="J933" s="5"/>
      <c r="K933" s="5"/>
      <c r="L933" s="5"/>
      <c r="M933" s="5"/>
      <c r="N933" s="5"/>
      <c r="O933" s="5"/>
      <c r="P933" s="5"/>
      <c r="Q933" s="5"/>
      <c r="R933" s="5"/>
      <c r="S933" s="5"/>
      <c r="T933" s="5"/>
      <c r="U933" s="5"/>
      <c r="V933" s="5"/>
      <c r="W933" s="5"/>
      <c r="X933" s="5"/>
      <c r="Y933" s="5"/>
    </row>
    <row r="934" spans="1:25">
      <c r="A934" s="5"/>
      <c r="B934" s="5"/>
      <c r="C934" s="12"/>
      <c r="D934" s="12"/>
      <c r="E934" s="12"/>
      <c r="F934" s="5"/>
      <c r="G934" s="5"/>
      <c r="H934" s="5"/>
      <c r="I934" s="5"/>
      <c r="J934" s="5"/>
      <c r="K934" s="5"/>
      <c r="L934" s="5"/>
      <c r="M934" s="5"/>
      <c r="N934" s="5"/>
      <c r="O934" s="5"/>
      <c r="P934" s="5"/>
      <c r="Q934" s="5"/>
      <c r="R934" s="5"/>
      <c r="S934" s="5"/>
      <c r="T934" s="5"/>
      <c r="U934" s="5"/>
      <c r="V934" s="5"/>
      <c r="W934" s="5"/>
      <c r="X934" s="5"/>
      <c r="Y934" s="5"/>
    </row>
    <row r="935" spans="1:25">
      <c r="A935" s="5"/>
      <c r="B935" s="5"/>
      <c r="C935" s="12"/>
      <c r="D935" s="12"/>
      <c r="E935" s="12"/>
      <c r="F935" s="5"/>
      <c r="G935" s="5"/>
      <c r="H935" s="5"/>
      <c r="I935" s="5"/>
      <c r="J935" s="5"/>
      <c r="K935" s="5"/>
      <c r="L935" s="5"/>
      <c r="M935" s="5"/>
      <c r="N935" s="5"/>
      <c r="O935" s="5"/>
      <c r="P935" s="5"/>
      <c r="Q935" s="5"/>
      <c r="R935" s="5"/>
      <c r="S935" s="5"/>
      <c r="T935" s="5"/>
      <c r="U935" s="5"/>
      <c r="V935" s="5"/>
      <c r="W935" s="5"/>
      <c r="X935" s="5"/>
      <c r="Y935" s="5"/>
    </row>
    <row r="936" spans="1:25">
      <c r="A936" s="5"/>
      <c r="B936" s="5"/>
      <c r="C936" s="12"/>
      <c r="D936" s="12"/>
      <c r="E936" s="12"/>
      <c r="F936" s="5"/>
      <c r="G936" s="5"/>
      <c r="H936" s="5"/>
      <c r="I936" s="5"/>
      <c r="J936" s="5"/>
      <c r="K936" s="5"/>
      <c r="L936" s="5"/>
      <c r="M936" s="5"/>
      <c r="N936" s="5"/>
      <c r="O936" s="5"/>
      <c r="P936" s="5"/>
      <c r="Q936" s="5"/>
      <c r="R936" s="5"/>
      <c r="S936" s="5"/>
      <c r="T936" s="5"/>
      <c r="U936" s="5"/>
      <c r="V936" s="5"/>
      <c r="W936" s="5"/>
      <c r="X936" s="5"/>
      <c r="Y936" s="5"/>
    </row>
    <row r="937" spans="1:25">
      <c r="A937" s="5"/>
      <c r="B937" s="5"/>
      <c r="C937" s="12"/>
      <c r="D937" s="12"/>
      <c r="E937" s="12"/>
      <c r="F937" s="5"/>
      <c r="G937" s="5"/>
      <c r="H937" s="5"/>
      <c r="I937" s="5"/>
      <c r="J937" s="5"/>
      <c r="K937" s="5"/>
      <c r="L937" s="5"/>
      <c r="M937" s="5"/>
      <c r="N937" s="5"/>
      <c r="O937" s="5"/>
      <c r="P937" s="5"/>
      <c r="Q937" s="5"/>
      <c r="R937" s="5"/>
      <c r="S937" s="5"/>
      <c r="T937" s="5"/>
      <c r="U937" s="5"/>
      <c r="V937" s="5"/>
      <c r="W937" s="5"/>
      <c r="X937" s="5"/>
      <c r="Y937" s="5"/>
    </row>
    <row r="938" spans="1:25">
      <c r="A938" s="5"/>
      <c r="B938" s="5"/>
      <c r="C938" s="12"/>
      <c r="D938" s="12"/>
      <c r="E938" s="12"/>
      <c r="F938" s="5"/>
      <c r="G938" s="5"/>
      <c r="H938" s="5"/>
      <c r="I938" s="5"/>
      <c r="J938" s="5"/>
      <c r="K938" s="5"/>
      <c r="L938" s="5"/>
      <c r="M938" s="5"/>
      <c r="N938" s="5"/>
      <c r="O938" s="5"/>
      <c r="P938" s="5"/>
      <c r="Q938" s="5"/>
      <c r="R938" s="5"/>
      <c r="S938" s="5"/>
      <c r="T938" s="5"/>
      <c r="U938" s="5"/>
      <c r="V938" s="5"/>
      <c r="W938" s="5"/>
      <c r="X938" s="5"/>
      <c r="Y938" s="5"/>
    </row>
    <row r="939" spans="1:25">
      <c r="A939" s="5"/>
      <c r="B939" s="5"/>
      <c r="C939" s="12"/>
      <c r="D939" s="12"/>
      <c r="E939" s="12"/>
      <c r="F939" s="5"/>
      <c r="G939" s="5"/>
      <c r="H939" s="5"/>
      <c r="I939" s="5"/>
      <c r="J939" s="5"/>
      <c r="K939" s="5"/>
      <c r="L939" s="5"/>
      <c r="M939" s="5"/>
      <c r="N939" s="5"/>
      <c r="O939" s="5"/>
      <c r="P939" s="5"/>
      <c r="Q939" s="5"/>
      <c r="R939" s="5"/>
      <c r="S939" s="5"/>
      <c r="T939" s="5"/>
      <c r="U939" s="5"/>
      <c r="V939" s="5"/>
      <c r="W939" s="5"/>
      <c r="X939" s="5"/>
      <c r="Y939" s="5"/>
    </row>
    <row r="940" spans="1:25">
      <c r="A940" s="5"/>
      <c r="B940" s="5"/>
      <c r="C940" s="12"/>
      <c r="D940" s="12"/>
      <c r="E940" s="12"/>
      <c r="F940" s="5"/>
      <c r="G940" s="5"/>
      <c r="H940" s="5"/>
      <c r="I940" s="5"/>
      <c r="J940" s="5"/>
      <c r="K940" s="5"/>
      <c r="L940" s="5"/>
      <c r="M940" s="5"/>
      <c r="N940" s="5"/>
      <c r="O940" s="5"/>
      <c r="P940" s="5"/>
      <c r="Q940" s="5"/>
      <c r="R940" s="5"/>
      <c r="S940" s="5"/>
      <c r="T940" s="5"/>
      <c r="U940" s="5"/>
      <c r="V940" s="5"/>
      <c r="W940" s="5"/>
      <c r="X940" s="5"/>
      <c r="Y940" s="5"/>
    </row>
    <row r="941" spans="1:25">
      <c r="A941" s="5"/>
      <c r="B941" s="5"/>
      <c r="C941" s="12"/>
      <c r="D941" s="12"/>
      <c r="E941" s="12"/>
      <c r="F941" s="5"/>
      <c r="G941" s="5"/>
      <c r="H941" s="5"/>
      <c r="I941" s="5"/>
      <c r="J941" s="5"/>
      <c r="K941" s="5"/>
      <c r="L941" s="5"/>
      <c r="M941" s="5"/>
      <c r="N941" s="5"/>
      <c r="O941" s="5"/>
      <c r="P941" s="5"/>
      <c r="Q941" s="5"/>
      <c r="R941" s="5"/>
      <c r="S941" s="5"/>
      <c r="T941" s="5"/>
      <c r="U941" s="5"/>
      <c r="V941" s="5"/>
      <c r="W941" s="5"/>
      <c r="X941" s="5"/>
      <c r="Y941" s="5"/>
    </row>
    <row r="942" spans="1:25">
      <c r="A942" s="5"/>
      <c r="B942" s="5"/>
      <c r="C942" s="12"/>
      <c r="D942" s="12"/>
      <c r="E942" s="12"/>
      <c r="F942" s="5"/>
      <c r="G942" s="5"/>
      <c r="H942" s="5"/>
      <c r="I942" s="5"/>
      <c r="J942" s="5"/>
      <c r="K942" s="5"/>
      <c r="L942" s="5"/>
      <c r="M942" s="5"/>
      <c r="N942" s="5"/>
      <c r="O942" s="5"/>
      <c r="P942" s="5"/>
      <c r="Q942" s="5"/>
      <c r="R942" s="5"/>
      <c r="S942" s="5"/>
      <c r="T942" s="5"/>
      <c r="U942" s="5"/>
      <c r="V942" s="5"/>
      <c r="W942" s="5"/>
      <c r="X942" s="5"/>
      <c r="Y942" s="5"/>
    </row>
    <row r="943" spans="1:25">
      <c r="A943" s="5"/>
      <c r="B943" s="5"/>
      <c r="C943" s="12"/>
      <c r="D943" s="12"/>
      <c r="E943" s="12"/>
      <c r="F943" s="5"/>
      <c r="G943" s="5"/>
      <c r="H943" s="5"/>
      <c r="I943" s="5"/>
      <c r="J943" s="5"/>
      <c r="K943" s="5"/>
      <c r="L943" s="5"/>
      <c r="M943" s="5"/>
      <c r="N943" s="5"/>
      <c r="O943" s="5"/>
      <c r="P943" s="5"/>
      <c r="Q943" s="5"/>
      <c r="R943" s="5"/>
      <c r="S943" s="5"/>
      <c r="T943" s="5"/>
      <c r="U943" s="5"/>
      <c r="V943" s="5"/>
      <c r="W943" s="5"/>
      <c r="X943" s="5"/>
      <c r="Y943" s="5"/>
    </row>
    <row r="944" spans="1:25">
      <c r="A944" s="5"/>
      <c r="B944" s="5"/>
      <c r="C944" s="12"/>
      <c r="D944" s="12"/>
      <c r="E944" s="12"/>
      <c r="F944" s="5"/>
      <c r="G944" s="5"/>
      <c r="H944" s="5"/>
      <c r="I944" s="5"/>
      <c r="J944" s="5"/>
      <c r="K944" s="5"/>
      <c r="L944" s="5"/>
      <c r="M944" s="5"/>
      <c r="N944" s="5"/>
      <c r="O944" s="5"/>
      <c r="P944" s="5"/>
      <c r="Q944" s="5"/>
      <c r="R944" s="5"/>
      <c r="S944" s="5"/>
      <c r="T944" s="5"/>
      <c r="U944" s="5"/>
      <c r="V944" s="5"/>
      <c r="W944" s="5"/>
      <c r="X944" s="5"/>
      <c r="Y944" s="5"/>
    </row>
    <row r="945" spans="1:25">
      <c r="A945" s="5"/>
      <c r="B945" s="5"/>
      <c r="C945" s="12"/>
      <c r="D945" s="12"/>
      <c r="E945" s="12"/>
      <c r="F945" s="5"/>
      <c r="G945" s="5"/>
      <c r="H945" s="5"/>
      <c r="I945" s="5"/>
      <c r="J945" s="5"/>
      <c r="K945" s="5"/>
      <c r="L945" s="5"/>
      <c r="M945" s="5"/>
      <c r="N945" s="5"/>
      <c r="O945" s="5"/>
      <c r="P945" s="5"/>
      <c r="Q945" s="5"/>
      <c r="R945" s="5"/>
      <c r="S945" s="5"/>
      <c r="T945" s="5"/>
      <c r="U945" s="5"/>
      <c r="V945" s="5"/>
      <c r="W945" s="5"/>
      <c r="X945" s="5"/>
      <c r="Y945" s="5"/>
    </row>
    <row r="946" spans="1:25">
      <c r="A946" s="5"/>
      <c r="B946" s="5"/>
      <c r="C946" s="12"/>
      <c r="D946" s="12"/>
      <c r="E946" s="12"/>
      <c r="F946" s="5"/>
      <c r="G946" s="5"/>
      <c r="H946" s="5"/>
      <c r="I946" s="5"/>
      <c r="J946" s="5"/>
      <c r="K946" s="5"/>
      <c r="L946" s="5"/>
      <c r="M946" s="5"/>
      <c r="N946" s="5"/>
      <c r="O946" s="5"/>
      <c r="P946" s="5"/>
      <c r="Q946" s="5"/>
      <c r="R946" s="5"/>
      <c r="S946" s="5"/>
      <c r="T946" s="5"/>
      <c r="U946" s="5"/>
      <c r="V946" s="5"/>
      <c r="W946" s="5"/>
      <c r="X946" s="5"/>
      <c r="Y946" s="5"/>
    </row>
    <row r="947" spans="1:25">
      <c r="A947" s="5"/>
      <c r="B947" s="5"/>
      <c r="C947" s="12"/>
      <c r="D947" s="12"/>
      <c r="E947" s="12"/>
      <c r="F947" s="5"/>
      <c r="G947" s="5"/>
      <c r="H947" s="5"/>
      <c r="I947" s="5"/>
      <c r="J947" s="5"/>
      <c r="K947" s="5"/>
      <c r="L947" s="5"/>
      <c r="M947" s="5"/>
      <c r="N947" s="5"/>
      <c r="O947" s="5"/>
      <c r="P947" s="5"/>
      <c r="Q947" s="5"/>
      <c r="R947" s="5"/>
      <c r="S947" s="5"/>
      <c r="T947" s="5"/>
      <c r="U947" s="5"/>
      <c r="V947" s="5"/>
      <c r="W947" s="5"/>
      <c r="X947" s="5"/>
      <c r="Y947" s="5"/>
    </row>
    <row r="948" spans="1:25">
      <c r="A948" s="5"/>
      <c r="B948" s="5"/>
      <c r="C948" s="12"/>
      <c r="D948" s="12"/>
      <c r="E948" s="12"/>
      <c r="F948" s="5"/>
      <c r="G948" s="5"/>
      <c r="H948" s="5"/>
      <c r="I948" s="5"/>
      <c r="J948" s="5"/>
      <c r="K948" s="5"/>
      <c r="L948" s="5"/>
      <c r="M948" s="5"/>
      <c r="N948" s="5"/>
      <c r="O948" s="5"/>
      <c r="P948" s="5"/>
      <c r="Q948" s="5"/>
      <c r="R948" s="5"/>
      <c r="S948" s="5"/>
      <c r="T948" s="5"/>
      <c r="U948" s="5"/>
      <c r="V948" s="5"/>
      <c r="W948" s="5"/>
      <c r="X948" s="5"/>
      <c r="Y948" s="5"/>
    </row>
    <row r="949" spans="1:25">
      <c r="A949" s="5"/>
      <c r="B949" s="5"/>
      <c r="C949" s="12"/>
      <c r="D949" s="12"/>
      <c r="E949" s="12"/>
      <c r="F949" s="5"/>
      <c r="G949" s="5"/>
      <c r="H949" s="5"/>
      <c r="I949" s="5"/>
      <c r="J949" s="5"/>
      <c r="K949" s="5"/>
      <c r="L949" s="5"/>
      <c r="M949" s="5"/>
      <c r="N949" s="5"/>
      <c r="O949" s="5"/>
      <c r="P949" s="5"/>
      <c r="Q949" s="5"/>
      <c r="R949" s="5"/>
      <c r="S949" s="5"/>
      <c r="T949" s="5"/>
      <c r="U949" s="5"/>
      <c r="V949" s="5"/>
      <c r="W949" s="5"/>
      <c r="X949" s="5"/>
      <c r="Y949" s="5"/>
    </row>
    <row r="950" spans="1:25">
      <c r="A950" s="5"/>
      <c r="B950" s="5"/>
      <c r="C950" s="12"/>
      <c r="D950" s="12"/>
      <c r="E950" s="12"/>
      <c r="F950" s="5"/>
      <c r="G950" s="5"/>
      <c r="H950" s="5"/>
      <c r="I950" s="5"/>
      <c r="J950" s="5"/>
      <c r="K950" s="5"/>
      <c r="L950" s="5"/>
      <c r="M950" s="5"/>
      <c r="N950" s="5"/>
      <c r="O950" s="5"/>
      <c r="P950" s="5"/>
      <c r="Q950" s="5"/>
      <c r="R950" s="5"/>
      <c r="S950" s="5"/>
      <c r="T950" s="5"/>
      <c r="U950" s="5"/>
      <c r="V950" s="5"/>
      <c r="W950" s="5"/>
      <c r="X950" s="5"/>
      <c r="Y950" s="5"/>
    </row>
    <row r="951" spans="1:25">
      <c r="A951" s="5"/>
      <c r="B951" s="5"/>
      <c r="C951" s="12"/>
      <c r="D951" s="12"/>
      <c r="E951" s="12"/>
      <c r="F951" s="5"/>
      <c r="G951" s="5"/>
      <c r="H951" s="5"/>
      <c r="I951" s="5"/>
      <c r="J951" s="5"/>
      <c r="K951" s="5"/>
      <c r="L951" s="5"/>
      <c r="M951" s="5"/>
      <c r="N951" s="5"/>
      <c r="O951" s="5"/>
      <c r="P951" s="5"/>
      <c r="Q951" s="5"/>
      <c r="R951" s="5"/>
      <c r="S951" s="5"/>
      <c r="T951" s="5"/>
      <c r="U951" s="5"/>
      <c r="V951" s="5"/>
      <c r="W951" s="5"/>
      <c r="X951" s="5"/>
      <c r="Y951" s="5"/>
    </row>
    <row r="952" spans="1:25">
      <c r="A952" s="5"/>
      <c r="B952" s="5"/>
      <c r="C952" s="12"/>
      <c r="D952" s="12"/>
      <c r="E952" s="12"/>
      <c r="F952" s="5"/>
      <c r="G952" s="5"/>
      <c r="H952" s="5"/>
      <c r="I952" s="5"/>
      <c r="J952" s="5"/>
      <c r="K952" s="5"/>
      <c r="L952" s="5"/>
      <c r="M952" s="5"/>
      <c r="N952" s="5"/>
      <c r="O952" s="5"/>
      <c r="P952" s="5"/>
      <c r="Q952" s="5"/>
      <c r="R952" s="5"/>
      <c r="S952" s="5"/>
      <c r="T952" s="5"/>
      <c r="U952" s="5"/>
      <c r="V952" s="5"/>
      <c r="W952" s="5"/>
      <c r="X952" s="5"/>
      <c r="Y952" s="5"/>
    </row>
    <row r="953" spans="1:25">
      <c r="A953" s="5"/>
      <c r="B953" s="5"/>
      <c r="C953" s="12"/>
      <c r="D953" s="12"/>
      <c r="E953" s="12"/>
      <c r="F953" s="5"/>
      <c r="G953" s="5"/>
      <c r="H953" s="5"/>
      <c r="I953" s="5"/>
      <c r="J953" s="5"/>
      <c r="K953" s="5"/>
      <c r="L953" s="5"/>
      <c r="M953" s="5"/>
      <c r="N953" s="5"/>
      <c r="O953" s="5"/>
      <c r="P953" s="5"/>
      <c r="Q953" s="5"/>
      <c r="R953" s="5"/>
      <c r="S953" s="5"/>
      <c r="T953" s="5"/>
      <c r="U953" s="5"/>
      <c r="V953" s="5"/>
      <c r="W953" s="5"/>
      <c r="X953" s="5"/>
      <c r="Y953" s="5"/>
    </row>
    <row r="954" spans="1:25">
      <c r="A954" s="5"/>
      <c r="B954" s="5"/>
      <c r="C954" s="12"/>
      <c r="D954" s="12"/>
      <c r="E954" s="12"/>
      <c r="F954" s="5"/>
      <c r="G954" s="5"/>
      <c r="H954" s="5"/>
      <c r="I954" s="5"/>
      <c r="J954" s="5"/>
      <c r="K954" s="5"/>
      <c r="L954" s="5"/>
      <c r="M954" s="5"/>
      <c r="N954" s="5"/>
      <c r="O954" s="5"/>
      <c r="P954" s="5"/>
      <c r="Q954" s="5"/>
      <c r="R954" s="5"/>
      <c r="S954" s="5"/>
      <c r="T954" s="5"/>
      <c r="U954" s="5"/>
      <c r="V954" s="5"/>
      <c r="W954" s="5"/>
      <c r="X954" s="5"/>
      <c r="Y954" s="5"/>
    </row>
    <row r="955" spans="1:25">
      <c r="A955" s="5"/>
      <c r="B955" s="5"/>
      <c r="C955" s="12"/>
      <c r="D955" s="12"/>
      <c r="E955" s="12"/>
      <c r="F955" s="5"/>
      <c r="G955" s="5"/>
      <c r="H955" s="5"/>
      <c r="I955" s="5"/>
      <c r="J955" s="5"/>
      <c r="K955" s="5"/>
      <c r="L955" s="5"/>
      <c r="M955" s="5"/>
      <c r="N955" s="5"/>
      <c r="O955" s="5"/>
      <c r="P955" s="5"/>
      <c r="Q955" s="5"/>
      <c r="R955" s="5"/>
      <c r="S955" s="5"/>
      <c r="T955" s="5"/>
      <c r="U955" s="5"/>
      <c r="V955" s="5"/>
      <c r="W955" s="5"/>
      <c r="X955" s="5"/>
      <c r="Y955" s="5"/>
    </row>
    <row r="956" spans="1:25">
      <c r="A956" s="5"/>
      <c r="B956" s="5"/>
      <c r="C956" s="12"/>
      <c r="D956" s="12"/>
      <c r="E956" s="12"/>
      <c r="F956" s="5"/>
      <c r="G956" s="5"/>
      <c r="H956" s="5"/>
      <c r="I956" s="5"/>
      <c r="J956" s="5"/>
      <c r="K956" s="5"/>
      <c r="L956" s="5"/>
      <c r="M956" s="5"/>
      <c r="N956" s="5"/>
      <c r="O956" s="5"/>
      <c r="P956" s="5"/>
      <c r="Q956" s="5"/>
      <c r="R956" s="5"/>
      <c r="S956" s="5"/>
      <c r="T956" s="5"/>
      <c r="U956" s="5"/>
      <c r="V956" s="5"/>
      <c r="W956" s="5"/>
      <c r="X956" s="5"/>
      <c r="Y956" s="5"/>
    </row>
    <row r="957" spans="1:25">
      <c r="A957" s="5"/>
      <c r="B957" s="5"/>
      <c r="C957" s="12"/>
      <c r="D957" s="12"/>
      <c r="E957" s="12"/>
      <c r="F957" s="5"/>
      <c r="G957" s="5"/>
      <c r="H957" s="5"/>
      <c r="I957" s="5"/>
      <c r="J957" s="5"/>
      <c r="K957" s="5"/>
      <c r="L957" s="5"/>
      <c r="M957" s="5"/>
      <c r="N957" s="5"/>
      <c r="O957" s="5"/>
      <c r="P957" s="5"/>
      <c r="Q957" s="5"/>
      <c r="R957" s="5"/>
      <c r="S957" s="5"/>
      <c r="T957" s="5"/>
      <c r="U957" s="5"/>
      <c r="V957" s="5"/>
      <c r="W957" s="5"/>
      <c r="X957" s="5"/>
      <c r="Y957" s="5"/>
    </row>
    <row r="958" spans="1:25">
      <c r="A958" s="5"/>
      <c r="B958" s="5"/>
      <c r="C958" s="12"/>
      <c r="D958" s="12"/>
      <c r="E958" s="12"/>
      <c r="F958" s="5"/>
      <c r="G958" s="5"/>
      <c r="H958" s="5"/>
      <c r="I958" s="5"/>
      <c r="J958" s="5"/>
      <c r="K958" s="5"/>
      <c r="L958" s="5"/>
      <c r="M958" s="5"/>
      <c r="N958" s="5"/>
      <c r="O958" s="5"/>
      <c r="P958" s="5"/>
      <c r="Q958" s="5"/>
      <c r="R958" s="5"/>
      <c r="S958" s="5"/>
      <c r="T958" s="5"/>
      <c r="U958" s="5"/>
      <c r="V958" s="5"/>
      <c r="W958" s="5"/>
      <c r="X958" s="5"/>
      <c r="Y958" s="5"/>
    </row>
    <row r="959" spans="1:25">
      <c r="A959" s="5"/>
      <c r="B959" s="5"/>
      <c r="C959" s="12"/>
      <c r="D959" s="12"/>
      <c r="E959" s="12"/>
      <c r="F959" s="5"/>
      <c r="G959" s="5"/>
      <c r="H959" s="5"/>
      <c r="I959" s="5"/>
      <c r="J959" s="5"/>
      <c r="K959" s="5"/>
      <c r="L959" s="5"/>
      <c r="M959" s="5"/>
      <c r="N959" s="5"/>
      <c r="O959" s="5"/>
      <c r="P959" s="5"/>
      <c r="Q959" s="5"/>
      <c r="R959" s="5"/>
      <c r="S959" s="5"/>
      <c r="T959" s="5"/>
      <c r="U959" s="5"/>
      <c r="V959" s="5"/>
      <c r="W959" s="5"/>
      <c r="X959" s="5"/>
      <c r="Y959" s="5"/>
    </row>
    <row r="960" spans="1:25">
      <c r="A960" s="5"/>
      <c r="B960" s="5"/>
      <c r="C960" s="12"/>
      <c r="D960" s="12"/>
      <c r="E960" s="12"/>
      <c r="F960" s="5"/>
      <c r="G960" s="5"/>
      <c r="H960" s="5"/>
      <c r="I960" s="5"/>
      <c r="J960" s="5"/>
      <c r="K960" s="5"/>
      <c r="L960" s="5"/>
      <c r="M960" s="5"/>
      <c r="N960" s="5"/>
      <c r="O960" s="5"/>
      <c r="P960" s="5"/>
      <c r="Q960" s="5"/>
      <c r="R960" s="5"/>
      <c r="S960" s="5"/>
      <c r="T960" s="5"/>
      <c r="U960" s="5"/>
      <c r="V960" s="5"/>
      <c r="W960" s="5"/>
      <c r="X960" s="5"/>
      <c r="Y960" s="5"/>
    </row>
    <row r="961" spans="1:25">
      <c r="A961" s="5"/>
      <c r="B961" s="5"/>
      <c r="C961" s="12"/>
      <c r="D961" s="12"/>
      <c r="E961" s="12"/>
      <c r="F961" s="5"/>
      <c r="G961" s="5"/>
      <c r="H961" s="5"/>
      <c r="I961" s="5"/>
      <c r="J961" s="5"/>
      <c r="K961" s="5"/>
      <c r="L961" s="5"/>
      <c r="M961" s="5"/>
      <c r="N961" s="5"/>
      <c r="O961" s="5"/>
      <c r="P961" s="5"/>
      <c r="Q961" s="5"/>
      <c r="R961" s="5"/>
      <c r="S961" s="5"/>
      <c r="T961" s="5"/>
      <c r="U961" s="5"/>
      <c r="V961" s="5"/>
      <c r="W961" s="5"/>
      <c r="X961" s="5"/>
      <c r="Y961" s="5"/>
    </row>
    <row r="962" spans="1:25">
      <c r="A962" s="5"/>
      <c r="B962" s="5"/>
      <c r="C962" s="12"/>
      <c r="D962" s="12"/>
      <c r="E962" s="12"/>
      <c r="F962" s="5"/>
      <c r="G962" s="5"/>
      <c r="H962" s="5"/>
      <c r="I962" s="5"/>
      <c r="J962" s="5"/>
      <c r="K962" s="5"/>
      <c r="L962" s="5"/>
      <c r="M962" s="5"/>
      <c r="N962" s="5"/>
      <c r="O962" s="5"/>
      <c r="P962" s="5"/>
      <c r="Q962" s="5"/>
      <c r="R962" s="5"/>
      <c r="S962" s="5"/>
      <c r="T962" s="5"/>
      <c r="U962" s="5"/>
      <c r="V962" s="5"/>
      <c r="W962" s="5"/>
      <c r="X962" s="5"/>
      <c r="Y962" s="5"/>
    </row>
    <row r="963" spans="1:25">
      <c r="A963" s="5"/>
      <c r="B963" s="5"/>
      <c r="C963" s="12"/>
      <c r="D963" s="12"/>
      <c r="E963" s="12"/>
      <c r="F963" s="5"/>
      <c r="G963" s="5"/>
      <c r="H963" s="5"/>
      <c r="I963" s="5"/>
      <c r="J963" s="5"/>
      <c r="K963" s="5"/>
      <c r="L963" s="5"/>
      <c r="M963" s="5"/>
      <c r="N963" s="5"/>
      <c r="O963" s="5"/>
      <c r="P963" s="5"/>
      <c r="Q963" s="5"/>
      <c r="R963" s="5"/>
      <c r="S963" s="5"/>
      <c r="T963" s="5"/>
      <c r="U963" s="5"/>
      <c r="V963" s="5"/>
      <c r="W963" s="5"/>
      <c r="X963" s="5"/>
      <c r="Y963" s="5"/>
    </row>
    <row r="964" spans="1:25">
      <c r="A964" s="5"/>
      <c r="B964" s="5"/>
      <c r="C964" s="12"/>
      <c r="D964" s="12"/>
      <c r="E964" s="12"/>
      <c r="F964" s="5"/>
      <c r="G964" s="5"/>
      <c r="H964" s="5"/>
      <c r="I964" s="5"/>
      <c r="J964" s="5"/>
      <c r="K964" s="5"/>
      <c r="L964" s="5"/>
      <c r="M964" s="5"/>
      <c r="N964" s="5"/>
      <c r="O964" s="5"/>
      <c r="P964" s="5"/>
      <c r="Q964" s="5"/>
      <c r="R964" s="5"/>
      <c r="S964" s="5"/>
      <c r="T964" s="5"/>
      <c r="U964" s="5"/>
      <c r="V964" s="5"/>
      <c r="W964" s="5"/>
      <c r="X964" s="5"/>
      <c r="Y964" s="5"/>
    </row>
    <row r="965" spans="1:25">
      <c r="A965" s="5"/>
      <c r="B965" s="5"/>
      <c r="C965" s="12"/>
      <c r="D965" s="12"/>
      <c r="E965" s="12"/>
      <c r="F965" s="5"/>
      <c r="G965" s="5"/>
      <c r="H965" s="5"/>
      <c r="I965" s="5"/>
      <c r="J965" s="5"/>
      <c r="K965" s="5"/>
      <c r="L965" s="5"/>
      <c r="M965" s="5"/>
      <c r="N965" s="5"/>
      <c r="O965" s="5"/>
      <c r="P965" s="5"/>
      <c r="Q965" s="5"/>
      <c r="R965" s="5"/>
      <c r="S965" s="5"/>
      <c r="T965" s="5"/>
      <c r="U965" s="5"/>
      <c r="V965" s="5"/>
      <c r="W965" s="5"/>
      <c r="X965" s="5"/>
      <c r="Y965" s="5"/>
    </row>
    <row r="966" spans="1:25">
      <c r="A966" s="5"/>
      <c r="B966" s="5"/>
      <c r="C966" s="12"/>
      <c r="D966" s="12"/>
      <c r="E966" s="12"/>
      <c r="F966" s="5"/>
      <c r="G966" s="5"/>
      <c r="H966" s="5"/>
      <c r="I966" s="5"/>
      <c r="J966" s="5"/>
      <c r="K966" s="5"/>
      <c r="L966" s="5"/>
      <c r="M966" s="5"/>
      <c r="N966" s="5"/>
      <c r="O966" s="5"/>
      <c r="P966" s="5"/>
      <c r="Q966" s="5"/>
      <c r="R966" s="5"/>
      <c r="S966" s="5"/>
      <c r="T966" s="5"/>
      <c r="U966" s="5"/>
      <c r="V966" s="5"/>
      <c r="W966" s="5"/>
      <c r="X966" s="5"/>
      <c r="Y966" s="5"/>
    </row>
    <row r="967" spans="1:25">
      <c r="A967" s="5"/>
      <c r="B967" s="5"/>
      <c r="C967" s="12"/>
      <c r="D967" s="12"/>
      <c r="E967" s="12"/>
      <c r="F967" s="5"/>
      <c r="G967" s="5"/>
      <c r="H967" s="5"/>
      <c r="I967" s="5"/>
      <c r="J967" s="5"/>
      <c r="K967" s="5"/>
      <c r="L967" s="5"/>
      <c r="M967" s="5"/>
      <c r="N967" s="5"/>
      <c r="O967" s="5"/>
      <c r="P967" s="5"/>
      <c r="Q967" s="5"/>
      <c r="R967" s="5"/>
      <c r="S967" s="5"/>
      <c r="T967" s="5"/>
      <c r="U967" s="5"/>
      <c r="V967" s="5"/>
      <c r="W967" s="5"/>
      <c r="X967" s="5"/>
      <c r="Y967" s="5"/>
    </row>
    <row r="968" spans="1:25">
      <c r="A968" s="5"/>
      <c r="B968" s="5"/>
      <c r="C968" s="12"/>
      <c r="D968" s="12"/>
      <c r="E968" s="12"/>
      <c r="F968" s="5"/>
      <c r="G968" s="5"/>
      <c r="H968" s="5"/>
      <c r="I968" s="5"/>
      <c r="J968" s="5"/>
      <c r="K968" s="5"/>
      <c r="L968" s="5"/>
      <c r="M968" s="5"/>
      <c r="N968" s="5"/>
      <c r="O968" s="5"/>
      <c r="P968" s="5"/>
      <c r="Q968" s="5"/>
      <c r="R968" s="5"/>
      <c r="S968" s="5"/>
      <c r="T968" s="5"/>
      <c r="U968" s="5"/>
      <c r="V968" s="5"/>
      <c r="W968" s="5"/>
      <c r="X968" s="5"/>
      <c r="Y968" s="5"/>
    </row>
    <row r="969" spans="1:25">
      <c r="A969" s="5"/>
      <c r="B969" s="5"/>
      <c r="C969" s="12"/>
      <c r="D969" s="12"/>
      <c r="E969" s="12"/>
      <c r="F969" s="5"/>
      <c r="G969" s="5"/>
      <c r="H969" s="5"/>
      <c r="I969" s="5"/>
      <c r="J969" s="5"/>
      <c r="K969" s="5"/>
      <c r="L969" s="5"/>
      <c r="M969" s="5"/>
      <c r="N969" s="5"/>
      <c r="O969" s="5"/>
      <c r="P969" s="5"/>
      <c r="Q969" s="5"/>
      <c r="R969" s="5"/>
      <c r="S969" s="5"/>
      <c r="T969" s="5"/>
      <c r="U969" s="5"/>
      <c r="V969" s="5"/>
      <c r="W969" s="5"/>
      <c r="X969" s="5"/>
      <c r="Y969" s="5"/>
    </row>
    <row r="970" spans="1:25">
      <c r="A970" s="5"/>
      <c r="B970" s="5"/>
      <c r="C970" s="12"/>
      <c r="D970" s="12"/>
      <c r="E970" s="12"/>
      <c r="F970" s="5"/>
      <c r="G970" s="5"/>
      <c r="H970" s="5"/>
      <c r="I970" s="5"/>
      <c r="J970" s="5"/>
      <c r="K970" s="5"/>
      <c r="L970" s="5"/>
      <c r="M970" s="5"/>
      <c r="N970" s="5"/>
      <c r="O970" s="5"/>
      <c r="P970" s="5"/>
      <c r="Q970" s="5"/>
      <c r="R970" s="5"/>
      <c r="S970" s="5"/>
      <c r="T970" s="5"/>
      <c r="U970" s="5"/>
      <c r="V970" s="5"/>
      <c r="W970" s="5"/>
      <c r="X970" s="5"/>
      <c r="Y970" s="5"/>
    </row>
    <row r="971" spans="1:25">
      <c r="A971" s="5"/>
      <c r="B971" s="5"/>
      <c r="C971" s="12"/>
      <c r="D971" s="12"/>
      <c r="E971" s="12"/>
      <c r="F971" s="5"/>
      <c r="G971" s="5"/>
      <c r="H971" s="5"/>
      <c r="I971" s="5"/>
      <c r="J971" s="5"/>
      <c r="K971" s="5"/>
      <c r="L971" s="5"/>
      <c r="M971" s="5"/>
      <c r="N971" s="5"/>
      <c r="O971" s="5"/>
      <c r="P971" s="5"/>
      <c r="Q971" s="5"/>
      <c r="R971" s="5"/>
      <c r="S971" s="5"/>
      <c r="T971" s="5"/>
      <c r="U971" s="5"/>
      <c r="V971" s="5"/>
      <c r="W971" s="5"/>
      <c r="X971" s="5"/>
      <c r="Y971" s="5"/>
    </row>
    <row r="972" spans="1:25">
      <c r="A972" s="5"/>
      <c r="B972" s="5"/>
      <c r="C972" s="12"/>
      <c r="D972" s="12"/>
      <c r="E972" s="12"/>
      <c r="F972" s="5"/>
      <c r="G972" s="5"/>
      <c r="H972" s="5"/>
      <c r="I972" s="5"/>
      <c r="J972" s="5"/>
      <c r="K972" s="5"/>
      <c r="L972" s="5"/>
      <c r="M972" s="5"/>
      <c r="N972" s="5"/>
      <c r="O972" s="5"/>
      <c r="P972" s="5"/>
      <c r="Q972" s="5"/>
      <c r="R972" s="5"/>
      <c r="S972" s="5"/>
      <c r="T972" s="5"/>
      <c r="U972" s="5"/>
      <c r="V972" s="5"/>
      <c r="W972" s="5"/>
      <c r="X972" s="5"/>
      <c r="Y972" s="5"/>
    </row>
    <row r="973" spans="1:25">
      <c r="A973" s="5"/>
      <c r="B973" s="5"/>
      <c r="C973" s="12"/>
      <c r="D973" s="12"/>
      <c r="E973" s="12"/>
      <c r="F973" s="5"/>
      <c r="G973" s="5"/>
      <c r="H973" s="5"/>
      <c r="I973" s="5"/>
      <c r="J973" s="5"/>
      <c r="K973" s="5"/>
      <c r="L973" s="5"/>
      <c r="M973" s="5"/>
      <c r="N973" s="5"/>
      <c r="O973" s="5"/>
      <c r="P973" s="5"/>
      <c r="Q973" s="5"/>
      <c r="R973" s="5"/>
      <c r="S973" s="5"/>
      <c r="T973" s="5"/>
      <c r="U973" s="5"/>
      <c r="V973" s="5"/>
      <c r="W973" s="5"/>
      <c r="X973" s="5"/>
      <c r="Y973" s="5"/>
    </row>
    <row r="974" spans="1:25">
      <c r="A974" s="5"/>
      <c r="B974" s="5"/>
      <c r="C974" s="12"/>
      <c r="D974" s="12"/>
      <c r="E974" s="12"/>
      <c r="F974" s="5"/>
      <c r="G974" s="5"/>
      <c r="H974" s="5"/>
      <c r="I974" s="5"/>
      <c r="J974" s="5"/>
      <c r="K974" s="5"/>
      <c r="L974" s="5"/>
      <c r="M974" s="5"/>
      <c r="N974" s="5"/>
      <c r="O974" s="5"/>
      <c r="P974" s="5"/>
      <c r="Q974" s="5"/>
      <c r="R974" s="5"/>
      <c r="S974" s="5"/>
      <c r="T974" s="5"/>
      <c r="U974" s="5"/>
      <c r="V974" s="5"/>
      <c r="W974" s="5"/>
      <c r="X974" s="5"/>
      <c r="Y974" s="5"/>
    </row>
    <row r="975" spans="1:25">
      <c r="A975" s="5"/>
      <c r="B975" s="5"/>
      <c r="C975" s="12"/>
      <c r="D975" s="12"/>
      <c r="E975" s="12"/>
      <c r="F975" s="5"/>
      <c r="G975" s="5"/>
      <c r="H975" s="5"/>
      <c r="I975" s="5"/>
      <c r="J975" s="5"/>
      <c r="K975" s="5"/>
      <c r="L975" s="5"/>
      <c r="M975" s="5"/>
      <c r="N975" s="5"/>
      <c r="O975" s="5"/>
      <c r="P975" s="5"/>
      <c r="Q975" s="5"/>
      <c r="R975" s="5"/>
      <c r="S975" s="5"/>
      <c r="T975" s="5"/>
      <c r="U975" s="5"/>
      <c r="V975" s="5"/>
      <c r="W975" s="5"/>
      <c r="X975" s="5"/>
      <c r="Y975" s="5"/>
    </row>
    <row r="976" spans="1:25">
      <c r="A976" s="5"/>
      <c r="B976" s="5"/>
      <c r="C976" s="12"/>
      <c r="D976" s="12"/>
      <c r="E976" s="12"/>
      <c r="F976" s="5"/>
      <c r="G976" s="5"/>
      <c r="H976" s="5"/>
      <c r="I976" s="5"/>
      <c r="J976" s="5"/>
      <c r="K976" s="5"/>
      <c r="L976" s="5"/>
      <c r="M976" s="5"/>
      <c r="N976" s="5"/>
      <c r="O976" s="5"/>
      <c r="P976" s="5"/>
      <c r="Q976" s="5"/>
      <c r="R976" s="5"/>
      <c r="S976" s="5"/>
      <c r="T976" s="5"/>
      <c r="U976" s="5"/>
      <c r="V976" s="5"/>
      <c r="W976" s="5"/>
      <c r="X976" s="5"/>
      <c r="Y976" s="5"/>
    </row>
    <row r="977" spans="1:25">
      <c r="A977" s="5"/>
      <c r="B977" s="5"/>
      <c r="C977" s="12"/>
      <c r="D977" s="12"/>
      <c r="E977" s="12"/>
      <c r="F977" s="5"/>
      <c r="G977" s="5"/>
      <c r="H977" s="5"/>
      <c r="I977" s="5"/>
      <c r="J977" s="5"/>
      <c r="K977" s="5"/>
      <c r="L977" s="5"/>
      <c r="M977" s="5"/>
      <c r="N977" s="5"/>
      <c r="O977" s="5"/>
      <c r="P977" s="5"/>
      <c r="Q977" s="5"/>
      <c r="R977" s="5"/>
      <c r="S977" s="5"/>
      <c r="T977" s="5"/>
      <c r="U977" s="5"/>
      <c r="V977" s="5"/>
      <c r="W977" s="5"/>
      <c r="X977" s="5"/>
      <c r="Y977" s="5"/>
    </row>
    <row r="978" spans="1:25">
      <c r="A978" s="5"/>
      <c r="B978" s="5"/>
      <c r="C978" s="12"/>
      <c r="D978" s="12"/>
      <c r="E978" s="12"/>
      <c r="F978" s="5"/>
      <c r="G978" s="5"/>
      <c r="H978" s="5"/>
      <c r="I978" s="5"/>
      <c r="J978" s="5"/>
      <c r="K978" s="5"/>
      <c r="L978" s="5"/>
      <c r="M978" s="5"/>
      <c r="N978" s="5"/>
      <c r="O978" s="5"/>
      <c r="P978" s="5"/>
      <c r="Q978" s="5"/>
      <c r="R978" s="5"/>
      <c r="S978" s="5"/>
      <c r="T978" s="5"/>
      <c r="U978" s="5"/>
      <c r="V978" s="5"/>
      <c r="W978" s="5"/>
      <c r="X978" s="5"/>
      <c r="Y978" s="5"/>
    </row>
    <row r="979" spans="1:25">
      <c r="A979" s="5"/>
      <c r="B979" s="5"/>
      <c r="C979" s="12"/>
      <c r="D979" s="12"/>
      <c r="E979" s="12"/>
      <c r="F979" s="5"/>
      <c r="G979" s="5"/>
      <c r="H979" s="5"/>
      <c r="I979" s="5"/>
      <c r="J979" s="5"/>
      <c r="K979" s="5"/>
      <c r="L979" s="5"/>
      <c r="M979" s="5"/>
      <c r="N979" s="5"/>
      <c r="O979" s="5"/>
      <c r="P979" s="5"/>
      <c r="Q979" s="5"/>
      <c r="R979" s="5"/>
      <c r="S979" s="5"/>
      <c r="T979" s="5"/>
      <c r="U979" s="5"/>
      <c r="V979" s="5"/>
      <c r="W979" s="5"/>
      <c r="X979" s="5"/>
      <c r="Y979" s="5"/>
    </row>
    <row r="980" spans="1:25">
      <c r="A980" s="5"/>
      <c r="B980" s="5"/>
      <c r="C980" s="12"/>
      <c r="D980" s="12"/>
      <c r="E980" s="12"/>
      <c r="F980" s="5"/>
      <c r="G980" s="5"/>
      <c r="H980" s="5"/>
      <c r="I980" s="5"/>
      <c r="J980" s="5"/>
      <c r="K980" s="5"/>
      <c r="L980" s="5"/>
      <c r="M980" s="5"/>
      <c r="N980" s="5"/>
      <c r="O980" s="5"/>
      <c r="P980" s="5"/>
      <c r="Q980" s="5"/>
      <c r="R980" s="5"/>
      <c r="S980" s="5"/>
      <c r="T980" s="5"/>
      <c r="U980" s="5"/>
      <c r="V980" s="5"/>
      <c r="W980" s="5"/>
      <c r="X980" s="5"/>
      <c r="Y980" s="5"/>
    </row>
    <row r="981" spans="1:25">
      <c r="A981" s="5"/>
      <c r="B981" s="5"/>
      <c r="C981" s="12"/>
      <c r="D981" s="12"/>
      <c r="E981" s="12"/>
      <c r="F981" s="5"/>
      <c r="G981" s="5"/>
      <c r="H981" s="5"/>
      <c r="I981" s="5"/>
      <c r="J981" s="5"/>
      <c r="K981" s="5"/>
      <c r="L981" s="5"/>
      <c r="M981" s="5"/>
      <c r="N981" s="5"/>
      <c r="O981" s="5"/>
      <c r="P981" s="5"/>
      <c r="Q981" s="5"/>
      <c r="R981" s="5"/>
      <c r="S981" s="5"/>
      <c r="T981" s="5"/>
      <c r="U981" s="5"/>
      <c r="V981" s="5"/>
      <c r="W981" s="5"/>
      <c r="X981" s="5"/>
      <c r="Y981" s="5"/>
    </row>
    <row r="982" spans="1:25">
      <c r="A982" s="5"/>
      <c r="B982" s="5"/>
      <c r="C982" s="12"/>
      <c r="D982" s="12"/>
      <c r="E982" s="12"/>
      <c r="F982" s="5"/>
      <c r="G982" s="5"/>
      <c r="H982" s="5"/>
      <c r="I982" s="5"/>
      <c r="J982" s="5"/>
      <c r="K982" s="5"/>
      <c r="L982" s="5"/>
      <c r="M982" s="5"/>
      <c r="N982" s="5"/>
      <c r="O982" s="5"/>
      <c r="P982" s="5"/>
      <c r="Q982" s="5"/>
      <c r="R982" s="5"/>
      <c r="S982" s="5"/>
      <c r="T982" s="5"/>
      <c r="U982" s="5"/>
      <c r="V982" s="5"/>
      <c r="W982" s="5"/>
      <c r="X982" s="5"/>
      <c r="Y982" s="5"/>
    </row>
    <row r="983" spans="1:25">
      <c r="A983" s="5"/>
      <c r="B983" s="5"/>
      <c r="C983" s="12"/>
      <c r="D983" s="12"/>
      <c r="E983" s="12"/>
      <c r="F983" s="5"/>
      <c r="G983" s="5"/>
      <c r="H983" s="5"/>
      <c r="I983" s="5"/>
      <c r="J983" s="5"/>
      <c r="K983" s="5"/>
      <c r="L983" s="5"/>
      <c r="M983" s="5"/>
      <c r="N983" s="5"/>
      <c r="O983" s="5"/>
      <c r="P983" s="5"/>
      <c r="Q983" s="5"/>
      <c r="R983" s="5"/>
      <c r="S983" s="5"/>
      <c r="T983" s="5"/>
      <c r="U983" s="5"/>
      <c r="V983" s="5"/>
      <c r="W983" s="5"/>
      <c r="X983" s="5"/>
      <c r="Y983" s="5"/>
    </row>
    <row r="984" spans="1:25">
      <c r="A984" s="5"/>
      <c r="B984" s="5"/>
      <c r="C984" s="12"/>
      <c r="D984" s="12"/>
      <c r="E984" s="12"/>
      <c r="F984" s="5"/>
      <c r="G984" s="5"/>
      <c r="H984" s="5"/>
      <c r="I984" s="5"/>
      <c r="J984" s="5"/>
      <c r="K984" s="5"/>
      <c r="L984" s="5"/>
      <c r="M984" s="5"/>
      <c r="N984" s="5"/>
      <c r="O984" s="5"/>
      <c r="P984" s="5"/>
      <c r="Q984" s="5"/>
      <c r="R984" s="5"/>
      <c r="S984" s="5"/>
      <c r="T984" s="5"/>
      <c r="U984" s="5"/>
      <c r="V984" s="5"/>
      <c r="W984" s="5"/>
      <c r="X984" s="5"/>
      <c r="Y984" s="5"/>
    </row>
    <row r="985" spans="1:25">
      <c r="A985" s="5"/>
      <c r="B985" s="5"/>
      <c r="C985" s="12"/>
      <c r="D985" s="12"/>
      <c r="E985" s="12"/>
      <c r="F985" s="5"/>
      <c r="G985" s="5"/>
      <c r="H985" s="5"/>
      <c r="I985" s="5"/>
      <c r="J985" s="5"/>
      <c r="K985" s="5"/>
      <c r="L985" s="5"/>
      <c r="M985" s="5"/>
      <c r="N985" s="5"/>
      <c r="O985" s="5"/>
      <c r="P985" s="5"/>
      <c r="Q985" s="5"/>
      <c r="R985" s="5"/>
      <c r="S985" s="5"/>
      <c r="T985" s="5"/>
      <c r="U985" s="5"/>
      <c r="V985" s="5"/>
      <c r="W985" s="5"/>
      <c r="X985" s="5"/>
      <c r="Y985" s="5"/>
    </row>
    <row r="986" spans="1:25">
      <c r="A986" s="5"/>
      <c r="B986" s="5"/>
      <c r="C986" s="12"/>
      <c r="D986" s="12"/>
      <c r="E986" s="12"/>
      <c r="F986" s="5"/>
      <c r="G986" s="5"/>
      <c r="H986" s="5"/>
      <c r="I986" s="5"/>
      <c r="J986" s="5"/>
      <c r="K986" s="5"/>
      <c r="L986" s="5"/>
      <c r="M986" s="5"/>
      <c r="N986" s="5"/>
      <c r="O986" s="5"/>
      <c r="P986" s="5"/>
      <c r="Q986" s="5"/>
      <c r="R986" s="5"/>
      <c r="S986" s="5"/>
      <c r="T986" s="5"/>
      <c r="U986" s="5"/>
      <c r="V986" s="5"/>
      <c r="W986" s="5"/>
      <c r="X986" s="5"/>
      <c r="Y986" s="5"/>
    </row>
    <row r="987" spans="1:25">
      <c r="A987" s="5"/>
      <c r="B987" s="5"/>
      <c r="C987" s="12"/>
      <c r="D987" s="12"/>
      <c r="E987" s="12"/>
      <c r="F987" s="5"/>
      <c r="G987" s="5"/>
      <c r="H987" s="5"/>
      <c r="I987" s="5"/>
      <c r="J987" s="5"/>
      <c r="K987" s="5"/>
      <c r="L987" s="5"/>
      <c r="M987" s="5"/>
      <c r="N987" s="5"/>
      <c r="O987" s="5"/>
      <c r="P987" s="5"/>
      <c r="Q987" s="5"/>
      <c r="R987" s="5"/>
      <c r="S987" s="5"/>
      <c r="T987" s="5"/>
      <c r="U987" s="5"/>
      <c r="V987" s="5"/>
      <c r="W987" s="5"/>
      <c r="X987" s="5"/>
      <c r="Y987" s="5"/>
    </row>
    <row r="988" spans="1:25">
      <c r="A988" s="5"/>
      <c r="B988" s="5"/>
      <c r="C988" s="12"/>
      <c r="D988" s="12"/>
      <c r="E988" s="12"/>
      <c r="F988" s="5"/>
      <c r="G988" s="5"/>
      <c r="H988" s="5"/>
      <c r="I988" s="5"/>
      <c r="J988" s="5"/>
      <c r="K988" s="5"/>
      <c r="L988" s="5"/>
      <c r="M988" s="5"/>
      <c r="N988" s="5"/>
      <c r="O988" s="5"/>
      <c r="P988" s="5"/>
      <c r="Q988" s="5"/>
      <c r="R988" s="5"/>
      <c r="S988" s="5"/>
      <c r="T988" s="5"/>
      <c r="U988" s="5"/>
      <c r="V988" s="5"/>
      <c r="W988" s="5"/>
      <c r="X988" s="5"/>
      <c r="Y988" s="5"/>
    </row>
    <row r="989" spans="1:25">
      <c r="A989" s="5"/>
      <c r="B989" s="5"/>
      <c r="C989" s="12"/>
      <c r="D989" s="12"/>
      <c r="E989" s="12"/>
      <c r="F989" s="5"/>
      <c r="G989" s="5"/>
      <c r="H989" s="5"/>
      <c r="I989" s="5"/>
      <c r="J989" s="5"/>
      <c r="K989" s="5"/>
      <c r="L989" s="5"/>
      <c r="M989" s="5"/>
      <c r="N989" s="5"/>
      <c r="O989" s="5"/>
      <c r="P989" s="5"/>
      <c r="Q989" s="5"/>
      <c r="R989" s="5"/>
      <c r="S989" s="5"/>
      <c r="T989" s="5"/>
      <c r="U989" s="5"/>
      <c r="V989" s="5"/>
      <c r="W989" s="5"/>
      <c r="X989" s="5"/>
      <c r="Y989" s="5"/>
    </row>
    <row r="990" spans="1:25">
      <c r="A990" s="5"/>
      <c r="B990" s="5"/>
      <c r="C990" s="12"/>
      <c r="D990" s="12"/>
      <c r="E990" s="12"/>
      <c r="F990" s="5"/>
      <c r="G990" s="5"/>
      <c r="H990" s="5"/>
      <c r="I990" s="5"/>
      <c r="J990" s="5"/>
      <c r="K990" s="5"/>
      <c r="L990" s="5"/>
      <c r="M990" s="5"/>
      <c r="N990" s="5"/>
      <c r="O990" s="5"/>
      <c r="P990" s="5"/>
      <c r="Q990" s="5"/>
      <c r="R990" s="5"/>
      <c r="S990" s="5"/>
      <c r="T990" s="5"/>
      <c r="U990" s="5"/>
      <c r="V990" s="5"/>
      <c r="W990" s="5"/>
      <c r="X990" s="5"/>
      <c r="Y990" s="5"/>
    </row>
    <row r="991" spans="1:25">
      <c r="A991" s="5"/>
      <c r="B991" s="5"/>
      <c r="C991" s="12"/>
      <c r="D991" s="12"/>
      <c r="E991" s="12"/>
      <c r="F991" s="5"/>
      <c r="G991" s="5"/>
      <c r="H991" s="5"/>
      <c r="I991" s="5"/>
      <c r="J991" s="5"/>
      <c r="K991" s="5"/>
      <c r="L991" s="5"/>
      <c r="M991" s="5"/>
      <c r="N991" s="5"/>
      <c r="O991" s="5"/>
      <c r="P991" s="5"/>
      <c r="Q991" s="5"/>
      <c r="R991" s="5"/>
      <c r="S991" s="5"/>
      <c r="T991" s="5"/>
      <c r="U991" s="5"/>
      <c r="V991" s="5"/>
      <c r="W991" s="5"/>
      <c r="X991" s="5"/>
      <c r="Y991" s="5"/>
    </row>
    <row r="992" spans="1:25">
      <c r="A992" s="5"/>
      <c r="B992" s="5"/>
      <c r="C992" s="12"/>
      <c r="D992" s="12"/>
      <c r="E992" s="12"/>
      <c r="F992" s="5"/>
      <c r="G992" s="5"/>
      <c r="H992" s="5"/>
      <c r="I992" s="5"/>
      <c r="J992" s="5"/>
      <c r="K992" s="5"/>
      <c r="L992" s="5"/>
      <c r="M992" s="5"/>
      <c r="N992" s="5"/>
      <c r="O992" s="5"/>
      <c r="P992" s="5"/>
      <c r="Q992" s="5"/>
      <c r="R992" s="5"/>
      <c r="S992" s="5"/>
      <c r="T992" s="5"/>
      <c r="U992" s="5"/>
      <c r="V992" s="5"/>
      <c r="W992" s="5"/>
      <c r="X992" s="5"/>
      <c r="Y992" s="5"/>
    </row>
    <row r="993" spans="1:25">
      <c r="A993" s="5"/>
      <c r="B993" s="5"/>
      <c r="C993" s="12"/>
      <c r="D993" s="12"/>
      <c r="E993" s="12"/>
      <c r="F993" s="5"/>
      <c r="G993" s="5"/>
      <c r="H993" s="5"/>
      <c r="I993" s="5"/>
      <c r="J993" s="5"/>
      <c r="K993" s="5"/>
      <c r="L993" s="5"/>
      <c r="M993" s="5"/>
      <c r="N993" s="5"/>
      <c r="O993" s="5"/>
      <c r="P993" s="5"/>
      <c r="Q993" s="5"/>
      <c r="R993" s="5"/>
      <c r="S993" s="5"/>
      <c r="T993" s="5"/>
      <c r="U993" s="5"/>
      <c r="V993" s="5"/>
      <c r="W993" s="5"/>
      <c r="X993" s="5"/>
      <c r="Y993" s="5"/>
    </row>
    <row r="994" spans="1:25">
      <c r="A994" s="5"/>
      <c r="B994" s="5"/>
      <c r="C994" s="12"/>
      <c r="D994" s="12"/>
      <c r="E994" s="12"/>
      <c r="F994" s="5"/>
      <c r="G994" s="5"/>
      <c r="H994" s="5"/>
      <c r="I994" s="5"/>
      <c r="J994" s="5"/>
      <c r="K994" s="5"/>
      <c r="L994" s="5"/>
      <c r="M994" s="5"/>
      <c r="N994" s="5"/>
      <c r="O994" s="5"/>
      <c r="P994" s="5"/>
      <c r="Q994" s="5"/>
      <c r="R994" s="5"/>
      <c r="S994" s="5"/>
      <c r="T994" s="5"/>
      <c r="U994" s="5"/>
      <c r="V994" s="5"/>
      <c r="W994" s="5"/>
      <c r="X994" s="5"/>
      <c r="Y994" s="5"/>
    </row>
    <row r="995" spans="1:25">
      <c r="A995" s="5"/>
      <c r="B995" s="5"/>
      <c r="C995" s="12"/>
      <c r="D995" s="12"/>
      <c r="E995" s="12"/>
      <c r="F995" s="5"/>
      <c r="G995" s="5"/>
      <c r="H995" s="5"/>
      <c r="I995" s="5"/>
      <c r="J995" s="5"/>
      <c r="K995" s="5"/>
      <c r="L995" s="5"/>
      <c r="M995" s="5"/>
      <c r="N995" s="5"/>
      <c r="O995" s="5"/>
      <c r="P995" s="5"/>
      <c r="Q995" s="5"/>
      <c r="R995" s="5"/>
      <c r="S995" s="5"/>
      <c r="T995" s="5"/>
      <c r="U995" s="5"/>
      <c r="V995" s="5"/>
      <c r="W995" s="5"/>
      <c r="X995" s="5"/>
      <c r="Y995" s="5"/>
    </row>
    <row r="996" spans="1:25">
      <c r="A996" s="5"/>
      <c r="B996" s="5"/>
      <c r="C996" s="12"/>
      <c r="D996" s="12"/>
      <c r="E996" s="12"/>
      <c r="F996" s="5"/>
      <c r="G996" s="5"/>
      <c r="H996" s="5"/>
      <c r="I996" s="5"/>
      <c r="J996" s="5"/>
      <c r="K996" s="5"/>
      <c r="L996" s="5"/>
      <c r="M996" s="5"/>
      <c r="N996" s="5"/>
      <c r="O996" s="5"/>
      <c r="P996" s="5"/>
      <c r="Q996" s="5"/>
      <c r="R996" s="5"/>
      <c r="S996" s="5"/>
      <c r="T996" s="5"/>
      <c r="U996" s="5"/>
      <c r="V996" s="5"/>
      <c r="W996" s="5"/>
      <c r="X996" s="5"/>
      <c r="Y996" s="5"/>
    </row>
    <row r="997" spans="1:25">
      <c r="A997" s="5"/>
      <c r="B997" s="5"/>
      <c r="C997" s="12"/>
      <c r="D997" s="12"/>
      <c r="E997" s="12"/>
      <c r="F997" s="5"/>
      <c r="G997" s="5"/>
      <c r="H997" s="5"/>
      <c r="I997" s="5"/>
      <c r="J997" s="5"/>
      <c r="K997" s="5"/>
      <c r="L997" s="5"/>
      <c r="M997" s="5"/>
      <c r="N997" s="5"/>
      <c r="O997" s="5"/>
      <c r="P997" s="5"/>
      <c r="Q997" s="5"/>
      <c r="R997" s="5"/>
      <c r="S997" s="5"/>
      <c r="T997" s="5"/>
      <c r="U997" s="5"/>
      <c r="V997" s="5"/>
      <c r="W997" s="5"/>
      <c r="X997" s="5"/>
      <c r="Y997" s="5"/>
    </row>
    <row r="998" spans="1:25">
      <c r="A998" s="5"/>
      <c r="B998" s="5"/>
      <c r="C998" s="12"/>
      <c r="D998" s="12"/>
      <c r="E998" s="12"/>
      <c r="F998" s="5"/>
      <c r="G998" s="5"/>
      <c r="H998" s="5"/>
      <c r="I998" s="5"/>
      <c r="J998" s="5"/>
      <c r="K998" s="5"/>
      <c r="L998" s="5"/>
      <c r="M998" s="5"/>
      <c r="N998" s="5"/>
      <c r="O998" s="5"/>
      <c r="P998" s="5"/>
      <c r="Q998" s="5"/>
      <c r="R998" s="5"/>
      <c r="S998" s="5"/>
      <c r="T998" s="5"/>
      <c r="U998" s="5"/>
      <c r="V998" s="5"/>
      <c r="W998" s="5"/>
      <c r="X998" s="5"/>
      <c r="Y998" s="5"/>
    </row>
    <row r="999" spans="1:25">
      <c r="A999" s="5"/>
      <c r="B999" s="5"/>
      <c r="C999" s="12"/>
      <c r="D999" s="12"/>
      <c r="E999" s="12"/>
      <c r="F999" s="5"/>
      <c r="G999" s="5"/>
      <c r="H999" s="5"/>
      <c r="I999" s="5"/>
      <c r="J999" s="5"/>
      <c r="K999" s="5"/>
      <c r="L999" s="5"/>
      <c r="M999" s="5"/>
      <c r="N999" s="5"/>
      <c r="O999" s="5"/>
      <c r="P999" s="5"/>
      <c r="Q999" s="5"/>
      <c r="R999" s="5"/>
      <c r="S999" s="5"/>
      <c r="T999" s="5"/>
      <c r="U999" s="5"/>
      <c r="V999" s="5"/>
      <c r="W999" s="5"/>
      <c r="X999" s="5"/>
      <c r="Y999" s="5"/>
    </row>
    <row r="1000" spans="1:25">
      <c r="A1000" s="5"/>
      <c r="B1000" s="5"/>
      <c r="C1000" s="12"/>
      <c r="D1000" s="12"/>
      <c r="E1000" s="12"/>
      <c r="F1000" s="5"/>
      <c r="G1000" s="5"/>
      <c r="H1000" s="5"/>
      <c r="I1000" s="5"/>
      <c r="J1000" s="5"/>
      <c r="K1000" s="5"/>
      <c r="L1000" s="5"/>
      <c r="M1000" s="5"/>
      <c r="N1000" s="5"/>
      <c r="O1000" s="5"/>
      <c r="P1000" s="5"/>
      <c r="Q1000" s="5"/>
      <c r="R1000" s="5"/>
      <c r="S1000" s="5"/>
      <c r="T1000" s="5"/>
      <c r="U1000" s="5"/>
      <c r="V1000" s="5"/>
      <c r="W1000" s="5"/>
      <c r="X1000" s="5"/>
      <c r="Y1000" s="5"/>
    </row>
  </sheetData>
  <hyperlinks>
    <hyperlink ref="A1" r:id="rId1" xr:uid="{83694CE3-2D9B-4967-8662-2EB1EB911467}"/>
    <hyperlink ref="A2" r:id="rId2" xr:uid="{934780EC-E7DB-4177-A255-F589FC713C7D}"/>
    <hyperlink ref="A3" r:id="rId3" xr:uid="{F39239AE-1600-407B-8B37-C8E36C17360F}"/>
    <hyperlink ref="A4" r:id="rId4" xr:uid="{A816CAB9-657C-4998-9198-734C47AA2D50}"/>
    <hyperlink ref="A5" r:id="rId5" xr:uid="{40AD5648-6638-4CD1-99E6-EA57C13D298F}"/>
    <hyperlink ref="A6" r:id="rId6" xr:uid="{090327B1-4767-4AB0-B63A-D9C094E9AC9A}"/>
    <hyperlink ref="A7" r:id="rId7" xr:uid="{43CD67D7-7CC0-42D9-A456-047E531CA40F}"/>
    <hyperlink ref="A8" r:id="rId8" xr:uid="{1CCD7C8D-1F37-4EE2-896C-5866DA6AE644}"/>
    <hyperlink ref="A9" r:id="rId9" xr:uid="{1E89A0E5-D989-4B38-82AF-180B38A573E8}"/>
    <hyperlink ref="A10" r:id="rId10" xr:uid="{96555D9E-599A-4748-B517-B9A5C3B3D180}"/>
    <hyperlink ref="A11" r:id="rId11" xr:uid="{F5E904BA-425D-4C99-90B6-80A23FC16B9A}"/>
    <hyperlink ref="A12" r:id="rId12" xr:uid="{30FA080A-CC1D-4908-B45C-6775F354DC35}"/>
    <hyperlink ref="A13" r:id="rId13" xr:uid="{1FCE6B52-6A3A-4C92-998E-924F572885F4}"/>
    <hyperlink ref="A14" r:id="rId14" xr:uid="{063F0D20-7C5E-4AC9-A473-F9024CDC0530}"/>
    <hyperlink ref="A15" r:id="rId15" xr:uid="{476D6BB1-6DCE-47B2-AFBB-8E352880DAAC}"/>
    <hyperlink ref="A16" r:id="rId16" xr:uid="{8224B25B-DB5E-4094-AA98-B2E52A57764D}"/>
    <hyperlink ref="A17" r:id="rId17" xr:uid="{75CBE3EA-8E11-427F-BD64-287C8173022E}"/>
    <hyperlink ref="A18" r:id="rId18" xr:uid="{62378BB6-4D69-4D61-AECC-908D78BBC2A9}"/>
    <hyperlink ref="A19" r:id="rId19" xr:uid="{72DFF553-6F8A-4F08-A0E3-6E64A3B9CDB4}"/>
    <hyperlink ref="A20" r:id="rId20" xr:uid="{A5734BFA-098E-4999-BE2E-4C33D274EDE0}"/>
    <hyperlink ref="A21" r:id="rId21" xr:uid="{40F94DAE-EAED-475B-B885-DE28B4D2CB06}"/>
    <hyperlink ref="A22" r:id="rId22" xr:uid="{06F2B37D-9559-4E1E-88E5-9BC948B057D3}"/>
    <hyperlink ref="A23" r:id="rId23" xr:uid="{4F61D861-3F6C-43EB-8024-B560ACDF5D3A}"/>
    <hyperlink ref="A24" r:id="rId24" xr:uid="{A7784860-B54C-4240-B029-ED651E6AC1C6}"/>
    <hyperlink ref="A25" r:id="rId25" xr:uid="{48BE5B98-B0D5-45EB-A69E-A870404686EC}"/>
    <hyperlink ref="A26" r:id="rId26" xr:uid="{86B07F4C-BBAD-455C-AA1D-86EB693724BF}"/>
    <hyperlink ref="A27" r:id="rId27" xr:uid="{6B233A30-BDBB-4E39-A620-B496914F2CBC}"/>
    <hyperlink ref="A28" r:id="rId28" xr:uid="{AFDD8C7B-10F5-4D34-B687-9F634FBA33EC}"/>
    <hyperlink ref="A29" r:id="rId29" xr:uid="{72F53906-BC9F-4E3A-B497-EF6D0FC00B38}"/>
    <hyperlink ref="A30" r:id="rId30" xr:uid="{DCF47BBB-64D3-49A2-8DC3-8203A9BCD2DB}"/>
    <hyperlink ref="A31" r:id="rId31" xr:uid="{A6A11367-6B87-4702-A5F1-63C678FBB7ED}"/>
    <hyperlink ref="A32" r:id="rId32" xr:uid="{FCA25AB9-795B-4C58-B878-DE230E788555}"/>
    <hyperlink ref="A33" r:id="rId33" xr:uid="{AEA9E085-0B32-4B9D-8B0D-8E9824F28B9C}"/>
    <hyperlink ref="A34" r:id="rId34" xr:uid="{382A1E8D-D2D8-405B-BA93-DBC9668C678C}"/>
    <hyperlink ref="A35" r:id="rId35" xr:uid="{CA2C140F-3E77-424E-A76B-DB3F8C7D75B3}"/>
    <hyperlink ref="A36" r:id="rId36" xr:uid="{B9F4CDE3-FA85-475E-A1B5-C5FC847C7DFA}"/>
    <hyperlink ref="A37" r:id="rId37" xr:uid="{D8617AD4-D2A8-4CB8-BE04-A911BC6877C8}"/>
    <hyperlink ref="A38" r:id="rId38" xr:uid="{0875AE2A-F44B-4ACF-9D68-72A76D04FEE8}"/>
    <hyperlink ref="A39" r:id="rId39" xr:uid="{D52C8426-D20D-4B12-A141-D0E4F5CC3056}"/>
    <hyperlink ref="A40" r:id="rId40" xr:uid="{0CE9DC67-CF1E-4A40-ACB0-5AEF77A98832}"/>
    <hyperlink ref="A41" r:id="rId41" xr:uid="{C84968A4-AB47-4FF8-881A-4BE91203691C}"/>
    <hyperlink ref="A42" r:id="rId42" xr:uid="{94472CE9-080A-48CD-9B49-2482B28E9653}"/>
    <hyperlink ref="A43" r:id="rId43" xr:uid="{9E1E83F6-E4FA-420F-BACB-F2FA29D77EA7}"/>
    <hyperlink ref="A44" r:id="rId44" xr:uid="{F4FF2554-3057-40E5-9851-F4A63C1FDEBE}"/>
    <hyperlink ref="A45" r:id="rId45" xr:uid="{0602F421-C9E6-493E-B11E-DB6AE0BEE12F}"/>
    <hyperlink ref="A46" r:id="rId46" xr:uid="{F61F29EF-1781-45DE-ACB3-AFE33B74812D}"/>
    <hyperlink ref="A47" r:id="rId47" xr:uid="{7B96010F-BC79-4CFA-9C06-43D5C2C864C4}"/>
    <hyperlink ref="A48" r:id="rId48" xr:uid="{D4166D22-591D-43C6-AB54-956561039CD7}"/>
    <hyperlink ref="A49" r:id="rId49" xr:uid="{7B03A1CC-CE1A-49D9-8B5B-1AB413EBD88F}"/>
    <hyperlink ref="A50" r:id="rId50" xr:uid="{BF6DB8D4-4DBF-4A75-BF52-993FBCEA9A4F}"/>
    <hyperlink ref="A51" r:id="rId51" xr:uid="{40BF3BA3-581B-438B-9AFC-A9F92FEA3D87}"/>
    <hyperlink ref="A52" r:id="rId52" xr:uid="{8F617652-975A-48AF-83FE-AF8644A65B49}"/>
    <hyperlink ref="A53" r:id="rId53" xr:uid="{905A30AB-C9AF-400B-B52B-A0D6672FE129}"/>
    <hyperlink ref="A54" r:id="rId54" xr:uid="{208594F5-A6C9-430F-856D-7EDA8D326E58}"/>
    <hyperlink ref="A55" r:id="rId55" xr:uid="{F050D376-FF17-4D83-9BDE-1E82655057BC}"/>
    <hyperlink ref="A56" r:id="rId56" xr:uid="{89414709-B7CB-40D5-B9BE-F73D77E30C2F}"/>
    <hyperlink ref="A57" r:id="rId57" xr:uid="{47986B76-342B-4DA5-8D88-0C7F28445DE3}"/>
    <hyperlink ref="A58" r:id="rId58" xr:uid="{5627D7B0-3B89-4706-AED8-B95E19C09F74}"/>
    <hyperlink ref="A59" r:id="rId59" xr:uid="{871D7844-3B74-4F73-832C-0520E82C8818}"/>
    <hyperlink ref="A60" r:id="rId60" xr:uid="{FA654FAA-55E3-49F5-827A-D13595182489}"/>
    <hyperlink ref="A61" r:id="rId61" xr:uid="{1C3A87CE-52D1-4ECA-A029-8A087E33CB42}"/>
    <hyperlink ref="A62" r:id="rId62" xr:uid="{FC81382F-D812-45DC-AA18-CB7687BFAA53}"/>
    <hyperlink ref="A63" r:id="rId63" xr:uid="{8BFEFD1F-592D-41F6-85EB-6B686FD3487D}"/>
    <hyperlink ref="A64" r:id="rId64" xr:uid="{4E542A1C-5772-41A8-93F1-4055F332D292}"/>
    <hyperlink ref="A65" r:id="rId65" xr:uid="{116E107B-4CD9-462F-83A0-A07CBB1A2543}"/>
    <hyperlink ref="A66" r:id="rId66" xr:uid="{B232B4C7-B327-4015-B9D2-2B94BDABE144}"/>
    <hyperlink ref="A67" r:id="rId67" xr:uid="{A7023D12-571B-4DBB-B6E6-04CC98C1C36E}"/>
    <hyperlink ref="A68" r:id="rId68" xr:uid="{E42FEDE2-01C5-4122-85E4-654564032090}"/>
    <hyperlink ref="A69" r:id="rId69" xr:uid="{DC93033A-EA83-45AA-B611-3406AED31881}"/>
    <hyperlink ref="A70" r:id="rId70" xr:uid="{C995AD1A-39FF-4A40-8CA9-B350932A0E87}"/>
    <hyperlink ref="A71" r:id="rId71" xr:uid="{549D095B-3B8C-40DF-AB64-050C906FC4CB}"/>
    <hyperlink ref="A72" r:id="rId72" xr:uid="{F0BD9545-00E4-4CA2-B266-BE7692B56939}"/>
    <hyperlink ref="A73" r:id="rId73" xr:uid="{6C62F5A3-087A-4198-AC27-ED3D5057F413}"/>
    <hyperlink ref="A74" r:id="rId74" xr:uid="{4F8AA804-0FA1-4052-A1AE-717B898ED854}"/>
  </hyperlinks>
  <printOptions horizontalCentered="1" gridLines="1"/>
  <pageMargins left="0.7" right="0.7" top="0.75" bottom="0.75" header="0" footer="0"/>
  <pageSetup paperSize="9" fitToHeight="0" pageOrder="overThenDown" orientation="landscape" cellComments="atEnd"/>
  <legacyDrawing r:id="rId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Seguridad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FGT FONGRANTIERRA</dc:creator>
  <cp:lastModifiedBy>FGT FONGRANTIERRA</cp:lastModifiedBy>
  <dcterms:created xsi:type="dcterms:W3CDTF">2026-04-16T14:18:12Z</dcterms:created>
  <dcterms:modified xsi:type="dcterms:W3CDTF">2026-04-16T14:18:41Z</dcterms:modified>
</cp:coreProperties>
</file>